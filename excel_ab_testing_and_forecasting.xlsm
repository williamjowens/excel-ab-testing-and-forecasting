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williamjowens/Desktop/"/>
    </mc:Choice>
  </mc:AlternateContent>
  <xr:revisionPtr revIDLastSave="0" documentId="13_ncr:1_{32C04491-4CAB-FE4C-B895-D255F2ABF2B6}" xr6:coauthVersionLast="47" xr6:coauthVersionMax="47" xr10:uidLastSave="{00000000-0000-0000-0000-000000000000}"/>
  <bookViews>
    <workbookView xWindow="12580" yWindow="-19740" windowWidth="27640" windowHeight="16440" xr2:uid="{81411668-E767-404C-BB07-AF8C500DD587}"/>
  </bookViews>
  <sheets>
    <sheet name="campaignData" sheetId="1" r:id="rId1"/>
    <sheet name="pivotTables" sheetId="10" r:id="rId2"/>
    <sheet name="pivotTables2" sheetId="11" r:id="rId3"/>
    <sheet name="summaryTable" sheetId="2" r:id="rId4"/>
    <sheet name="chiSquareTest" sheetId="3" r:id="rId5"/>
    <sheet name="powerAnalysis" sheetId="4" r:id="rId6"/>
    <sheet name="campaignBData" sheetId="5" r:id="rId7"/>
    <sheet name="filteredDataRaw" sheetId="6" r:id="rId8"/>
    <sheet name="filteredDataPasted" sheetId="7" r:id="rId9"/>
    <sheet name="forecastRevenue" sheetId="8" r:id="rId10"/>
    <sheet name="forecastMetrics" sheetId="9" r:id="rId11"/>
    <sheet name="forecastFutureRevenue" sheetId="13" r:id="rId12"/>
  </sheets>
  <definedNames>
    <definedName name="_xleta.FILTER" hidden="1" xlm="1">#NAME?</definedName>
    <definedName name="_xleta.FORECAST" hidden="1" xlm="1">#NAME?</definedName>
    <definedName name="_xleta.SUM" hidden="1" xlm="1">#NAME?</definedName>
  </definedNames>
  <calcPr calcId="191029"/>
  <pivotCaches>
    <pivotCache cacheId="8" r:id="rId13"/>
    <pivotCache cacheId="12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4" i="4"/>
  <c r="B5" i="4"/>
  <c r="A1" i="6" a="1"/>
  <c r="A1" i="6" s="1"/>
  <c r="B24" i="4"/>
  <c r="B2" i="2"/>
  <c r="B4" i="3" s="1"/>
  <c r="B3" i="2"/>
  <c r="E3" i="2" s="1"/>
  <c r="C3" i="2"/>
  <c r="C2" i="2"/>
  <c r="B14" i="4" s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D3" i="13"/>
  <c r="D11" i="13"/>
  <c r="D19" i="13"/>
  <c r="D27" i="13"/>
  <c r="D14" i="13"/>
  <c r="D4" i="13"/>
  <c r="D12" i="13"/>
  <c r="D20" i="13"/>
  <c r="D28" i="13"/>
  <c r="D6" i="13"/>
  <c r="D31" i="13"/>
  <c r="D5" i="13"/>
  <c r="D13" i="13"/>
  <c r="D21" i="13"/>
  <c r="D29" i="13"/>
  <c r="D22" i="13"/>
  <c r="D23" i="13"/>
  <c r="D15" i="13"/>
  <c r="D7" i="13"/>
  <c r="D8" i="13"/>
  <c r="D16" i="13"/>
  <c r="D24" i="13"/>
  <c r="D9" i="13"/>
  <c r="D17" i="13"/>
  <c r="D25" i="13"/>
  <c r="D10" i="13"/>
  <c r="D18" i="13"/>
  <c r="D26" i="13"/>
  <c r="D30" i="13"/>
  <c r="D2" i="13"/>
  <c r="C3" i="13"/>
  <c r="C11" i="13"/>
  <c r="C19" i="13"/>
  <c r="C27" i="13"/>
  <c r="C12" i="13"/>
  <c r="C4" i="13"/>
  <c r="C20" i="13"/>
  <c r="C28" i="13"/>
  <c r="C13" i="13"/>
  <c r="C21" i="13"/>
  <c r="C29" i="13"/>
  <c r="C14" i="13"/>
  <c r="C15" i="13"/>
  <c r="C5" i="13"/>
  <c r="C23" i="13"/>
  <c r="C6" i="13"/>
  <c r="C7" i="13"/>
  <c r="C8" i="13"/>
  <c r="C16" i="13"/>
  <c r="C24" i="13"/>
  <c r="C9" i="13"/>
  <c r="C17" i="13"/>
  <c r="C25" i="13"/>
  <c r="C30" i="13"/>
  <c r="C10" i="13"/>
  <c r="C18" i="13"/>
  <c r="C26" i="13"/>
  <c r="C22" i="13"/>
  <c r="C31" i="13"/>
  <c r="C2" i="13"/>
  <c r="B3" i="13"/>
  <c r="B11" i="13"/>
  <c r="B19" i="13"/>
  <c r="B27" i="13"/>
  <c r="B14" i="13"/>
  <c r="B4" i="13"/>
  <c r="B12" i="13"/>
  <c r="B20" i="13"/>
  <c r="B28" i="13"/>
  <c r="B30" i="13"/>
  <c r="B23" i="13"/>
  <c r="B5" i="13"/>
  <c r="B13" i="13"/>
  <c r="B21" i="13"/>
  <c r="B29" i="13"/>
  <c r="B6" i="13"/>
  <c r="B15" i="13"/>
  <c r="B31" i="13"/>
  <c r="B7" i="13"/>
  <c r="B8" i="13"/>
  <c r="B16" i="13"/>
  <c r="B24" i="13"/>
  <c r="B9" i="13"/>
  <c r="B17" i="13"/>
  <c r="B25" i="13"/>
  <c r="B10" i="13"/>
  <c r="B18" i="13"/>
  <c r="B26" i="13"/>
  <c r="B22" i="13"/>
  <c r="B2" i="13"/>
  <c r="C2" i="8"/>
  <c r="C10" i="8"/>
  <c r="C18" i="8"/>
  <c r="C26" i="8"/>
  <c r="C6" i="8"/>
  <c r="C3" i="8"/>
  <c r="C11" i="8"/>
  <c r="C19" i="8"/>
  <c r="C27" i="8"/>
  <c r="C4" i="8"/>
  <c r="C12" i="8"/>
  <c r="C20" i="8"/>
  <c r="C28" i="8"/>
  <c r="C29" i="8"/>
  <c r="C30" i="8"/>
  <c r="C5" i="8"/>
  <c r="C13" i="8"/>
  <c r="C21" i="8"/>
  <c r="C22" i="8"/>
  <c r="C7" i="8"/>
  <c r="C15" i="8"/>
  <c r="C23" i="8"/>
  <c r="C31" i="8"/>
  <c r="C8" i="8"/>
  <c r="C16" i="8"/>
  <c r="C24" i="8"/>
  <c r="C32" i="8"/>
  <c r="C9" i="8"/>
  <c r="C17" i="8"/>
  <c r="C25" i="8"/>
  <c r="C33" i="8"/>
  <c r="C14" i="8"/>
  <c r="D3" i="8"/>
  <c r="E3" i="8"/>
  <c r="D11" i="8"/>
  <c r="E11" i="8"/>
  <c r="D19" i="8"/>
  <c r="E19" i="8"/>
  <c r="D27" i="8"/>
  <c r="E27" i="8"/>
  <c r="D22" i="8"/>
  <c r="E22" i="8"/>
  <c r="D4" i="8"/>
  <c r="E4" i="8"/>
  <c r="D12" i="8"/>
  <c r="E12" i="8"/>
  <c r="D20" i="8"/>
  <c r="E20" i="8"/>
  <c r="D28" i="8"/>
  <c r="E28" i="8"/>
  <c r="D14" i="8"/>
  <c r="E14" i="8"/>
  <c r="D5" i="8"/>
  <c r="E5" i="8"/>
  <c r="D13" i="8"/>
  <c r="E13" i="8"/>
  <c r="D21" i="8"/>
  <c r="E21" i="8"/>
  <c r="D29" i="8"/>
  <c r="E29" i="8"/>
  <c r="D30" i="8"/>
  <c r="E30" i="8"/>
  <c r="D6" i="8"/>
  <c r="E6" i="8"/>
  <c r="D7" i="8"/>
  <c r="E7" i="8"/>
  <c r="D15" i="8"/>
  <c r="E15" i="8"/>
  <c r="D23" i="8"/>
  <c r="E23" i="8"/>
  <c r="D31" i="8"/>
  <c r="E31" i="8"/>
  <c r="D8" i="8"/>
  <c r="E8" i="8"/>
  <c r="D16" i="8"/>
  <c r="E16" i="8"/>
  <c r="D24" i="8"/>
  <c r="E24" i="8"/>
  <c r="D32" i="8"/>
  <c r="E32" i="8"/>
  <c r="D9" i="8"/>
  <c r="E9" i="8"/>
  <c r="D17" i="8"/>
  <c r="E17" i="8"/>
  <c r="D25" i="8"/>
  <c r="E25" i="8"/>
  <c r="D33" i="8"/>
  <c r="E33" i="8"/>
  <c r="D10" i="8"/>
  <c r="E10" i="8"/>
  <c r="D18" i="8"/>
  <c r="E18" i="8"/>
  <c r="D26" i="8"/>
  <c r="E26" i="8"/>
  <c r="D2" i="8"/>
  <c r="E2" i="8"/>
  <c r="B13" i="4" l="1"/>
  <c r="B15" i="4" s="1"/>
  <c r="B19" i="4" s="1"/>
  <c r="F2" i="8"/>
  <c r="I2" i="8" s="1"/>
  <c r="F26" i="8"/>
  <c r="I26" i="8" s="1"/>
  <c r="F18" i="8"/>
  <c r="I18" i="8" s="1"/>
  <c r="F10" i="8"/>
  <c r="I10" i="8" s="1"/>
  <c r="F33" i="8"/>
  <c r="I33" i="8" s="1"/>
  <c r="F25" i="8"/>
  <c r="I25" i="8" s="1"/>
  <c r="F17" i="8"/>
  <c r="I17" i="8" s="1"/>
  <c r="F9" i="8"/>
  <c r="I9" i="8" s="1"/>
  <c r="F32" i="8"/>
  <c r="I32" i="8" s="1"/>
  <c r="F24" i="8"/>
  <c r="I24" i="8" s="1"/>
  <c r="F16" i="8"/>
  <c r="I16" i="8" s="1"/>
  <c r="F8" i="8"/>
  <c r="I8" i="8" s="1"/>
  <c r="F31" i="8"/>
  <c r="I31" i="8" s="1"/>
  <c r="F23" i="8"/>
  <c r="I23" i="8" s="1"/>
  <c r="F15" i="8"/>
  <c r="I15" i="8" s="1"/>
  <c r="F7" i="8"/>
  <c r="I7" i="8" s="1"/>
  <c r="F6" i="8"/>
  <c r="I6" i="8" s="1"/>
  <c r="F30" i="8"/>
  <c r="I30" i="8" s="1"/>
  <c r="F29" i="8"/>
  <c r="I29" i="8" s="1"/>
  <c r="F21" i="8"/>
  <c r="I21" i="8" s="1"/>
  <c r="F13" i="8"/>
  <c r="I13" i="8" s="1"/>
  <c r="F5" i="8"/>
  <c r="I5" i="8" s="1"/>
  <c r="F14" i="8"/>
  <c r="I14" i="8" s="1"/>
  <c r="F28" i="8"/>
  <c r="I28" i="8" s="1"/>
  <c r="F20" i="8"/>
  <c r="I20" i="8" s="1"/>
  <c r="F12" i="8"/>
  <c r="I12" i="8" s="1"/>
  <c r="F4" i="8"/>
  <c r="I4" i="8" s="1"/>
  <c r="F22" i="8"/>
  <c r="I22" i="8" s="1"/>
  <c r="F27" i="8"/>
  <c r="I27" i="8" s="1"/>
  <c r="F19" i="8"/>
  <c r="I19" i="8" s="1"/>
  <c r="F11" i="8"/>
  <c r="I11" i="8" s="1"/>
  <c r="F3" i="8"/>
  <c r="I3" i="8" s="1"/>
  <c r="B29" i="4"/>
  <c r="B30" i="4" s="1"/>
  <c r="B31" i="4" s="1"/>
  <c r="B5" i="3"/>
  <c r="B6" i="3" s="1"/>
  <c r="E2" i="2"/>
  <c r="D2" i="2"/>
  <c r="D3" i="2"/>
  <c r="B5" i="9" l="1"/>
  <c r="H3" i="8"/>
  <c r="G3" i="8"/>
  <c r="H7" i="8"/>
  <c r="G7" i="8"/>
  <c r="H17" i="8"/>
  <c r="G17" i="8"/>
  <c r="H23" i="8"/>
  <c r="G23" i="8"/>
  <c r="H25" i="8"/>
  <c r="G25" i="8"/>
  <c r="H28" i="8"/>
  <c r="G28" i="8"/>
  <c r="H11" i="8"/>
  <c r="G11" i="8"/>
  <c r="H14" i="8"/>
  <c r="G14" i="8"/>
  <c r="H5" i="8"/>
  <c r="G5" i="8"/>
  <c r="H13" i="8"/>
  <c r="G13" i="8"/>
  <c r="H31" i="8"/>
  <c r="G31" i="8"/>
  <c r="H22" i="8"/>
  <c r="G22" i="8"/>
  <c r="H8" i="8"/>
  <c r="G8" i="8"/>
  <c r="H4" i="8"/>
  <c r="G4" i="8"/>
  <c r="H16" i="8"/>
  <c r="G16" i="8"/>
  <c r="H12" i="8"/>
  <c r="G12" i="8"/>
  <c r="H24" i="8"/>
  <c r="G24" i="8"/>
  <c r="H26" i="8"/>
  <c r="G26" i="8"/>
  <c r="H9" i="8"/>
  <c r="G9" i="8"/>
  <c r="H15" i="8"/>
  <c r="G15" i="8"/>
  <c r="H19" i="8"/>
  <c r="G19" i="8"/>
  <c r="H27" i="8"/>
  <c r="G27" i="8"/>
  <c r="H33" i="8"/>
  <c r="G33" i="8"/>
  <c r="H21" i="8"/>
  <c r="G21" i="8"/>
  <c r="H10" i="8"/>
  <c r="G10" i="8"/>
  <c r="H29" i="8"/>
  <c r="G29" i="8"/>
  <c r="H18" i="8"/>
  <c r="G18" i="8"/>
  <c r="H30" i="8"/>
  <c r="G30" i="8"/>
  <c r="H20" i="8"/>
  <c r="G20" i="8"/>
  <c r="H6" i="8"/>
  <c r="G6" i="8"/>
  <c r="H32" i="8"/>
  <c r="G32" i="8"/>
  <c r="H2" i="8"/>
  <c r="G2" i="8"/>
  <c r="F3" i="2"/>
  <c r="C5" i="3"/>
  <c r="D5" i="3" s="1"/>
  <c r="F2" i="2"/>
  <c r="C4" i="3"/>
  <c r="B2" i="9" l="1"/>
  <c r="B3" i="9" s="1"/>
  <c r="B4" i="9"/>
  <c r="C6" i="3"/>
  <c r="D4" i="3"/>
  <c r="D6" i="3" l="1"/>
  <c r="B13" i="3" s="1"/>
  <c r="C12" i="3"/>
  <c r="B12" i="3"/>
  <c r="C13" i="3" l="1"/>
  <c r="B17" i="3" s="1"/>
  <c r="B18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<sst xmlns="http://schemas.openxmlformats.org/spreadsheetml/2006/main" count="5626" uniqueCount="76">
  <si>
    <t>Date</t>
  </si>
  <si>
    <t>Campaign</t>
  </si>
  <si>
    <t>Visitors</t>
  </si>
  <si>
    <t>Conversions</t>
  </si>
  <si>
    <t>Revenue</t>
  </si>
  <si>
    <t>Old_Campaign</t>
  </si>
  <si>
    <t>New_Campaign</t>
  </si>
  <si>
    <t>Total Conversions</t>
  </si>
  <si>
    <t>Total Visitors</t>
  </si>
  <si>
    <t>Total Failures</t>
  </si>
  <si>
    <t>Campaign New</t>
  </si>
  <si>
    <t>A</t>
  </si>
  <si>
    <t>B</t>
  </si>
  <si>
    <t>Conversion Rate</t>
  </si>
  <si>
    <t>Failure Rate</t>
  </si>
  <si>
    <t>Total</t>
  </si>
  <si>
    <t>Failures</t>
  </si>
  <si>
    <t>Step 1: Create Contingency Table</t>
  </si>
  <si>
    <t>Step 2: Calculate Expected Frequencies</t>
  </si>
  <si>
    <t>Expected Conversions</t>
  </si>
  <si>
    <t>Expected Failures</t>
  </si>
  <si>
    <t>Step 3: Perform Chi-Square Test</t>
  </si>
  <si>
    <t>p-value</t>
  </si>
  <si>
    <t>Result</t>
  </si>
  <si>
    <t>*Formula = (Row Total * Col Total) / Grand Total</t>
  </si>
  <si>
    <t>Step 1: Calculate Conversion Rates</t>
  </si>
  <si>
    <t>Effect Size</t>
  </si>
  <si>
    <t>Step 3: Calculate Pooled Proportion</t>
  </si>
  <si>
    <t>Pooled Proportion</t>
  </si>
  <si>
    <t>Step 4: Calculate Standard Error</t>
  </si>
  <si>
    <t>Step 2: Calculate Effect Size</t>
  </si>
  <si>
    <t>Standard Error</t>
  </si>
  <si>
    <t>Step 5: Determine Critical Z-Value</t>
  </si>
  <si>
    <t>Significance Level</t>
  </si>
  <si>
    <t>Critical Z-Value</t>
  </si>
  <si>
    <t>Step 6: Calculate Statistical Power</t>
  </si>
  <si>
    <t>Z-Beta</t>
  </si>
  <si>
    <t>Power</t>
  </si>
  <si>
    <t>*Z-Beta Formula = (Effect Size - Critical Z-Value * Standard Error) /  Standard Error</t>
  </si>
  <si>
    <t>Lower Bound</t>
  </si>
  <si>
    <t>Upper Bound</t>
  </si>
  <si>
    <t>Actual Values</t>
  </si>
  <si>
    <t>Forecasted Values</t>
  </si>
  <si>
    <t>Error</t>
  </si>
  <si>
    <t>Mean Squared Error</t>
  </si>
  <si>
    <t>Squared Error</t>
  </si>
  <si>
    <t>Absolute Error</t>
  </si>
  <si>
    <t>Abs. Percentage Error</t>
  </si>
  <si>
    <t>Mean Absolute Error</t>
  </si>
  <si>
    <t>Metric</t>
  </si>
  <si>
    <t>Mean Absolute Percentage Error</t>
  </si>
  <si>
    <t>Root Mean Squared Error</t>
  </si>
  <si>
    <t>Value</t>
  </si>
  <si>
    <t>Grand Total</t>
  </si>
  <si>
    <t>Sum of Conversions</t>
  </si>
  <si>
    <t>Sum of Visitors</t>
  </si>
  <si>
    <t>Sum of Revenue</t>
  </si>
  <si>
    <t>2021</t>
  </si>
  <si>
    <t>2022</t>
  </si>
  <si>
    <t>2023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</si>
  <si>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</si>
  <si>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</si>
  <si>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</si>
  <si>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</si>
  <si>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</si>
  <si>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</si>
  <si>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</si>
  <si>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</si>
  <si>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</si>
  <si>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</si>
  <si>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</si>
  <si>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</si>
  <si>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(Date)</t>
  </si>
  <si>
    <t>Months (Date)</t>
  </si>
  <si>
    <t xml:space="preserve">Sum of Revenue </t>
  </si>
  <si>
    <t xml:space="preserve">Conversion 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</si>
</sst>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;@"/>
    <numFmt numFmtId="165" formatCode="&quot;$&quot;#,##0.00"/>
    <numFmt numFmtId="166" formatCode="0.0000"/>
    <numFmt numFmtId="167" formatCode="0.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 applyAlignment="1">
      <alignment horizontal="right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2" fontId="0" fillId="0" borderId="0" xfId="0" applyNumberFormat="1"/>
    <xf numFmtId="0" fontId="18" fillId="0" borderId="0" xfId="0" applyFont="1" applyAlignment="1">
      <alignment horizontal="center"/>
    </xf>
    <xf numFmtId="10" fontId="0" fillId="0" borderId="0" xfId="42" applyNumberFormat="1" applyFont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0" fillId="33" borderId="0" xfId="0" applyFill="1" applyAlignment="1">
      <alignment horizontal="center" wrapText="1"/>
    </xf>
    <xf numFmtId="166" fontId="19" fillId="33" borderId="0" xfId="0" applyNumberFormat="1" applyFont="1" applyFill="1" applyBorder="1"/>
    <xf numFmtId="0" fontId="19" fillId="33" borderId="0" xfId="0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Alignment="1"/>
    <xf numFmtId="10" fontId="0" fillId="0" borderId="0" xfId="0" applyNumberFormat="1"/>
    <xf numFmtId="167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67" fontId="20" fillId="33" borderId="0" xfId="0" applyNumberFormat="1" applyFont="1" applyFill="1" applyBorder="1" applyAlignment="1">
      <alignment horizontal="center"/>
    </xf>
    <xf numFmtId="0" fontId="20" fillId="33" borderId="0" xfId="0" applyFont="1" applyFill="1" applyAlignment="1">
      <alignment horizontal="center"/>
    </xf>
    <xf numFmtId="2" fontId="0" fillId="33" borderId="0" xfId="0" applyNumberFormat="1" applyFill="1"/>
    <xf numFmtId="0" fontId="20" fillId="33" borderId="0" xfId="0" applyFont="1" applyFill="1" applyAlignment="1">
      <alignment horizontal="center" vertical="center"/>
    </xf>
    <xf numFmtId="0" fontId="20" fillId="33" borderId="0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 applyAlignment="1">
      <alignment horizontal="left"/>
    </xf>
    <xf numFmtId="14" fontId="20" fillId="0" borderId="0" xfId="0" applyNumberFormat="1" applyFont="1"/>
    <xf numFmtId="14" fontId="2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11" xfId="0" pivotButton="1" applyBorder="1"/>
    <xf numFmtId="0" fontId="0" fillId="0" borderId="12" xfId="0" applyBorder="1"/>
    <xf numFmtId="165" fontId="0" fillId="0" borderId="16" xfId="0" applyNumberFormat="1" applyBorder="1"/>
    <xf numFmtId="165" fontId="0" fillId="0" borderId="14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15" xfId="0" applyNumberFormat="1" applyBorder="1"/>
    <xf numFmtId="165" fontId="0" fillId="0" borderId="13" xfId="0" applyNumberFormat="1" applyBorder="1"/>
    <xf numFmtId="0" fontId="0" fillId="0" borderId="17" xfId="0" pivotButton="1" applyBorder="1"/>
    <xf numFmtId="0" fontId="0" fillId="0" borderId="18" xfId="0" applyBorder="1"/>
    <xf numFmtId="0" fontId="0" fillId="0" borderId="10" xfId="0" pivotButton="1" applyBorder="1"/>
    <xf numFmtId="0" fontId="0" fillId="0" borderId="1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7" xfId="0" applyBorder="1"/>
    <xf numFmtId="0" fontId="0" fillId="0" borderId="15" xfId="0" applyBorder="1" applyAlignment="1">
      <alignment horizontal="left"/>
    </xf>
    <xf numFmtId="2" fontId="0" fillId="0" borderId="16" xfId="0" applyNumberFormat="1" applyBorder="1"/>
    <xf numFmtId="0" fontId="0" fillId="0" borderId="13" xfId="0" applyBorder="1" applyAlignment="1">
      <alignment horizontal="left"/>
    </xf>
    <xf numFmtId="2" fontId="0" fillId="0" borderId="14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62"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9" formatCode="m/d/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</dxf>
    <dxf>
      <font>
        <i val="0"/>
      </font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&quot;$&quot;#,##0.00"/>
    </dxf>
    <dxf>
      <numFmt numFmtId="165" formatCode="&quot;$&quot;#,##0.00"/>
    </dxf>
    <dxf>
      <numFmt numFmtId="19" formatCode="m/d/yy"/>
    </dxf>
    <dxf>
      <numFmt numFmtId="165" formatCode="&quot;$&quot;#,##0.00"/>
    </dxf>
    <dxf>
      <numFmt numFmtId="165" formatCode="&quot;$&quot;#,##0.00"/>
    </dxf>
    <dxf>
      <numFmt numFmtId="30" formatCode="@"/>
      <alignment horizontal="center" vertical="bottom" textRotation="0" wrapText="0" indent="0" justifyLastLine="0" shrinkToFit="0" readingOrder="0"/>
    </dxf>
    <dxf>
      <numFmt numFmtId="165" formatCode="&quot;$&quot;#,##0.00"/>
    </dxf>
    <dxf>
      <numFmt numFmtId="1" formatCode="0"/>
    </dxf>
    <dxf>
      <numFmt numFmtId="1" formatCode="0"/>
    </dxf>
    <dxf>
      <numFmt numFmtId="19" formatCode="m/d/yy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&quot;$&quot;#,##0.00"/>
    </dxf>
    <dxf>
      <numFmt numFmtId="1" formatCode="0"/>
    </dxf>
    <dxf>
      <numFmt numFmtId="1" formatCode="0"/>
    </dxf>
    <dxf>
      <numFmt numFmtId="164" formatCode="m/d/yy;@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&quot;$&quot;#,##0.0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m/d/yy;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E8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[ab_testing_forecasting_dataset.xlsm]pivotTables!conversionsPivotTable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Conversions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solidFill>
              <a:schemeClr val="tx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C28-FE47-9EC2-2826FC10EC3B}"/>
              </c:ext>
            </c:extLst>
          </c:dPt>
          <c:cat>
            <c:strRef>
              <c:f>pivotTables!$A$4:$A$6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pivotTables!$B$4:$B$6</c:f>
              <c:numCache>
                <c:formatCode>General</c:formatCode>
                <c:ptCount val="2"/>
                <c:pt idx="0">
                  <c:v>249706</c:v>
                </c:pt>
                <c:pt idx="1">
                  <c:v>289624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8-FE47-9EC2-2826FC10E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7240528"/>
        <c:axId val="1867235952"/>
      </c:barChart>
      <c:catAx>
        <c:axId val="186724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Campaign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235952"/>
        <c:crosses val="autoZero"/>
        <c:auto val="1"/>
        <c:lblAlgn val="ctr"/>
        <c:lblOffset val="100"/>
        <c:noMultiLvlLbl val="0"/>
      </c:catAx>
      <c:valAx>
        <c:axId val="186723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>
                    <a:solidFill>
                      <a:schemeClr val="tx1"/>
                    </a:solidFill>
                  </a:rPr>
                  <a:t>Conversions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24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[ab_testing_forecasting_dataset.xlsm]pivotTables2!revenuePerMonth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Campaign Revenue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  <a:lumOff val="40000"/>
              </a:schemeClr>
            </a:solidFill>
            <a:ln w="9525"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pivotTables2!$C$3:$C$4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multiLvlStrRef>
              <c:f>pivotTables2!$A$5:$B$40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  <c:pt idx="24">
                    <c:v>2023</c:v>
                  </c:pt>
                </c:lvl>
              </c:multiLvlStrCache>
            </c:multiLvlStrRef>
          </c:cat>
          <c:val>
            <c:numRef>
              <c:f>pivotTables2!$C$5:$C$40</c:f>
              <c:numCache>
                <c:formatCode>"$"#,##0.00</c:formatCode>
                <c:ptCount val="36"/>
                <c:pt idx="0">
                  <c:v>111392.23000000001</c:v>
                </c:pt>
                <c:pt idx="1">
                  <c:v>94172.12999999999</c:v>
                </c:pt>
                <c:pt idx="2">
                  <c:v>102210.52000000002</c:v>
                </c:pt>
                <c:pt idx="3">
                  <c:v>105619.24000000002</c:v>
                </c:pt>
                <c:pt idx="4">
                  <c:v>107743.33999999998</c:v>
                </c:pt>
                <c:pt idx="5">
                  <c:v>105256.35000000002</c:v>
                </c:pt>
                <c:pt idx="6">
                  <c:v>107393.62</c:v>
                </c:pt>
                <c:pt idx="7">
                  <c:v>105252.69000000002</c:v>
                </c:pt>
                <c:pt idx="8">
                  <c:v>101814.37000000001</c:v>
                </c:pt>
                <c:pt idx="9">
                  <c:v>111871.82999999999</c:v>
                </c:pt>
                <c:pt idx="10">
                  <c:v>97739.840000000011</c:v>
                </c:pt>
                <c:pt idx="11">
                  <c:v>107104.60999999999</c:v>
                </c:pt>
                <c:pt idx="12">
                  <c:v>110423.21999999999</c:v>
                </c:pt>
                <c:pt idx="13">
                  <c:v>96638.65</c:v>
                </c:pt>
                <c:pt idx="14">
                  <c:v>103278.73</c:v>
                </c:pt>
                <c:pt idx="15">
                  <c:v>97592.489999999991</c:v>
                </c:pt>
                <c:pt idx="16">
                  <c:v>104612.28999999998</c:v>
                </c:pt>
                <c:pt idx="17">
                  <c:v>104286.81999999999</c:v>
                </c:pt>
                <c:pt idx="18">
                  <c:v>105106.94</c:v>
                </c:pt>
                <c:pt idx="19">
                  <c:v>104160.12999999999</c:v>
                </c:pt>
                <c:pt idx="20">
                  <c:v>101999.04000000002</c:v>
                </c:pt>
                <c:pt idx="21">
                  <c:v>106446.32000000002</c:v>
                </c:pt>
                <c:pt idx="22">
                  <c:v>98533.960000000021</c:v>
                </c:pt>
                <c:pt idx="23">
                  <c:v>104782.69000000003</c:v>
                </c:pt>
                <c:pt idx="24">
                  <c:v>106883.68000000001</c:v>
                </c:pt>
                <c:pt idx="25">
                  <c:v>94855.900000000009</c:v>
                </c:pt>
                <c:pt idx="26">
                  <c:v>107608.6</c:v>
                </c:pt>
                <c:pt idx="27">
                  <c:v>100031.9</c:v>
                </c:pt>
                <c:pt idx="28">
                  <c:v>102492.23000000003</c:v>
                </c:pt>
                <c:pt idx="29">
                  <c:v>106499.46</c:v>
                </c:pt>
                <c:pt idx="30">
                  <c:v>109352.42</c:v>
                </c:pt>
                <c:pt idx="31">
                  <c:v>103422.63</c:v>
                </c:pt>
                <c:pt idx="32">
                  <c:v>104543.36000000002</c:v>
                </c:pt>
                <c:pt idx="33">
                  <c:v>106969.73</c:v>
                </c:pt>
                <c:pt idx="34">
                  <c:v>102162.70999999999</c:v>
                </c:pt>
                <c:pt idx="35">
                  <c:v>106872.59000000001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D-074A-8ECB-3863A8215958}"/>
            </c:ext>
          </c:extLst>
        </c:ser>
        <c:ser>
          <c:idx val="1"/>
          <c:order val="1"/>
          <c:tx>
            <c:strRef>
              <c:f>pivotTables2!$D$3:$D$4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pivotTables2!$A$5:$B$40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  <c:pt idx="24">
                    <c:v>2023</c:v>
                  </c:pt>
                </c:lvl>
              </c:multiLvlStrCache>
            </c:multiLvlStrRef>
          </c:cat>
          <c:val>
            <c:numRef>
              <c:f>pivotTables2!$D$5:$D$40</c:f>
              <c:numCache>
                <c:formatCode>"$"#,##0.00</c:formatCode>
                <c:ptCount val="36"/>
                <c:pt idx="0">
                  <c:v>125544.02</c:v>
                </c:pt>
                <c:pt idx="1">
                  <c:v>114098.70000000001</c:v>
                </c:pt>
                <c:pt idx="2">
                  <c:v>132768.90999999997</c:v>
                </c:pt>
                <c:pt idx="3">
                  <c:v>125263.55000000002</c:v>
                </c:pt>
                <c:pt idx="4">
                  <c:v>133521.74000000002</c:v>
                </c:pt>
                <c:pt idx="5">
                  <c:v>130498.51999999997</c:v>
                </c:pt>
                <c:pt idx="6">
                  <c:v>133630.57999999999</c:v>
                </c:pt>
                <c:pt idx="7">
                  <c:v>130257.33</c:v>
                </c:pt>
                <c:pt idx="8">
                  <c:v>123411.83</c:v>
                </c:pt>
                <c:pt idx="9">
                  <c:v>132394.46000000002</c:v>
                </c:pt>
                <c:pt idx="10">
                  <c:v>129170.84</c:v>
                </c:pt>
                <c:pt idx="11">
                  <c:v>130943.32999999999</c:v>
                </c:pt>
                <c:pt idx="12">
                  <c:v>129661.98999999999</c:v>
                </c:pt>
                <c:pt idx="13">
                  <c:v>114684.12</c:v>
                </c:pt>
                <c:pt idx="14">
                  <c:v>127801.28000000003</c:v>
                </c:pt>
                <c:pt idx="15">
                  <c:v>122953.31999999999</c:v>
                </c:pt>
                <c:pt idx="16">
                  <c:v>130597.53</c:v>
                </c:pt>
                <c:pt idx="17">
                  <c:v>127138.96000000004</c:v>
                </c:pt>
                <c:pt idx="18">
                  <c:v>131694.41</c:v>
                </c:pt>
                <c:pt idx="19">
                  <c:v>132552.46999999997</c:v>
                </c:pt>
                <c:pt idx="20">
                  <c:v>125889.51999999999</c:v>
                </c:pt>
                <c:pt idx="21">
                  <c:v>127408.95999999999</c:v>
                </c:pt>
                <c:pt idx="22">
                  <c:v>128548.65000000001</c:v>
                </c:pt>
                <c:pt idx="23">
                  <c:v>137830.79999999999</c:v>
                </c:pt>
                <c:pt idx="24">
                  <c:v>131389.36000000002</c:v>
                </c:pt>
                <c:pt idx="25">
                  <c:v>120823.73999999999</c:v>
                </c:pt>
                <c:pt idx="26">
                  <c:v>131314.63999999998</c:v>
                </c:pt>
                <c:pt idx="27">
                  <c:v>122435.29000000001</c:v>
                </c:pt>
                <c:pt idx="28">
                  <c:v>136289.15</c:v>
                </c:pt>
                <c:pt idx="29">
                  <c:v>132796.53</c:v>
                </c:pt>
                <c:pt idx="30">
                  <c:v>131705.26999999999</c:v>
                </c:pt>
                <c:pt idx="31">
                  <c:v>128532.43000000004</c:v>
                </c:pt>
                <c:pt idx="32">
                  <c:v>126619.89000000001</c:v>
                </c:pt>
                <c:pt idx="33">
                  <c:v>134694.26999999999</c:v>
                </c:pt>
                <c:pt idx="34">
                  <c:v>123512.30000000002</c:v>
                </c:pt>
                <c:pt idx="35">
                  <c:v>129865.71999999997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D-074A-8ECB-3863A8215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366736"/>
        <c:axId val="1867368448"/>
      </c:lineChart>
      <c:catAx>
        <c:axId val="1867366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368448"/>
        <c:crosses val="autoZero"/>
        <c:auto val="1"/>
        <c:lblAlgn val="ctr"/>
        <c:lblOffset val="100"/>
        <c:noMultiLvlLbl val="0"/>
      </c:catAx>
      <c:valAx>
        <c:axId val="186736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Revenue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36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[ab_testing_forecasting_dataset.xlsm]summaryTable!conversionRate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Conversion Rate by Campaign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E83B"/>
          </a:solidFill>
          <a:ln>
            <a:solidFill>
              <a:schemeClr val="tx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summaryTable!$B$6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E83B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A42-1D4D-A80F-BE4E4F24A068}"/>
              </c:ext>
            </c:extLst>
          </c:dPt>
          <c:cat>
            <c:strRef>
              <c:f>summaryTable!$A$7:$A$8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summaryTable!$B$7:$B$8</c:f>
              <c:numCache>
                <c:formatCode>0.00</c:formatCode>
                <c:ptCount val="2"/>
                <c:pt idx="0">
                  <c:v>0.18996937131310795</c:v>
                </c:pt>
                <c:pt idx="1">
                  <c:v>0.22979757907364973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2-1D4D-A80F-BE4E4F24A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7458944"/>
        <c:axId val="1867460656"/>
      </c:barChart>
      <c:catAx>
        <c:axId val="186745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Campaign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460656"/>
        <c:crosses val="autoZero"/>
        <c:auto val="1"/>
        <c:lblAlgn val="ctr"/>
        <c:lblOffset val="100"/>
        <c:noMultiLvlLbl val="0"/>
      </c:catAx>
      <c:valAx>
        <c:axId val="186746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Conversion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45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Actual</a:t>
            </a:r>
            <a:r>
              <a:rPr lang="en-US" b="1" baseline="0">
                <a:solidFill>
                  <a:schemeClr val="tx1"/>
                </a:solidFill>
              </a:rPr>
              <a:t> vs. Forecasted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forecastRevenue!$B$1</c:f>
              <c:strCache>
                <c:ptCount val="1"/>
                <c:pt idx="0">
                  <c:v>Actual Values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forecastRevenue!$A$2:$A$33</c:f>
              <c:numCache>
                <c:formatCode>m/d/yy</c:formatCode>
                <c:ptCount val="32"/>
                <c:pt idx="0">
                  <c:v>45261</c:v>
                </c:pt>
                <c:pt idx="1">
                  <c:v>45262</c:v>
                </c:pt>
                <c:pt idx="2">
                  <c:v>45263</c:v>
                </c:pt>
                <c:pt idx="3">
                  <c:v>45264</c:v>
                </c:pt>
                <c:pt idx="4">
                  <c:v>45265</c:v>
                </c:pt>
                <c:pt idx="5">
                  <c:v>45266</c:v>
                </c:pt>
                <c:pt idx="6">
                  <c:v>45267</c:v>
                </c:pt>
                <c:pt idx="7">
                  <c:v>45268</c:v>
                </c:pt>
                <c:pt idx="8">
                  <c:v>45269</c:v>
                </c:pt>
                <c:pt idx="9">
                  <c:v>45270</c:v>
                </c:pt>
                <c:pt idx="10">
                  <c:v>45271</c:v>
                </c:pt>
                <c:pt idx="11">
                  <c:v>45272</c:v>
                </c:pt>
                <c:pt idx="12">
                  <c:v>45273</c:v>
                </c:pt>
                <c:pt idx="13">
                  <c:v>45274</c:v>
                </c:pt>
                <c:pt idx="14">
                  <c:v>45275</c:v>
                </c:pt>
                <c:pt idx="15">
                  <c:v>45276</c:v>
                </c:pt>
                <c:pt idx="16">
                  <c:v>45277</c:v>
                </c:pt>
                <c:pt idx="17">
                  <c:v>45278</c:v>
                </c:pt>
                <c:pt idx="18">
                  <c:v>45279</c:v>
                </c:pt>
                <c:pt idx="19">
                  <c:v>45280</c:v>
                </c:pt>
                <c:pt idx="20">
                  <c:v>45281</c:v>
                </c:pt>
                <c:pt idx="21">
                  <c:v>45282</c:v>
                </c:pt>
                <c:pt idx="22">
                  <c:v>45283</c:v>
                </c:pt>
                <c:pt idx="23">
                  <c:v>45284</c:v>
                </c:pt>
                <c:pt idx="24">
                  <c:v>45285</c:v>
                </c:pt>
                <c:pt idx="25">
                  <c:v>45286</c:v>
                </c:pt>
                <c:pt idx="26">
                  <c:v>45287</c:v>
                </c:pt>
                <c:pt idx="27">
                  <c:v>45288</c:v>
                </c:pt>
                <c:pt idx="28">
                  <c:v>45289</c:v>
                </c:pt>
                <c:pt idx="29">
                  <c:v>45290</c:v>
                </c:pt>
                <c:pt idx="30">
                  <c:v>45291</c:v>
                </c:pt>
                <c:pt idx="31">
                  <c:v>45292</c:v>
                </c:pt>
              </c:numCache>
            </c:numRef>
          </c:cat>
          <c:val>
            <c:numRef>
              <c:f>forecastRevenue!$B$2:$B$33</c:f>
              <c:numCache>
                <c:formatCode>"$"#,##0.00</c:formatCode>
                <c:ptCount val="32"/>
                <c:pt idx="0">
                  <c:v>5121.2299999999996</c:v>
                </c:pt>
                <c:pt idx="1">
                  <c:v>4776.32</c:v>
                </c:pt>
                <c:pt idx="2">
                  <c:v>3948.97</c:v>
                </c:pt>
                <c:pt idx="3">
                  <c:v>4677.17</c:v>
                </c:pt>
                <c:pt idx="4">
                  <c:v>3357.66</c:v>
                </c:pt>
                <c:pt idx="5">
                  <c:v>3899.73</c:v>
                </c:pt>
                <c:pt idx="6">
                  <c:v>4441.8599999999997</c:v>
                </c:pt>
                <c:pt idx="7">
                  <c:v>4473.97</c:v>
                </c:pt>
                <c:pt idx="8">
                  <c:v>4303.3100000000004</c:v>
                </c:pt>
                <c:pt idx="9">
                  <c:v>4390.62</c:v>
                </c:pt>
                <c:pt idx="10">
                  <c:v>4087.65</c:v>
                </c:pt>
                <c:pt idx="11">
                  <c:v>4374.6000000000004</c:v>
                </c:pt>
                <c:pt idx="12">
                  <c:v>3974.27</c:v>
                </c:pt>
                <c:pt idx="13">
                  <c:v>4151.0200000000004</c:v>
                </c:pt>
                <c:pt idx="14">
                  <c:v>4742.2</c:v>
                </c:pt>
                <c:pt idx="15">
                  <c:v>3449.65</c:v>
                </c:pt>
                <c:pt idx="16">
                  <c:v>3414.24</c:v>
                </c:pt>
                <c:pt idx="17">
                  <c:v>3613.87</c:v>
                </c:pt>
                <c:pt idx="18">
                  <c:v>3375.58</c:v>
                </c:pt>
                <c:pt idx="19">
                  <c:v>4444.8</c:v>
                </c:pt>
                <c:pt idx="20">
                  <c:v>4872.91</c:v>
                </c:pt>
                <c:pt idx="21">
                  <c:v>4058.65</c:v>
                </c:pt>
                <c:pt idx="22">
                  <c:v>3802.16</c:v>
                </c:pt>
                <c:pt idx="23">
                  <c:v>3527.43</c:v>
                </c:pt>
                <c:pt idx="24">
                  <c:v>3689.43</c:v>
                </c:pt>
                <c:pt idx="25">
                  <c:v>4962.5200000000004</c:v>
                </c:pt>
                <c:pt idx="26">
                  <c:v>4334.3</c:v>
                </c:pt>
                <c:pt idx="27">
                  <c:v>4856.16</c:v>
                </c:pt>
                <c:pt idx="28">
                  <c:v>3416.9</c:v>
                </c:pt>
                <c:pt idx="29">
                  <c:v>4728.2299999999996</c:v>
                </c:pt>
                <c:pt idx="30">
                  <c:v>4598.3100000000004</c:v>
                </c:pt>
                <c:pt idx="31">
                  <c:v>3770.74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EE4C-B3C9-AC2A2DA0FE6E}"/>
            </c:ext>
          </c:extLst>
        </c:ser>
        <c:ser>
          <c:idx val="1"/>
          <c:order val="1"/>
          <c:tx>
            <c:strRef>
              <c:f>forecastRevenue!$C$1</c:f>
              <c:strCache>
                <c:ptCount val="1"/>
                <c:pt idx="0">
                  <c:v>Forecasted Values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forecastRevenue!$A$2:$A$33</c:f>
              <c:numCache>
                <c:formatCode>m/d/yy</c:formatCode>
                <c:ptCount val="32"/>
                <c:pt idx="0">
                  <c:v>45261</c:v>
                </c:pt>
                <c:pt idx="1">
                  <c:v>45262</c:v>
                </c:pt>
                <c:pt idx="2">
                  <c:v>45263</c:v>
                </c:pt>
                <c:pt idx="3">
                  <c:v>45264</c:v>
                </c:pt>
                <c:pt idx="4">
                  <c:v>45265</c:v>
                </c:pt>
                <c:pt idx="5">
                  <c:v>45266</c:v>
                </c:pt>
                <c:pt idx="6">
                  <c:v>45267</c:v>
                </c:pt>
                <c:pt idx="7">
                  <c:v>45268</c:v>
                </c:pt>
                <c:pt idx="8">
                  <c:v>45269</c:v>
                </c:pt>
                <c:pt idx="9">
                  <c:v>45270</c:v>
                </c:pt>
                <c:pt idx="10">
                  <c:v>45271</c:v>
                </c:pt>
                <c:pt idx="11">
                  <c:v>45272</c:v>
                </c:pt>
                <c:pt idx="12">
                  <c:v>45273</c:v>
                </c:pt>
                <c:pt idx="13">
                  <c:v>45274</c:v>
                </c:pt>
                <c:pt idx="14">
                  <c:v>45275</c:v>
                </c:pt>
                <c:pt idx="15">
                  <c:v>45276</c:v>
                </c:pt>
                <c:pt idx="16">
                  <c:v>45277</c:v>
                </c:pt>
                <c:pt idx="17">
                  <c:v>45278</c:v>
                </c:pt>
                <c:pt idx="18">
                  <c:v>45279</c:v>
                </c:pt>
                <c:pt idx="19">
                  <c:v>45280</c:v>
                </c:pt>
                <c:pt idx="20">
                  <c:v>45281</c:v>
                </c:pt>
                <c:pt idx="21">
                  <c:v>45282</c:v>
                </c:pt>
                <c:pt idx="22">
                  <c:v>45283</c:v>
                </c:pt>
                <c:pt idx="23">
                  <c:v>45284</c:v>
                </c:pt>
                <c:pt idx="24">
                  <c:v>45285</c:v>
                </c:pt>
                <c:pt idx="25">
                  <c:v>45286</c:v>
                </c:pt>
                <c:pt idx="26">
                  <c:v>45287</c:v>
                </c:pt>
                <c:pt idx="27">
                  <c:v>45288</c:v>
                </c:pt>
                <c:pt idx="28">
                  <c:v>45289</c:v>
                </c:pt>
                <c:pt idx="29">
                  <c:v>45290</c:v>
                </c:pt>
                <c:pt idx="30">
                  <c:v>45291</c:v>
                </c:pt>
                <c:pt idx="31">
                  <c:v>45292</c:v>
                </c:pt>
              </c:numCache>
            </c:numRef>
          </c:cat>
          <c:val>
            <c:numRef>
              <c:f>forecastRevenue!$C$2:$C$33</c:f>
              <c:numCache>
                <c:formatCode>"$"#,##0.00</c:formatCode>
                <c:ptCount val="32"/>
                <c:pt idx="0">
                  <c:v>4614.2929700887125</c:v>
                </c:pt>
                <c:pt idx="1">
                  <c:v>4509.2945386645297</c:v>
                </c:pt>
                <c:pt idx="2">
                  <c:v>4495.4821574847447</c:v>
                </c:pt>
                <c:pt idx="3">
                  <c:v>4202.8326840334439</c:v>
                </c:pt>
                <c:pt idx="4">
                  <c:v>4668.1925864876439</c:v>
                </c:pt>
                <c:pt idx="5">
                  <c:v>5082.097785300356</c:v>
                </c:pt>
                <c:pt idx="6">
                  <c:v>4614.7107553890673</c:v>
                </c:pt>
                <c:pt idx="7">
                  <c:v>4509.7123239648845</c:v>
                </c:pt>
                <c:pt idx="8">
                  <c:v>4495.8999427850995</c:v>
                </c:pt>
                <c:pt idx="9">
                  <c:v>4203.2504693337987</c:v>
                </c:pt>
                <c:pt idx="10">
                  <c:v>4668.6103717879987</c:v>
                </c:pt>
                <c:pt idx="11">
                  <c:v>5082.5155706007108</c:v>
                </c:pt>
                <c:pt idx="12">
                  <c:v>4615.1285406894222</c:v>
                </c:pt>
                <c:pt idx="13">
                  <c:v>4510.1301092652393</c:v>
                </c:pt>
                <c:pt idx="14">
                  <c:v>4496.3177280854543</c:v>
                </c:pt>
                <c:pt idx="15">
                  <c:v>4203.6682546341535</c:v>
                </c:pt>
                <c:pt idx="16">
                  <c:v>4669.0281570883535</c:v>
                </c:pt>
                <c:pt idx="17">
                  <c:v>5082.9333559010656</c:v>
                </c:pt>
                <c:pt idx="18">
                  <c:v>4615.5463259897779</c:v>
                </c:pt>
                <c:pt idx="19">
                  <c:v>4510.5478945655941</c:v>
                </c:pt>
                <c:pt idx="20">
                  <c:v>4496.7355133858091</c:v>
                </c:pt>
                <c:pt idx="21">
                  <c:v>4204.0860399345092</c:v>
                </c:pt>
                <c:pt idx="22">
                  <c:v>4669.4459423887083</c:v>
                </c:pt>
                <c:pt idx="23">
                  <c:v>5083.3511412014204</c:v>
                </c:pt>
                <c:pt idx="24">
                  <c:v>4615.9641112901327</c:v>
                </c:pt>
                <c:pt idx="25">
                  <c:v>4510.9656798659489</c:v>
                </c:pt>
                <c:pt idx="26">
                  <c:v>4497.1532986861639</c:v>
                </c:pt>
                <c:pt idx="27">
                  <c:v>4204.5038252348641</c:v>
                </c:pt>
                <c:pt idx="28">
                  <c:v>4669.8637276890631</c:v>
                </c:pt>
                <c:pt idx="29">
                  <c:v>5083.7689265017752</c:v>
                </c:pt>
                <c:pt idx="30">
                  <c:v>4616.3818965904875</c:v>
                </c:pt>
                <c:pt idx="31">
                  <c:v>4511.3834651663037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EE4C-B3C9-AC2A2DA0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97871"/>
        <c:axId val="155209055"/>
      </c:lineChart>
      <c:dateAx>
        <c:axId val="154397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>
                    <a:solidFill>
                      <a:schemeClr val="tx1"/>
                    </a:solidFill>
                  </a:rPr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09055"/>
        <c:crosses val="autoZero"/>
        <c:auto val="1"/>
        <c:lblOffset val="100"/>
        <c:baseTimeUnit val="days"/>
      </c:dateAx>
      <c:valAx>
        <c:axId val="15520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25128"/>
                </a:schemeClr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Revenue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97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Actual Values vs. Forecasted Values with Interval</a:t>
            </a:r>
            <a:r>
              <a:rPr lang="en-US" b="1" baseline="0">
                <a:solidFill>
                  <a:schemeClr val="tx1"/>
                </a:solidFill>
              </a:rPr>
              <a:t> Bounds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forecastRevenue!$B$1</c:f>
              <c:strCache>
                <c:ptCount val="1"/>
                <c:pt idx="0">
                  <c:v>Actual Values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forecastRevenue!$A$2:$A$33</c:f>
              <c:numCache>
                <c:formatCode>m/d/yy</c:formatCode>
                <c:ptCount val="32"/>
                <c:pt idx="0">
                  <c:v>45261</c:v>
                </c:pt>
                <c:pt idx="1">
                  <c:v>45262</c:v>
                </c:pt>
                <c:pt idx="2">
                  <c:v>45263</c:v>
                </c:pt>
                <c:pt idx="3">
                  <c:v>45264</c:v>
                </c:pt>
                <c:pt idx="4">
                  <c:v>45265</c:v>
                </c:pt>
                <c:pt idx="5">
                  <c:v>45266</c:v>
                </c:pt>
                <c:pt idx="6">
                  <c:v>45267</c:v>
                </c:pt>
                <c:pt idx="7">
                  <c:v>45268</c:v>
                </c:pt>
                <c:pt idx="8">
                  <c:v>45269</c:v>
                </c:pt>
                <c:pt idx="9">
                  <c:v>45270</c:v>
                </c:pt>
                <c:pt idx="10">
                  <c:v>45271</c:v>
                </c:pt>
                <c:pt idx="11">
                  <c:v>45272</c:v>
                </c:pt>
                <c:pt idx="12">
                  <c:v>45273</c:v>
                </c:pt>
                <c:pt idx="13">
                  <c:v>45274</c:v>
                </c:pt>
                <c:pt idx="14">
                  <c:v>45275</c:v>
                </c:pt>
                <c:pt idx="15">
                  <c:v>45276</c:v>
                </c:pt>
                <c:pt idx="16">
                  <c:v>45277</c:v>
                </c:pt>
                <c:pt idx="17">
                  <c:v>45278</c:v>
                </c:pt>
                <c:pt idx="18">
                  <c:v>45279</c:v>
                </c:pt>
                <c:pt idx="19">
                  <c:v>45280</c:v>
                </c:pt>
                <c:pt idx="20">
                  <c:v>45281</c:v>
                </c:pt>
                <c:pt idx="21">
                  <c:v>45282</c:v>
                </c:pt>
                <c:pt idx="22">
                  <c:v>45283</c:v>
                </c:pt>
                <c:pt idx="23">
                  <c:v>45284</c:v>
                </c:pt>
                <c:pt idx="24">
                  <c:v>45285</c:v>
                </c:pt>
                <c:pt idx="25">
                  <c:v>45286</c:v>
                </c:pt>
                <c:pt idx="26">
                  <c:v>45287</c:v>
                </c:pt>
                <c:pt idx="27">
                  <c:v>45288</c:v>
                </c:pt>
                <c:pt idx="28">
                  <c:v>45289</c:v>
                </c:pt>
                <c:pt idx="29">
                  <c:v>45290</c:v>
                </c:pt>
                <c:pt idx="30">
                  <c:v>45291</c:v>
                </c:pt>
                <c:pt idx="31">
                  <c:v>45292</c:v>
                </c:pt>
              </c:numCache>
            </c:numRef>
          </c:cat>
          <c:val>
            <c:numRef>
              <c:f>forecastRevenue!$B$2:$B$33</c:f>
              <c:numCache>
                <c:formatCode>"$"#,##0.00</c:formatCode>
                <c:ptCount val="32"/>
                <c:pt idx="0">
                  <c:v>5121.2299999999996</c:v>
                </c:pt>
                <c:pt idx="1">
                  <c:v>4776.32</c:v>
                </c:pt>
                <c:pt idx="2">
                  <c:v>3948.97</c:v>
                </c:pt>
                <c:pt idx="3">
                  <c:v>4677.17</c:v>
                </c:pt>
                <c:pt idx="4">
                  <c:v>3357.66</c:v>
                </c:pt>
                <c:pt idx="5">
                  <c:v>3899.73</c:v>
                </c:pt>
                <c:pt idx="6">
                  <c:v>4441.8599999999997</c:v>
                </c:pt>
                <c:pt idx="7">
                  <c:v>4473.97</c:v>
                </c:pt>
                <c:pt idx="8">
                  <c:v>4303.3100000000004</c:v>
                </c:pt>
                <c:pt idx="9">
                  <c:v>4390.62</c:v>
                </c:pt>
                <c:pt idx="10">
                  <c:v>4087.65</c:v>
                </c:pt>
                <c:pt idx="11">
                  <c:v>4374.6000000000004</c:v>
                </c:pt>
                <c:pt idx="12">
                  <c:v>3974.27</c:v>
                </c:pt>
                <c:pt idx="13">
                  <c:v>4151.0200000000004</c:v>
                </c:pt>
                <c:pt idx="14">
                  <c:v>4742.2</c:v>
                </c:pt>
                <c:pt idx="15">
                  <c:v>3449.65</c:v>
                </c:pt>
                <c:pt idx="16">
                  <c:v>3414.24</c:v>
                </c:pt>
                <c:pt idx="17">
                  <c:v>3613.87</c:v>
                </c:pt>
                <c:pt idx="18">
                  <c:v>3375.58</c:v>
                </c:pt>
                <c:pt idx="19">
                  <c:v>4444.8</c:v>
                </c:pt>
                <c:pt idx="20">
                  <c:v>4872.91</c:v>
                </c:pt>
                <c:pt idx="21">
                  <c:v>4058.65</c:v>
                </c:pt>
                <c:pt idx="22">
                  <c:v>3802.16</c:v>
                </c:pt>
                <c:pt idx="23">
                  <c:v>3527.43</c:v>
                </c:pt>
                <c:pt idx="24">
                  <c:v>3689.43</c:v>
                </c:pt>
                <c:pt idx="25">
                  <c:v>4962.5200000000004</c:v>
                </c:pt>
                <c:pt idx="26">
                  <c:v>4334.3</c:v>
                </c:pt>
                <c:pt idx="27">
                  <c:v>4856.16</c:v>
                </c:pt>
                <c:pt idx="28">
                  <c:v>3416.9</c:v>
                </c:pt>
                <c:pt idx="29">
                  <c:v>4728.2299999999996</c:v>
                </c:pt>
                <c:pt idx="30">
                  <c:v>4598.3100000000004</c:v>
                </c:pt>
                <c:pt idx="31">
                  <c:v>3770.74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C84C-AE4A-581CCE1FEE35}"/>
            </c:ext>
          </c:extLst>
        </c:ser>
        <c:ser>
          <c:idx val="1"/>
          <c:order val="1"/>
          <c:tx>
            <c:strRef>
              <c:f>forecastRevenue!$C$1</c:f>
              <c:strCache>
                <c:ptCount val="1"/>
                <c:pt idx="0">
                  <c:v>Forecasted Values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forecastRevenue!$A$2:$A$33</c:f>
              <c:numCache>
                <c:formatCode>m/d/yy</c:formatCode>
                <c:ptCount val="32"/>
                <c:pt idx="0">
                  <c:v>45261</c:v>
                </c:pt>
                <c:pt idx="1">
                  <c:v>45262</c:v>
                </c:pt>
                <c:pt idx="2">
                  <c:v>45263</c:v>
                </c:pt>
                <c:pt idx="3">
                  <c:v>45264</c:v>
                </c:pt>
                <c:pt idx="4">
                  <c:v>45265</c:v>
                </c:pt>
                <c:pt idx="5">
                  <c:v>45266</c:v>
                </c:pt>
                <c:pt idx="6">
                  <c:v>45267</c:v>
                </c:pt>
                <c:pt idx="7">
                  <c:v>45268</c:v>
                </c:pt>
                <c:pt idx="8">
                  <c:v>45269</c:v>
                </c:pt>
                <c:pt idx="9">
                  <c:v>45270</c:v>
                </c:pt>
                <c:pt idx="10">
                  <c:v>45271</c:v>
                </c:pt>
                <c:pt idx="11">
                  <c:v>45272</c:v>
                </c:pt>
                <c:pt idx="12">
                  <c:v>45273</c:v>
                </c:pt>
                <c:pt idx="13">
                  <c:v>45274</c:v>
                </c:pt>
                <c:pt idx="14">
                  <c:v>45275</c:v>
                </c:pt>
                <c:pt idx="15">
                  <c:v>45276</c:v>
                </c:pt>
                <c:pt idx="16">
                  <c:v>45277</c:v>
                </c:pt>
                <c:pt idx="17">
                  <c:v>45278</c:v>
                </c:pt>
                <c:pt idx="18">
                  <c:v>45279</c:v>
                </c:pt>
                <c:pt idx="19">
                  <c:v>45280</c:v>
                </c:pt>
                <c:pt idx="20">
                  <c:v>45281</c:v>
                </c:pt>
                <c:pt idx="21">
                  <c:v>45282</c:v>
                </c:pt>
                <c:pt idx="22">
                  <c:v>45283</c:v>
                </c:pt>
                <c:pt idx="23">
                  <c:v>45284</c:v>
                </c:pt>
                <c:pt idx="24">
                  <c:v>45285</c:v>
                </c:pt>
                <c:pt idx="25">
                  <c:v>45286</c:v>
                </c:pt>
                <c:pt idx="26">
                  <c:v>45287</c:v>
                </c:pt>
                <c:pt idx="27">
                  <c:v>45288</c:v>
                </c:pt>
                <c:pt idx="28">
                  <c:v>45289</c:v>
                </c:pt>
                <c:pt idx="29">
                  <c:v>45290</c:v>
                </c:pt>
                <c:pt idx="30">
                  <c:v>45291</c:v>
                </c:pt>
                <c:pt idx="31">
                  <c:v>45292</c:v>
                </c:pt>
              </c:numCache>
            </c:numRef>
          </c:cat>
          <c:val>
            <c:numRef>
              <c:f>forecastRevenue!$C$2:$C$33</c:f>
              <c:numCache>
                <c:formatCode>"$"#,##0.00</c:formatCode>
                <c:ptCount val="32"/>
                <c:pt idx="0">
                  <c:v>4614.2929700887125</c:v>
                </c:pt>
                <c:pt idx="1">
                  <c:v>4509.2945386645297</c:v>
                </c:pt>
                <c:pt idx="2">
                  <c:v>4495.4821574847447</c:v>
                </c:pt>
                <c:pt idx="3">
                  <c:v>4202.8326840334439</c:v>
                </c:pt>
                <c:pt idx="4">
                  <c:v>4668.1925864876439</c:v>
                </c:pt>
                <c:pt idx="5">
                  <c:v>5082.097785300356</c:v>
                </c:pt>
                <c:pt idx="6">
                  <c:v>4614.7107553890673</c:v>
                </c:pt>
                <c:pt idx="7">
                  <c:v>4509.7123239648845</c:v>
                </c:pt>
                <c:pt idx="8">
                  <c:v>4495.8999427850995</c:v>
                </c:pt>
                <c:pt idx="9">
                  <c:v>4203.2504693337987</c:v>
                </c:pt>
                <c:pt idx="10">
                  <c:v>4668.6103717879987</c:v>
                </c:pt>
                <c:pt idx="11">
                  <c:v>5082.5155706007108</c:v>
                </c:pt>
                <c:pt idx="12">
                  <c:v>4615.1285406894222</c:v>
                </c:pt>
                <c:pt idx="13">
                  <c:v>4510.1301092652393</c:v>
                </c:pt>
                <c:pt idx="14">
                  <c:v>4496.3177280854543</c:v>
                </c:pt>
                <c:pt idx="15">
                  <c:v>4203.6682546341535</c:v>
                </c:pt>
                <c:pt idx="16">
                  <c:v>4669.0281570883535</c:v>
                </c:pt>
                <c:pt idx="17">
                  <c:v>5082.9333559010656</c:v>
                </c:pt>
                <c:pt idx="18">
                  <c:v>4615.5463259897779</c:v>
                </c:pt>
                <c:pt idx="19">
                  <c:v>4510.5478945655941</c:v>
                </c:pt>
                <c:pt idx="20">
                  <c:v>4496.7355133858091</c:v>
                </c:pt>
                <c:pt idx="21">
                  <c:v>4204.0860399345092</c:v>
                </c:pt>
                <c:pt idx="22">
                  <c:v>4669.4459423887083</c:v>
                </c:pt>
                <c:pt idx="23">
                  <c:v>5083.3511412014204</c:v>
                </c:pt>
                <c:pt idx="24">
                  <c:v>4615.9641112901327</c:v>
                </c:pt>
                <c:pt idx="25">
                  <c:v>4510.9656798659489</c:v>
                </c:pt>
                <c:pt idx="26">
                  <c:v>4497.1532986861639</c:v>
                </c:pt>
                <c:pt idx="27">
                  <c:v>4204.5038252348641</c:v>
                </c:pt>
                <c:pt idx="28">
                  <c:v>4669.8637276890631</c:v>
                </c:pt>
                <c:pt idx="29">
                  <c:v>5083.7689265017752</c:v>
                </c:pt>
                <c:pt idx="30">
                  <c:v>4616.3818965904875</c:v>
                </c:pt>
                <c:pt idx="31">
                  <c:v>4511.3834651663037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C84C-AE4A-581CCE1FEE35}"/>
            </c:ext>
          </c:extLst>
        </c:ser>
        <c:ser>
          <c:idx val="2"/>
          <c:order val="2"/>
          <c:tx>
            <c:strRef>
              <c:f>forecastRevenue!$D$1</c:f>
              <c:strCache>
                <c:ptCount val="1"/>
                <c:pt idx="0">
                  <c:v>Lower Bound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forecastRevenue!$A$2:$A$33</c:f>
              <c:numCache>
                <c:formatCode>m/d/yy</c:formatCode>
                <c:ptCount val="32"/>
                <c:pt idx="0">
                  <c:v>45261</c:v>
                </c:pt>
                <c:pt idx="1">
                  <c:v>45262</c:v>
                </c:pt>
                <c:pt idx="2">
                  <c:v>45263</c:v>
                </c:pt>
                <c:pt idx="3">
                  <c:v>45264</c:v>
                </c:pt>
                <c:pt idx="4">
                  <c:v>45265</c:v>
                </c:pt>
                <c:pt idx="5">
                  <c:v>45266</c:v>
                </c:pt>
                <c:pt idx="6">
                  <c:v>45267</c:v>
                </c:pt>
                <c:pt idx="7">
                  <c:v>45268</c:v>
                </c:pt>
                <c:pt idx="8">
                  <c:v>45269</c:v>
                </c:pt>
                <c:pt idx="9">
                  <c:v>45270</c:v>
                </c:pt>
                <c:pt idx="10">
                  <c:v>45271</c:v>
                </c:pt>
                <c:pt idx="11">
                  <c:v>45272</c:v>
                </c:pt>
                <c:pt idx="12">
                  <c:v>45273</c:v>
                </c:pt>
                <c:pt idx="13">
                  <c:v>45274</c:v>
                </c:pt>
                <c:pt idx="14">
                  <c:v>45275</c:v>
                </c:pt>
                <c:pt idx="15">
                  <c:v>45276</c:v>
                </c:pt>
                <c:pt idx="16">
                  <c:v>45277</c:v>
                </c:pt>
                <c:pt idx="17">
                  <c:v>45278</c:v>
                </c:pt>
                <c:pt idx="18">
                  <c:v>45279</c:v>
                </c:pt>
                <c:pt idx="19">
                  <c:v>45280</c:v>
                </c:pt>
                <c:pt idx="20">
                  <c:v>45281</c:v>
                </c:pt>
                <c:pt idx="21">
                  <c:v>45282</c:v>
                </c:pt>
                <c:pt idx="22">
                  <c:v>45283</c:v>
                </c:pt>
                <c:pt idx="23">
                  <c:v>45284</c:v>
                </c:pt>
                <c:pt idx="24">
                  <c:v>45285</c:v>
                </c:pt>
                <c:pt idx="25">
                  <c:v>45286</c:v>
                </c:pt>
                <c:pt idx="26">
                  <c:v>45287</c:v>
                </c:pt>
                <c:pt idx="27">
                  <c:v>45288</c:v>
                </c:pt>
                <c:pt idx="28">
                  <c:v>45289</c:v>
                </c:pt>
                <c:pt idx="29">
                  <c:v>45290</c:v>
                </c:pt>
                <c:pt idx="30">
                  <c:v>45291</c:v>
                </c:pt>
                <c:pt idx="31">
                  <c:v>45292</c:v>
                </c:pt>
              </c:numCache>
            </c:numRef>
          </c:cat>
          <c:val>
            <c:numRef>
              <c:f>forecastRevenue!$D$2:$D$33</c:f>
              <c:numCache>
                <c:formatCode>"$"#,##0.00</c:formatCode>
                <c:ptCount val="32"/>
                <c:pt idx="0">
                  <c:v>3325.1220539516016</c:v>
                </c:pt>
                <c:pt idx="1">
                  <c:v>3220.1178212713494</c:v>
                </c:pt>
                <c:pt idx="2">
                  <c:v>3206.2951268118977</c:v>
                </c:pt>
                <c:pt idx="3">
                  <c:v>2913.6295390262858</c:v>
                </c:pt>
                <c:pt idx="4">
                  <c:v>3378.9662371929267</c:v>
                </c:pt>
                <c:pt idx="5">
                  <c:v>3792.8398530631002</c:v>
                </c:pt>
                <c:pt idx="6">
                  <c:v>3283.240578789243</c:v>
                </c:pt>
                <c:pt idx="7">
                  <c:v>3178.1915955988188</c:v>
                </c:pt>
                <c:pt idx="8">
                  <c:v>3164.316807478257</c:v>
                </c:pt>
                <c:pt idx="9">
                  <c:v>2871.5918255390111</c:v>
                </c:pt>
                <c:pt idx="10">
                  <c:v>3336.86187223145</c:v>
                </c:pt>
                <c:pt idx="11">
                  <c:v>3750.6616230561085</c:v>
                </c:pt>
                <c:pt idx="12">
                  <c:v>3240.4769423492471</c:v>
                </c:pt>
                <c:pt idx="13">
                  <c:v>3135.3425045092627</c:v>
                </c:pt>
                <c:pt idx="14">
                  <c:v>3121.3753946134884</c:v>
                </c:pt>
                <c:pt idx="15">
                  <c:v>2828.5512678688538</c:v>
                </c:pt>
                <c:pt idx="16">
                  <c:v>3293.7153916181105</c:v>
                </c:pt>
                <c:pt idx="17">
                  <c:v>3707.4024871011602</c:v>
                </c:pt>
                <c:pt idx="18">
                  <c:v>3196.6586717407431</c:v>
                </c:pt>
                <c:pt idx="19">
                  <c:v>3091.4019892872025</c:v>
                </c:pt>
                <c:pt idx="20">
                  <c:v>3077.3062302203825</c:v>
                </c:pt>
                <c:pt idx="21">
                  <c:v>2784.3470964590188</c:v>
                </c:pt>
                <c:pt idx="22">
                  <c:v>3249.3699030401503</c:v>
                </c:pt>
                <c:pt idx="23">
                  <c:v>3662.9094199175897</c:v>
                </c:pt>
                <c:pt idx="24">
                  <c:v>3151.6361854854658</c:v>
                </c:pt>
                <c:pt idx="25">
                  <c:v>3046.2241175639206</c:v>
                </c:pt>
                <c:pt idx="26">
                  <c:v>3031.9670230647389</c:v>
                </c:pt>
                <c:pt idx="27">
                  <c:v>2738.8406538281852</c:v>
                </c:pt>
                <c:pt idx="28">
                  <c:v>3203.6903758974695</c:v>
                </c:pt>
                <c:pt idx="29">
                  <c:v>3617.0510113420742</c:v>
                </c:pt>
                <c:pt idx="30">
                  <c:v>3105.280549563875</c:v>
                </c:pt>
                <c:pt idx="31">
                  <c:v>2999.6833767811786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4B-C84C-AE4A-581CCE1FEE35}"/>
            </c:ext>
          </c:extLst>
        </c:ser>
        <c:ser>
          <c:idx val="3"/>
          <c:order val="3"/>
          <c:tx>
            <c:strRef>
              <c:f>forecastRevenue!$E$1</c:f>
              <c:strCache>
                <c:ptCount val="1"/>
                <c:pt idx="0">
                  <c:v>Upper Bound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forecastRevenue!$A$2:$A$33</c:f>
              <c:numCache>
                <c:formatCode>m/d/yy</c:formatCode>
                <c:ptCount val="32"/>
                <c:pt idx="0">
                  <c:v>45261</c:v>
                </c:pt>
                <c:pt idx="1">
                  <c:v>45262</c:v>
                </c:pt>
                <c:pt idx="2">
                  <c:v>45263</c:v>
                </c:pt>
                <c:pt idx="3">
                  <c:v>45264</c:v>
                </c:pt>
                <c:pt idx="4">
                  <c:v>45265</c:v>
                </c:pt>
                <c:pt idx="5">
                  <c:v>45266</c:v>
                </c:pt>
                <c:pt idx="6">
                  <c:v>45267</c:v>
                </c:pt>
                <c:pt idx="7">
                  <c:v>45268</c:v>
                </c:pt>
                <c:pt idx="8">
                  <c:v>45269</c:v>
                </c:pt>
                <c:pt idx="9">
                  <c:v>45270</c:v>
                </c:pt>
                <c:pt idx="10">
                  <c:v>45271</c:v>
                </c:pt>
                <c:pt idx="11">
                  <c:v>45272</c:v>
                </c:pt>
                <c:pt idx="12">
                  <c:v>45273</c:v>
                </c:pt>
                <c:pt idx="13">
                  <c:v>45274</c:v>
                </c:pt>
                <c:pt idx="14">
                  <c:v>45275</c:v>
                </c:pt>
                <c:pt idx="15">
                  <c:v>45276</c:v>
                </c:pt>
                <c:pt idx="16">
                  <c:v>45277</c:v>
                </c:pt>
                <c:pt idx="17">
                  <c:v>45278</c:v>
                </c:pt>
                <c:pt idx="18">
                  <c:v>45279</c:v>
                </c:pt>
                <c:pt idx="19">
                  <c:v>45280</c:v>
                </c:pt>
                <c:pt idx="20">
                  <c:v>45281</c:v>
                </c:pt>
                <c:pt idx="21">
                  <c:v>45282</c:v>
                </c:pt>
                <c:pt idx="22">
                  <c:v>45283</c:v>
                </c:pt>
                <c:pt idx="23">
                  <c:v>45284</c:v>
                </c:pt>
                <c:pt idx="24">
                  <c:v>45285</c:v>
                </c:pt>
                <c:pt idx="25">
                  <c:v>45286</c:v>
                </c:pt>
                <c:pt idx="26">
                  <c:v>45287</c:v>
                </c:pt>
                <c:pt idx="27">
                  <c:v>45288</c:v>
                </c:pt>
                <c:pt idx="28">
                  <c:v>45289</c:v>
                </c:pt>
                <c:pt idx="29">
                  <c:v>45290</c:v>
                </c:pt>
                <c:pt idx="30">
                  <c:v>45291</c:v>
                </c:pt>
                <c:pt idx="31">
                  <c:v>45292</c:v>
                </c:pt>
              </c:numCache>
            </c:numRef>
          </c:cat>
          <c:val>
            <c:numRef>
              <c:f>forecastRevenue!$E$2:$E$33</c:f>
              <c:numCache>
                <c:formatCode>"$"#,##0.00</c:formatCode>
                <c:ptCount val="32"/>
                <c:pt idx="0">
                  <c:v>5903.4638862258234</c:v>
                </c:pt>
                <c:pt idx="1">
                  <c:v>5798.47125605771</c:v>
                </c:pt>
                <c:pt idx="2">
                  <c:v>5784.6691881575916</c:v>
                </c:pt>
                <c:pt idx="3">
                  <c:v>5492.035829040602</c:v>
                </c:pt>
                <c:pt idx="4">
                  <c:v>5957.4189357823616</c:v>
                </c:pt>
                <c:pt idx="5">
                  <c:v>6371.3557175376118</c:v>
                </c:pt>
                <c:pt idx="6">
                  <c:v>5946.1809319888916</c:v>
                </c:pt>
                <c:pt idx="7">
                  <c:v>5841.2330523309502</c:v>
                </c:pt>
                <c:pt idx="8">
                  <c:v>5827.4830780919419</c:v>
                </c:pt>
                <c:pt idx="9">
                  <c:v>5534.9091131285859</c:v>
                </c:pt>
                <c:pt idx="10">
                  <c:v>6000.3588713445479</c:v>
                </c:pt>
                <c:pt idx="11">
                  <c:v>6414.3695181453131</c:v>
                </c:pt>
                <c:pt idx="12">
                  <c:v>5989.7801390295972</c:v>
                </c:pt>
                <c:pt idx="13">
                  <c:v>5884.9177140212159</c:v>
                </c:pt>
                <c:pt idx="14">
                  <c:v>5871.2600615574202</c:v>
                </c:pt>
                <c:pt idx="15">
                  <c:v>5578.7852413994533</c:v>
                </c:pt>
                <c:pt idx="16">
                  <c:v>6044.3409225585965</c:v>
                </c:pt>
                <c:pt idx="17">
                  <c:v>6458.4642247009706</c:v>
                </c:pt>
                <c:pt idx="18">
                  <c:v>6034.4339802388131</c:v>
                </c:pt>
                <c:pt idx="19">
                  <c:v>5929.6937998439862</c:v>
                </c:pt>
                <c:pt idx="20">
                  <c:v>5916.1647965512357</c:v>
                </c:pt>
                <c:pt idx="21">
                  <c:v>5623.8249834099997</c:v>
                </c:pt>
                <c:pt idx="22">
                  <c:v>6089.5219817372663</c:v>
                </c:pt>
                <c:pt idx="23">
                  <c:v>6503.7928624852511</c:v>
                </c:pt>
                <c:pt idx="24">
                  <c:v>6080.2920370947995</c:v>
                </c:pt>
                <c:pt idx="25">
                  <c:v>5975.7072421679768</c:v>
                </c:pt>
                <c:pt idx="26">
                  <c:v>5962.3395743075889</c:v>
                </c:pt>
                <c:pt idx="27">
                  <c:v>5670.1669966415429</c:v>
                </c:pt>
                <c:pt idx="28">
                  <c:v>6136.0370794806568</c:v>
                </c:pt>
                <c:pt idx="29">
                  <c:v>6550.4868416614763</c:v>
                </c:pt>
                <c:pt idx="30">
                  <c:v>6127.4832436171</c:v>
                </c:pt>
                <c:pt idx="31">
                  <c:v>6023.0835535514288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4B-C84C-AE4A-581CCE1FE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01487"/>
        <c:axId val="155704399"/>
      </c:lineChart>
      <c:dateAx>
        <c:axId val="319001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704399"/>
        <c:crosses val="autoZero"/>
        <c:auto val="1"/>
        <c:lblOffset val="100"/>
        <c:baseTimeUnit val="days"/>
      </c:dateAx>
      <c:valAx>
        <c:axId val="15570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Revenue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01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Metrics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0E-514C-8E9F-A7177B80B9D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80E-514C-8E9F-A7177B80B9DE}"/>
              </c:ext>
            </c:extLst>
          </c:dPt>
          <c:dLbls>
            <c:dLbl>
              <c:idx val="0"/>
              <c:layout>
                <c:manualLayout>
                  <c:x val="0"/>
                  <c:y val="1.13960113960113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0E-514C-8E9F-A7177B80B9DE}"/>
                </c:ext>
              </c:extLst>
            </c:dLbl>
            <c:dLbl>
              <c:idx val="1"/>
              <c:layout>
                <c:manualLayout>
                  <c:x val="0"/>
                  <c:y val="8.547008547008547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0E-514C-8E9F-A7177B80B9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forecastMetrics!$A$3:$A$4</c:f>
              <c:strCache>
                <c:ptCount val="2"/>
                <c:pt idx="0">
                  <c:v>Root Mean Squared Error</c:v>
                </c:pt>
                <c:pt idx="1">
                  <c:v>Mean Absolute Error</c:v>
                </c:pt>
              </c:strCache>
            </c:strRef>
          </c:cat>
          <c:val>
            <c:numRef>
              <c:f>forecastMetrics!$B$3:$B$4</c:f>
              <c:numCache>
                <c:formatCode>0.00</c:formatCode>
                <c:ptCount val="2"/>
                <c:pt idx="0">
                  <c:v>759.25715206677978</c:v>
                </c:pt>
                <c:pt idx="1">
                  <c:v>615.60028977156628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E-514C-8E9F-A7177B80B9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6928831"/>
        <c:axId val="816930559"/>
      </c:barChart>
      <c:catAx>
        <c:axId val="816928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Metric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930559"/>
        <c:crosses val="autoZero"/>
        <c:auto val="1"/>
        <c:lblAlgn val="ctr"/>
        <c:lblOffset val="100"/>
        <c:noMultiLvlLbl val="0"/>
      </c:catAx>
      <c:valAx>
        <c:axId val="816930559"/>
        <c:scaling>
          <c:orientation val="minMax"/>
          <c:max val="80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928831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baseline="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Future Revenue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forecastFutureRevenue!$B$1</c:f>
              <c:strCache>
                <c:ptCount val="1"/>
                <c:pt idx="0">
                  <c:v>Forecasted Values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forecastFutureRevenue!$A$2:$A$31</c:f>
              <c:numCache>
                <c:formatCode>m/d/yy</c:formatCode>
                <c:ptCount val="3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45297</c:v>
                </c:pt>
                <c:pt idx="5">
                  <c:v>45298</c:v>
                </c:pt>
                <c:pt idx="6">
                  <c:v>45299</c:v>
                </c:pt>
                <c:pt idx="7">
                  <c:v>45300</c:v>
                </c:pt>
                <c:pt idx="8">
                  <c:v>45301</c:v>
                </c:pt>
                <c:pt idx="9">
                  <c:v>45302</c:v>
                </c:pt>
                <c:pt idx="10">
                  <c:v>45303</c:v>
                </c:pt>
                <c:pt idx="11">
                  <c:v>45304</c:v>
                </c:pt>
                <c:pt idx="12">
                  <c:v>45305</c:v>
                </c:pt>
                <c:pt idx="13">
                  <c:v>45306</c:v>
                </c:pt>
                <c:pt idx="14">
                  <c:v>45307</c:v>
                </c:pt>
                <c:pt idx="15">
                  <c:v>45308</c:v>
                </c:pt>
                <c:pt idx="16">
                  <c:v>45309</c:v>
                </c:pt>
                <c:pt idx="17">
                  <c:v>45310</c:v>
                </c:pt>
                <c:pt idx="18">
                  <c:v>45311</c:v>
                </c:pt>
                <c:pt idx="19">
                  <c:v>45312</c:v>
                </c:pt>
                <c:pt idx="20">
                  <c:v>45313</c:v>
                </c:pt>
                <c:pt idx="21">
                  <c:v>45314</c:v>
                </c:pt>
                <c:pt idx="22">
                  <c:v>45315</c:v>
                </c:pt>
                <c:pt idx="23">
                  <c:v>45316</c:v>
                </c:pt>
                <c:pt idx="24">
                  <c:v>45317</c:v>
                </c:pt>
                <c:pt idx="25">
                  <c:v>45318</c:v>
                </c:pt>
                <c:pt idx="26">
                  <c:v>45319</c:v>
                </c:pt>
                <c:pt idx="27">
                  <c:v>45320</c:v>
                </c:pt>
                <c:pt idx="28">
                  <c:v>45321</c:v>
                </c:pt>
                <c:pt idx="29">
                  <c:v>45322</c:v>
                </c:pt>
              </c:numCache>
            </c:numRef>
          </c:cat>
          <c:val>
            <c:numRef>
              <c:f>forecastFutureRevenue!$B$2:$B$31</c:f>
              <c:numCache>
                <c:formatCode>"$"#,##0.00</c:formatCode>
                <c:ptCount val="30"/>
                <c:pt idx="0">
                  <c:v>3770.79407004628</c:v>
                </c:pt>
                <c:pt idx="1">
                  <c:v>3770.8481400925543</c:v>
                </c:pt>
                <c:pt idx="2">
                  <c:v>3770.9022101388341</c:v>
                </c:pt>
                <c:pt idx="3">
                  <c:v>3770.9562801851084</c:v>
                </c:pt>
                <c:pt idx="4">
                  <c:v>3771.0103502313877</c:v>
                </c:pt>
                <c:pt idx="5">
                  <c:v>3771.0644202776621</c:v>
                </c:pt>
                <c:pt idx="6">
                  <c:v>3771.1184903239418</c:v>
                </c:pt>
                <c:pt idx="7">
                  <c:v>3771.1725603702162</c:v>
                </c:pt>
                <c:pt idx="8">
                  <c:v>3771.2266304164959</c:v>
                </c:pt>
                <c:pt idx="9">
                  <c:v>3771.2807004627703</c:v>
                </c:pt>
                <c:pt idx="10">
                  <c:v>3771.33477050905</c:v>
                </c:pt>
                <c:pt idx="11">
                  <c:v>3771.3888405553244</c:v>
                </c:pt>
                <c:pt idx="12">
                  <c:v>3771.4429106016041</c:v>
                </c:pt>
                <c:pt idx="13">
                  <c:v>3771.496980647878</c:v>
                </c:pt>
                <c:pt idx="14">
                  <c:v>3771.5510506941578</c:v>
                </c:pt>
                <c:pt idx="15">
                  <c:v>3771.6051207404321</c:v>
                </c:pt>
                <c:pt idx="16">
                  <c:v>3771.6591907867119</c:v>
                </c:pt>
                <c:pt idx="17">
                  <c:v>3771.7132608329862</c:v>
                </c:pt>
                <c:pt idx="18">
                  <c:v>3771.767330879266</c:v>
                </c:pt>
                <c:pt idx="19">
                  <c:v>3771.8214009255403</c:v>
                </c:pt>
                <c:pt idx="20">
                  <c:v>3771.8754709718201</c:v>
                </c:pt>
                <c:pt idx="21">
                  <c:v>3771.9295410180944</c:v>
                </c:pt>
                <c:pt idx="22">
                  <c:v>3771.9836110643737</c:v>
                </c:pt>
                <c:pt idx="23">
                  <c:v>3772.037681110648</c:v>
                </c:pt>
                <c:pt idx="24">
                  <c:v>3772.0917511569278</c:v>
                </c:pt>
                <c:pt idx="25">
                  <c:v>3772.1458212032021</c:v>
                </c:pt>
                <c:pt idx="26">
                  <c:v>3772.1998912494819</c:v>
                </c:pt>
                <c:pt idx="27">
                  <c:v>3772.2539612957562</c:v>
                </c:pt>
                <c:pt idx="28">
                  <c:v>3772.308031342036</c:v>
                </c:pt>
                <c:pt idx="29">
                  <c:v>3772.3621013883103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4-0640-87F3-C0728616F5A4}"/>
            </c:ext>
          </c:extLst>
        </c:ser>
        <c:ser>
          <c:idx val="1"/>
          <c:order val="1"/>
          <c:tx>
            <c:strRef>
              <c:f>forecastFutureRevenue!$C$1</c:f>
              <c:strCache>
                <c:ptCount val="1"/>
                <c:pt idx="0">
                  <c:v>Lower Bound</c:v>
                </c:pt>
              </c:strCache>
            </c:strRef>
          </c:tx>
          <c:spPr>
            <a:ln w="28575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forecastFutureRevenue!$A$2:$A$31</c:f>
              <c:numCache>
                <c:formatCode>m/d/yy</c:formatCode>
                <c:ptCount val="3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45297</c:v>
                </c:pt>
                <c:pt idx="5">
                  <c:v>45298</c:v>
                </c:pt>
                <c:pt idx="6">
                  <c:v>45299</c:v>
                </c:pt>
                <c:pt idx="7">
                  <c:v>45300</c:v>
                </c:pt>
                <c:pt idx="8">
                  <c:v>45301</c:v>
                </c:pt>
                <c:pt idx="9">
                  <c:v>45302</c:v>
                </c:pt>
                <c:pt idx="10">
                  <c:v>45303</c:v>
                </c:pt>
                <c:pt idx="11">
                  <c:v>45304</c:v>
                </c:pt>
                <c:pt idx="12">
                  <c:v>45305</c:v>
                </c:pt>
                <c:pt idx="13">
                  <c:v>45306</c:v>
                </c:pt>
                <c:pt idx="14">
                  <c:v>45307</c:v>
                </c:pt>
                <c:pt idx="15">
                  <c:v>45308</c:v>
                </c:pt>
                <c:pt idx="16">
                  <c:v>45309</c:v>
                </c:pt>
                <c:pt idx="17">
                  <c:v>45310</c:v>
                </c:pt>
                <c:pt idx="18">
                  <c:v>45311</c:v>
                </c:pt>
                <c:pt idx="19">
                  <c:v>45312</c:v>
                </c:pt>
                <c:pt idx="20">
                  <c:v>45313</c:v>
                </c:pt>
                <c:pt idx="21">
                  <c:v>45314</c:v>
                </c:pt>
                <c:pt idx="22">
                  <c:v>45315</c:v>
                </c:pt>
                <c:pt idx="23">
                  <c:v>45316</c:v>
                </c:pt>
                <c:pt idx="24">
                  <c:v>45317</c:v>
                </c:pt>
                <c:pt idx="25">
                  <c:v>45318</c:v>
                </c:pt>
                <c:pt idx="26">
                  <c:v>45319</c:v>
                </c:pt>
                <c:pt idx="27">
                  <c:v>45320</c:v>
                </c:pt>
                <c:pt idx="28">
                  <c:v>45321</c:v>
                </c:pt>
                <c:pt idx="29">
                  <c:v>45322</c:v>
                </c:pt>
              </c:numCache>
            </c:numRef>
          </c:cat>
          <c:val>
            <c:numRef>
              <c:f>forecastFutureRevenue!$C$2:$C$31</c:f>
              <c:numCache>
                <c:formatCode>"$"#,##0.00</c:formatCode>
                <c:ptCount val="30"/>
                <c:pt idx="0">
                  <c:v>2549.8257780932972</c:v>
                </c:pt>
                <c:pt idx="1">
                  <c:v>2540.0727358963286</c:v>
                </c:pt>
                <c:pt idx="2">
                  <c:v>2530.2440114779301</c:v>
                </c:pt>
                <c:pt idx="3">
                  <c:v>2520.3402070147158</c:v>
                </c:pt>
                <c:pt idx="4">
                  <c:v>2510.361919143495</c:v>
                </c:pt>
                <c:pt idx="5">
                  <c:v>2500.3097388271644</c:v>
                </c:pt>
                <c:pt idx="6">
                  <c:v>2490.1842512346575</c:v>
                </c:pt>
                <c:pt idx="7">
                  <c:v>2479.9860356340837</c:v>
                </c:pt>
                <c:pt idx="8">
                  <c:v>2469.7156652985391</c:v>
                </c:pt>
                <c:pt idx="9">
                  <c:v>2459.3737074237447</c:v>
                </c:pt>
                <c:pt idx="10">
                  <c:v>2448.9607230570527</c:v>
                </c:pt>
                <c:pt idx="11">
                  <c:v>2438.4772670370148</c:v>
                </c:pt>
                <c:pt idx="12">
                  <c:v>2427.9238879430968</c:v>
                </c:pt>
                <c:pt idx="13">
                  <c:v>2417.3011280547744</c:v>
                </c:pt>
                <c:pt idx="14">
                  <c:v>2406.6095233196429</c:v>
                </c:pt>
                <c:pt idx="15">
                  <c:v>2395.8496033298202</c:v>
                </c:pt>
                <c:pt idx="16">
                  <c:v>2385.021891306309</c:v>
                </c:pt>
                <c:pt idx="17">
                  <c:v>2374.1269040906536</c:v>
                </c:pt>
                <c:pt idx="18">
                  <c:v>2363.1651521435933</c:v>
                </c:pt>
                <c:pt idx="19">
                  <c:v>2352.1371395500823</c:v>
                </c:pt>
                <c:pt idx="20">
                  <c:v>2341.0433640304318</c:v>
                </c:pt>
                <c:pt idx="21">
                  <c:v>2329.8843169569764</c:v>
                </c:pt>
                <c:pt idx="22">
                  <c:v>2318.6604833760521</c:v>
                </c:pt>
                <c:pt idx="23">
                  <c:v>2307.372342034746</c:v>
                </c:pt>
                <c:pt idx="24">
                  <c:v>2296.0203654122188</c:v>
                </c:pt>
                <c:pt idx="25">
                  <c:v>2284.6050197551076</c:v>
                </c:pt>
                <c:pt idx="26">
                  <c:v>2273.1267651168469</c:v>
                </c:pt>
                <c:pt idx="27">
                  <c:v>2261.5860554004407</c:v>
                </c:pt>
                <c:pt idx="28">
                  <c:v>2249.9833384045596</c:v>
                </c:pt>
                <c:pt idx="29">
                  <c:v>2238.3190558725269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B4-0640-87F3-C0728616F5A4}"/>
            </c:ext>
          </c:extLst>
        </c:ser>
        <c:ser>
          <c:idx val="2"/>
          <c:order val="2"/>
          <c:tx>
            <c:strRef>
              <c:f>forecastFutureRevenue!$D$1</c:f>
              <c:strCache>
                <c:ptCount val="1"/>
                <c:pt idx="0">
                  <c:v>Upper Bound</c:v>
                </c:pt>
              </c:strCache>
            </c:strRef>
          </c:tx>
          <c:spPr>
            <a:ln w="28575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forecastFutureRevenue!$A$2:$A$31</c:f>
              <c:numCache>
                <c:formatCode>m/d/yy</c:formatCode>
                <c:ptCount val="3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45297</c:v>
                </c:pt>
                <c:pt idx="5">
                  <c:v>45298</c:v>
                </c:pt>
                <c:pt idx="6">
                  <c:v>45299</c:v>
                </c:pt>
                <c:pt idx="7">
                  <c:v>45300</c:v>
                </c:pt>
                <c:pt idx="8">
                  <c:v>45301</c:v>
                </c:pt>
                <c:pt idx="9">
                  <c:v>45302</c:v>
                </c:pt>
                <c:pt idx="10">
                  <c:v>45303</c:v>
                </c:pt>
                <c:pt idx="11">
                  <c:v>45304</c:v>
                </c:pt>
                <c:pt idx="12">
                  <c:v>45305</c:v>
                </c:pt>
                <c:pt idx="13">
                  <c:v>45306</c:v>
                </c:pt>
                <c:pt idx="14">
                  <c:v>45307</c:v>
                </c:pt>
                <c:pt idx="15">
                  <c:v>45308</c:v>
                </c:pt>
                <c:pt idx="16">
                  <c:v>45309</c:v>
                </c:pt>
                <c:pt idx="17">
                  <c:v>45310</c:v>
                </c:pt>
                <c:pt idx="18">
                  <c:v>45311</c:v>
                </c:pt>
                <c:pt idx="19">
                  <c:v>45312</c:v>
                </c:pt>
                <c:pt idx="20">
                  <c:v>45313</c:v>
                </c:pt>
                <c:pt idx="21">
                  <c:v>45314</c:v>
                </c:pt>
                <c:pt idx="22">
                  <c:v>45315</c:v>
                </c:pt>
                <c:pt idx="23">
                  <c:v>45316</c:v>
                </c:pt>
                <c:pt idx="24">
                  <c:v>45317</c:v>
                </c:pt>
                <c:pt idx="25">
                  <c:v>45318</c:v>
                </c:pt>
                <c:pt idx="26">
                  <c:v>45319</c:v>
                </c:pt>
                <c:pt idx="27">
                  <c:v>45320</c:v>
                </c:pt>
                <c:pt idx="28">
                  <c:v>45321</c:v>
                </c:pt>
                <c:pt idx="29">
                  <c:v>45322</c:v>
                </c:pt>
              </c:numCache>
            </c:numRef>
          </c:cat>
          <c:val>
            <c:numRef>
              <c:f>forecastFutureRevenue!$D$2:$D$31</c:f>
              <c:numCache>
                <c:formatCode>"$"#,##0.00</c:formatCode>
                <c:ptCount val="30"/>
                <c:pt idx="0">
                  <c:v>4991.7623619992628</c:v>
                </c:pt>
                <c:pt idx="1">
                  <c:v>5001.6235442887801</c:v>
                </c:pt>
                <c:pt idx="2">
                  <c:v>5011.5604087997381</c:v>
                </c:pt>
                <c:pt idx="3">
                  <c:v>5021.572353355501</c:v>
                </c:pt>
                <c:pt idx="4">
                  <c:v>5031.65878131928</c:v>
                </c:pt>
                <c:pt idx="5">
                  <c:v>5041.8191017281597</c:v>
                </c:pt>
                <c:pt idx="6">
                  <c:v>5052.0527294132262</c:v>
                </c:pt>
                <c:pt idx="7">
                  <c:v>5062.3590851063491</c:v>
                </c:pt>
                <c:pt idx="8">
                  <c:v>5072.7375955344523</c:v>
                </c:pt>
                <c:pt idx="9">
                  <c:v>5083.1876935017954</c:v>
                </c:pt>
                <c:pt idx="10">
                  <c:v>5093.7088179610473</c:v>
                </c:pt>
                <c:pt idx="11">
                  <c:v>5104.3004140736339</c:v>
                </c:pt>
                <c:pt idx="12">
                  <c:v>5114.9619332601114</c:v>
                </c:pt>
                <c:pt idx="13">
                  <c:v>5125.6928332409816</c:v>
                </c:pt>
                <c:pt idx="14">
                  <c:v>5136.4925780686726</c:v>
                </c:pt>
                <c:pt idx="15">
                  <c:v>5147.3606381510435</c:v>
                </c:pt>
                <c:pt idx="16">
                  <c:v>5158.2964902671147</c:v>
                </c:pt>
                <c:pt idx="17">
                  <c:v>5169.2996175753187</c:v>
                </c:pt>
                <c:pt idx="18">
                  <c:v>5180.3695096149386</c:v>
                </c:pt>
                <c:pt idx="19">
                  <c:v>5191.5056623009987</c:v>
                </c:pt>
                <c:pt idx="20">
                  <c:v>5202.7075779132083</c:v>
                </c:pt>
                <c:pt idx="21">
                  <c:v>5213.9747650792124</c:v>
                </c:pt>
                <c:pt idx="22">
                  <c:v>5225.3067387526953</c:v>
                </c:pt>
                <c:pt idx="23">
                  <c:v>5236.70302018655</c:v>
                </c:pt>
                <c:pt idx="24">
                  <c:v>5248.1631369016368</c:v>
                </c:pt>
                <c:pt idx="25">
                  <c:v>5259.6866226512966</c:v>
                </c:pt>
                <c:pt idx="26">
                  <c:v>5271.2730173821164</c:v>
                </c:pt>
                <c:pt idx="27">
                  <c:v>5282.9218671910712</c:v>
                </c:pt>
                <c:pt idx="28">
                  <c:v>5294.6327242795123</c:v>
                </c:pt>
                <c:pt idx="29">
                  <c:v>5306.4051469040933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B4-0640-87F3-C0728616F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1616623"/>
        <c:axId val="863764319"/>
      </c:lineChart>
      <c:dateAx>
        <c:axId val="991616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764319"/>
        <c:crosses val="autoZero"/>
        <c:auto val="1"/>
        <c:lblOffset val="100"/>
        <c:baseTimeUnit val="days"/>
      </c:dateAx>
      <c:valAx>
        <c:axId val="86376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Revenue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616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</xdr:row>
      <xdr:rowOff>196850</xdr:rowOff>
    </xdr:from>
    <xdr:to>
      <xdr:col>11</xdr:col>
      <xdr:colOff>0</xdr:colOff>
      <xdr:row>23</xdr:row>
      <xdr:rowOff>0</xdr:rowOff>
    </xdr:to>
    <xdr:graphicFrame macro="">
      <xdr:nvGraphicFramePr>
        <xdr:cNvPr id="2" name="conversionsBarChart">
          <a:extLst>
            <a:ext uri="{FF2B5EF4-FFF2-40B4-BE49-F238E27FC236}">
              <a16:creationId xmlns:a16="http://schemas.microsoft.com/office/drawing/2014/main" id="{E9B94035-92A5-B9DB-3F66-775F9FABE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196850</xdr:rowOff>
    </xdr:from>
    <xdr:to>
      <xdr:col>15</xdr:col>
      <xdr:colOff>0</xdr:colOff>
      <xdr:row>26</xdr:row>
      <xdr:rowOff>190500</xdr:rowOff>
    </xdr:to>
    <xdr:graphicFrame macro="">
      <xdr:nvGraphicFramePr>
        <xdr:cNvPr id="2" name="campaignRevenueComparison">
          <a:extLst>
            <a:ext uri="{FF2B5EF4-FFF2-40B4-BE49-F238E27FC236}">
              <a16:creationId xmlns:a16="http://schemas.microsoft.com/office/drawing/2014/main" id="{88CD08C9-4A5F-04FD-7F65-400F36698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1079500</xdr:colOff>
      <xdr:row>5</xdr:row>
      <xdr:rowOff>6350</xdr:rowOff>
    </xdr:from>
    <xdr:to>
      <xdr:col>9</xdr:col>
      <xdr:colOff>12700</xdr:colOff>
      <xdr:row>25</xdr:row>
      <xdr:rowOff>12700</xdr:rowOff>
    </xdr:to>
    <xdr:graphicFrame macro="">
      <xdr:nvGraphicFramePr>
        <xdr:cNvPr id="5" name="conversionRate">
          <a:extLst>
            <a:ext uri="{FF2B5EF4-FFF2-40B4-BE49-F238E27FC236}">
              <a16:creationId xmlns:a16="http://schemas.microsoft.com/office/drawing/2014/main" id="{5C787FB2-57A5-C84A-4712-E8F721CB8F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34</xdr:row>
      <xdr:rowOff>196850</xdr:rowOff>
    </xdr:from>
    <xdr:to>
      <xdr:col>9</xdr:col>
      <xdr:colOff>0</xdr:colOff>
      <xdr:row>59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AB5F19F-27C3-4FF3-6F1C-D59B3AE1B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61</xdr:row>
      <xdr:rowOff>6350</xdr:rowOff>
    </xdr:from>
    <xdr:to>
      <xdr:col>9</xdr:col>
      <xdr:colOff>0</xdr:colOff>
      <xdr:row>85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C687F-4783-C4A2-C51E-4A6B2F432E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6</xdr:row>
      <xdr:rowOff>0</xdr:rowOff>
    </xdr:from>
    <xdr:to>
      <xdr:col>8</xdr:col>
      <xdr:colOff>0</xdr:colOff>
      <xdr:row>27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7ADAF3-2C8A-DA9E-895D-DD85E8EE2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819150</xdr:colOff>
      <xdr:row>1</xdr:row>
      <xdr:rowOff>196850</xdr:rowOff>
    </xdr:from>
    <xdr:to>
      <xdr:col>14</xdr:col>
      <xdr:colOff>12700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4593A2-5BF1-8C1D-C3C9-2CF3C0A479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2.907253472222" createdVersion="8" refreshedVersion="8" minRefreshableVersion="3" recordCount="2192" xr:uid="{2842D49B-6009-7D44-84DA-8AE7A3ACD0A2}">
  <cacheSource type="worksheet">
    <worksheetSource name="campaignData"/>
  </cacheSource>
  <cacheFields count="9">
    <cacheField name="Date" numFmtId="164">
      <sharedItems containsSemiMixedTypes="0" containsNonDate="0" containsDate="1" containsString="0" minDate="2021-01-01T00:00:00" maxDate="2024-01-02T00:00:00" count="1096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</sharedItems>
      <fieldGroup par="8"/>
    </cacheField>
    <cacheField name="Campaign" numFmtId="49">
      <sharedItems count="2">
        <s v="Old_Campaign"/>
        <s v="New_Campaign"/>
      </sharedItems>
    </cacheField>
    <cacheField name="Visitors" numFmtId="1">
      <sharedItems containsSemiMixedTypes="0" containsString="0" containsNumber="1" containsInteger="1" minValue="1051" maxValue="1315"/>
    </cacheField>
    <cacheField name="Conversions" numFmtId="1">
      <sharedItems containsSemiMixedTypes="0" containsString="0" containsNumber="1" containsInteger="1" minValue="182" maxValue="316"/>
    </cacheField>
    <cacheField name="Revenue" numFmtId="165">
      <sharedItems containsSemiMixedTypes="0" containsString="0" containsNumber="1" minValue="1617.08" maxValue="6302.65"/>
    </cacheField>
    <cacheField name="Campaign New" numFmtId="0">
      <sharedItems count="2">
        <s v="A"/>
        <s v="B"/>
      </sharedItems>
    </cacheField>
    <cacheField name="Months (Date)" numFmtId="0" databaseField="0">
      <fieldGroup base="0">
        <rangePr groupBy="months" startDate="2021-01-01T00:00:00" endDate="2024-01-02T00:00:00"/>
        <groupItems count="14">
          <s v="&lt;1/1/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/24"/>
        </groupItems>
      </fieldGroup>
    </cacheField>
    <cacheField name="Quarters (Date)" numFmtId="0" databaseField="0">
      <fieldGroup base="0">
        <rangePr groupBy="quarters" startDate="2021-01-01T00:00:00" endDate="2024-01-02T00:00:00"/>
        <groupItems count="6">
          <s v="&lt;1/1/21"/>
          <s v="Qtr1"/>
          <s v="Qtr2"/>
          <s v="Qtr3"/>
          <s v="Qtr4"/>
          <s v="&gt;1/2/24"/>
        </groupItems>
      </fieldGroup>
    </cacheField>
    <cacheField name="Years (Date)" numFmtId="0" databaseField="0">
      <fieldGroup base="0">
        <rangePr groupBy="years" startDate="2021-01-01T00:00:00" endDate="2024-01-02T00:00:00"/>
        <groupItems count="6">
          <s v="&lt;1/1/21"/>
          <s v="2021"/>
          <s v="2022"/>
          <s v="2023"/>
          <s v="2024"/>
          <s v="&gt;1/2/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2.955800578704" createdVersion="8" refreshedVersion="8" minRefreshableVersion="3" recordCount="2" xr:uid="{5C82D250-1E1E-FB44-ACC5-5C7A8EEF990C}">
  <cacheSource type="worksheet">
    <worksheetSource name="summaryTable"/>
  </cacheSource>
  <cacheFields count="6">
    <cacheField name="Campaign" numFmtId="0">
      <sharedItems count="2">
        <s v="A"/>
        <s v="B"/>
      </sharedItems>
    </cacheField>
    <cacheField name="Total Conversions" numFmtId="0">
      <sharedItems containsSemiMixedTypes="0" containsString="0" containsNumber="1" containsInteger="1" minValue="249706" maxValue="289624"/>
    </cacheField>
    <cacheField name="Total Visitors" numFmtId="0">
      <sharedItems containsSemiMixedTypes="0" containsString="0" containsNumber="1" containsInteger="1" minValue="1260344" maxValue="1314454"/>
    </cacheField>
    <cacheField name="Total Failures" numFmtId="0">
      <sharedItems containsSemiMixedTypes="0" containsString="0" containsNumber="1" containsInteger="1" minValue="970720" maxValue="1064748"/>
    </cacheField>
    <cacheField name="Conversion Rate" numFmtId="10">
      <sharedItems containsSemiMixedTypes="0" containsString="0" containsNumber="1" minValue="0.18996937131310795" maxValue="0.22979757907364973"/>
    </cacheField>
    <cacheField name="Failure Rate" numFmtId="10">
      <sharedItems containsSemiMixedTypes="0" containsString="0" containsNumber="1" minValue="0.77020242092635027" maxValue="0.810030628686892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2">
  <r>
    <x v="0"/>
    <x v="0"/>
    <n v="1187"/>
    <n v="216"/>
    <n v="3138.85"/>
    <x v="0"/>
  </r>
  <r>
    <x v="0"/>
    <x v="1"/>
    <n v="1160"/>
    <n v="241"/>
    <n v="3743.15"/>
    <x v="1"/>
  </r>
  <r>
    <x v="1"/>
    <x v="0"/>
    <n v="1238"/>
    <n v="238"/>
    <n v="3685.17"/>
    <x v="0"/>
  </r>
  <r>
    <x v="1"/>
    <x v="1"/>
    <n v="1143"/>
    <n v="285"/>
    <n v="3469.43"/>
    <x v="1"/>
  </r>
  <r>
    <x v="2"/>
    <x v="0"/>
    <n v="1178"/>
    <n v="222"/>
    <n v="3359.98"/>
    <x v="0"/>
  </r>
  <r>
    <x v="2"/>
    <x v="1"/>
    <n v="1159"/>
    <n v="287"/>
    <n v="3774.19"/>
    <x v="1"/>
  </r>
  <r>
    <x v="3"/>
    <x v="0"/>
    <n v="1180"/>
    <n v="207"/>
    <n v="3099.41"/>
    <x v="0"/>
  </r>
  <r>
    <x v="3"/>
    <x v="1"/>
    <n v="1125"/>
    <n v="257"/>
    <n v="3568.34"/>
    <x v="1"/>
  </r>
  <r>
    <x v="4"/>
    <x v="0"/>
    <n v="1205"/>
    <n v="257"/>
    <n v="4234.57"/>
    <x v="0"/>
  </r>
  <r>
    <x v="4"/>
    <x v="1"/>
    <n v="1095"/>
    <n v="245"/>
    <n v="4003.97"/>
    <x v="1"/>
  </r>
  <r>
    <x v="5"/>
    <x v="0"/>
    <n v="1189"/>
    <n v="235"/>
    <n v="3686.5"/>
    <x v="0"/>
  </r>
  <r>
    <x v="5"/>
    <x v="1"/>
    <n v="1108"/>
    <n v="231"/>
    <n v="2881.48"/>
    <x v="1"/>
  </r>
  <r>
    <x v="6"/>
    <x v="0"/>
    <n v="1229"/>
    <n v="212"/>
    <n v="3617.14"/>
    <x v="0"/>
  </r>
  <r>
    <x v="6"/>
    <x v="1"/>
    <n v="1178"/>
    <n v="283"/>
    <n v="5055.1000000000004"/>
    <x v="1"/>
  </r>
  <r>
    <x v="7"/>
    <x v="0"/>
    <n v="1243"/>
    <n v="248"/>
    <n v="3171.26"/>
    <x v="0"/>
  </r>
  <r>
    <x v="7"/>
    <x v="1"/>
    <n v="1173"/>
    <n v="255"/>
    <n v="3469.93"/>
    <x v="1"/>
  </r>
  <r>
    <x v="8"/>
    <x v="0"/>
    <n v="1228"/>
    <n v="243"/>
    <n v="3687.3"/>
    <x v="0"/>
  </r>
  <r>
    <x v="8"/>
    <x v="1"/>
    <n v="1131"/>
    <n v="284"/>
    <n v="4374.16"/>
    <x v="1"/>
  </r>
  <r>
    <x v="9"/>
    <x v="0"/>
    <n v="1191"/>
    <n v="233"/>
    <n v="3118.24"/>
    <x v="0"/>
  </r>
  <r>
    <x v="9"/>
    <x v="1"/>
    <n v="1213"/>
    <n v="282"/>
    <n v="4229.01"/>
    <x v="1"/>
  </r>
  <r>
    <x v="10"/>
    <x v="0"/>
    <n v="1233"/>
    <n v="254"/>
    <n v="3453.36"/>
    <x v="0"/>
  </r>
  <r>
    <x v="10"/>
    <x v="1"/>
    <n v="1121"/>
    <n v="244"/>
    <n v="3744.1"/>
    <x v="1"/>
  </r>
  <r>
    <x v="11"/>
    <x v="0"/>
    <n v="1192"/>
    <n v="222"/>
    <n v="3258.39"/>
    <x v="0"/>
  </r>
  <r>
    <x v="11"/>
    <x v="1"/>
    <n v="1152"/>
    <n v="254"/>
    <n v="4269.26"/>
    <x v="1"/>
  </r>
  <r>
    <x v="12"/>
    <x v="0"/>
    <n v="1294"/>
    <n v="259"/>
    <n v="3916.2"/>
    <x v="0"/>
  </r>
  <r>
    <x v="12"/>
    <x v="1"/>
    <n v="1075"/>
    <n v="270"/>
    <n v="5650.15"/>
    <x v="1"/>
  </r>
  <r>
    <x v="13"/>
    <x v="0"/>
    <n v="1158"/>
    <n v="211"/>
    <n v="3756.98"/>
    <x v="0"/>
  </r>
  <r>
    <x v="13"/>
    <x v="1"/>
    <n v="1163"/>
    <n v="248"/>
    <n v="3272.68"/>
    <x v="1"/>
  </r>
  <r>
    <x v="14"/>
    <x v="0"/>
    <n v="1182"/>
    <n v="211"/>
    <n v="2510.62"/>
    <x v="0"/>
  </r>
  <r>
    <x v="14"/>
    <x v="1"/>
    <n v="1164"/>
    <n v="247"/>
    <n v="3985.87"/>
    <x v="1"/>
  </r>
  <r>
    <x v="15"/>
    <x v="0"/>
    <n v="1268"/>
    <n v="252"/>
    <n v="4190.01"/>
    <x v="0"/>
  </r>
  <r>
    <x v="15"/>
    <x v="1"/>
    <n v="1185"/>
    <n v="288"/>
    <n v="3899.02"/>
    <x v="1"/>
  </r>
  <r>
    <x v="16"/>
    <x v="0"/>
    <n v="1145"/>
    <n v="222"/>
    <n v="3561.74"/>
    <x v="0"/>
  </r>
  <r>
    <x v="16"/>
    <x v="1"/>
    <n v="1198"/>
    <n v="300"/>
    <n v="4978.1899999999996"/>
    <x v="1"/>
  </r>
  <r>
    <x v="17"/>
    <x v="0"/>
    <n v="1161"/>
    <n v="244"/>
    <n v="3803.02"/>
    <x v="0"/>
  </r>
  <r>
    <x v="17"/>
    <x v="1"/>
    <n v="1155"/>
    <n v="286"/>
    <n v="4167.3900000000003"/>
    <x v="1"/>
  </r>
  <r>
    <x v="18"/>
    <x v="0"/>
    <n v="1222"/>
    <n v="226"/>
    <n v="3825.45"/>
    <x v="0"/>
  </r>
  <r>
    <x v="18"/>
    <x v="1"/>
    <n v="1166"/>
    <n v="262"/>
    <n v="4408.3"/>
    <x v="1"/>
  </r>
  <r>
    <x v="19"/>
    <x v="0"/>
    <n v="1175"/>
    <n v="255"/>
    <n v="3966.11"/>
    <x v="0"/>
  </r>
  <r>
    <x v="19"/>
    <x v="1"/>
    <n v="1182"/>
    <n v="283"/>
    <n v="4996.1899999999996"/>
    <x v="1"/>
  </r>
  <r>
    <x v="20"/>
    <x v="0"/>
    <n v="1166"/>
    <n v="232"/>
    <n v="2983.11"/>
    <x v="0"/>
  </r>
  <r>
    <x v="20"/>
    <x v="1"/>
    <n v="1206"/>
    <n v="251"/>
    <n v="4258.2"/>
    <x v="1"/>
  </r>
  <r>
    <x v="21"/>
    <x v="0"/>
    <n v="1193"/>
    <n v="254"/>
    <n v="3379.83"/>
    <x v="0"/>
  </r>
  <r>
    <x v="21"/>
    <x v="1"/>
    <n v="1190"/>
    <n v="264"/>
    <n v="3424.16"/>
    <x v="1"/>
  </r>
  <r>
    <x v="22"/>
    <x v="0"/>
    <n v="1268"/>
    <n v="262"/>
    <n v="3960.5"/>
    <x v="0"/>
  </r>
  <r>
    <x v="22"/>
    <x v="1"/>
    <n v="1196"/>
    <n v="282"/>
    <n v="3867.36"/>
    <x v="1"/>
  </r>
  <r>
    <x v="23"/>
    <x v="0"/>
    <n v="1234"/>
    <n v="242"/>
    <n v="3906.31"/>
    <x v="0"/>
  </r>
  <r>
    <x v="23"/>
    <x v="1"/>
    <n v="1170"/>
    <n v="289"/>
    <n v="5280.36"/>
    <x v="1"/>
  </r>
  <r>
    <x v="24"/>
    <x v="0"/>
    <n v="1187"/>
    <n v="247"/>
    <n v="4848.4399999999996"/>
    <x v="0"/>
  </r>
  <r>
    <x v="24"/>
    <x v="1"/>
    <n v="1128"/>
    <n v="259"/>
    <n v="3176.76"/>
    <x v="1"/>
  </r>
  <r>
    <x v="25"/>
    <x v="0"/>
    <n v="1236"/>
    <n v="226"/>
    <n v="3066.68"/>
    <x v="0"/>
  </r>
  <r>
    <x v="25"/>
    <x v="1"/>
    <n v="1162"/>
    <n v="255"/>
    <n v="4426.59"/>
    <x v="1"/>
  </r>
  <r>
    <x v="26"/>
    <x v="0"/>
    <n v="1204"/>
    <n v="241"/>
    <n v="3296.02"/>
    <x v="0"/>
  </r>
  <r>
    <x v="26"/>
    <x v="1"/>
    <n v="1144"/>
    <n v="238"/>
    <n v="4213.76"/>
    <x v="1"/>
  </r>
  <r>
    <x v="27"/>
    <x v="0"/>
    <n v="1238"/>
    <n v="247"/>
    <n v="3470.38"/>
    <x v="0"/>
  </r>
  <r>
    <x v="27"/>
    <x v="1"/>
    <n v="1155"/>
    <n v="239"/>
    <n v="3511.71"/>
    <x v="1"/>
  </r>
  <r>
    <x v="28"/>
    <x v="0"/>
    <n v="1205"/>
    <n v="240"/>
    <n v="4208.12"/>
    <x v="0"/>
  </r>
  <r>
    <x v="28"/>
    <x v="1"/>
    <n v="1069"/>
    <n v="263"/>
    <n v="3835.77"/>
    <x v="1"/>
  </r>
  <r>
    <x v="29"/>
    <x v="0"/>
    <n v="1199"/>
    <n v="224"/>
    <n v="4091.32"/>
    <x v="0"/>
  </r>
  <r>
    <x v="29"/>
    <x v="1"/>
    <n v="1163"/>
    <n v="266"/>
    <n v="3495.16"/>
    <x v="1"/>
  </r>
  <r>
    <x v="30"/>
    <x v="0"/>
    <n v="1200"/>
    <n v="204"/>
    <n v="3141.22"/>
    <x v="0"/>
  </r>
  <r>
    <x v="30"/>
    <x v="1"/>
    <n v="1219"/>
    <n v="278"/>
    <n v="4114.28"/>
    <x v="1"/>
  </r>
  <r>
    <x v="31"/>
    <x v="0"/>
    <n v="1196"/>
    <n v="194"/>
    <n v="3019.02"/>
    <x v="0"/>
  </r>
  <r>
    <x v="31"/>
    <x v="1"/>
    <n v="1088"/>
    <n v="261"/>
    <n v="3850.95"/>
    <x v="1"/>
  </r>
  <r>
    <x v="32"/>
    <x v="0"/>
    <n v="1235"/>
    <n v="220"/>
    <n v="3695.82"/>
    <x v="0"/>
  </r>
  <r>
    <x v="32"/>
    <x v="1"/>
    <n v="1174"/>
    <n v="277"/>
    <n v="4602.24"/>
    <x v="1"/>
  </r>
  <r>
    <x v="33"/>
    <x v="0"/>
    <n v="1226"/>
    <n v="228"/>
    <n v="3669.48"/>
    <x v="0"/>
  </r>
  <r>
    <x v="33"/>
    <x v="1"/>
    <n v="1192"/>
    <n v="253"/>
    <n v="3945.69"/>
    <x v="1"/>
  </r>
  <r>
    <x v="34"/>
    <x v="0"/>
    <n v="1200"/>
    <n v="217"/>
    <n v="3395.69"/>
    <x v="0"/>
  </r>
  <r>
    <x v="34"/>
    <x v="1"/>
    <n v="1227"/>
    <n v="297"/>
    <n v="4674.7"/>
    <x v="1"/>
  </r>
  <r>
    <x v="35"/>
    <x v="0"/>
    <n v="1179"/>
    <n v="215"/>
    <n v="3257.6"/>
    <x v="0"/>
  </r>
  <r>
    <x v="35"/>
    <x v="1"/>
    <n v="1144"/>
    <n v="275"/>
    <n v="4027.56"/>
    <x v="1"/>
  </r>
  <r>
    <x v="36"/>
    <x v="0"/>
    <n v="1158"/>
    <n v="242"/>
    <n v="3748.56"/>
    <x v="0"/>
  </r>
  <r>
    <x v="36"/>
    <x v="1"/>
    <n v="1088"/>
    <n v="234"/>
    <n v="3506.75"/>
    <x v="1"/>
  </r>
  <r>
    <x v="37"/>
    <x v="0"/>
    <n v="1187"/>
    <n v="253"/>
    <n v="3431.47"/>
    <x v="0"/>
  </r>
  <r>
    <x v="37"/>
    <x v="1"/>
    <n v="1179"/>
    <n v="264"/>
    <n v="4111.3"/>
    <x v="1"/>
  </r>
  <r>
    <x v="38"/>
    <x v="0"/>
    <n v="1151"/>
    <n v="207"/>
    <n v="3238.61"/>
    <x v="0"/>
  </r>
  <r>
    <x v="38"/>
    <x v="1"/>
    <n v="1175"/>
    <n v="258"/>
    <n v="3701.15"/>
    <x v="1"/>
  </r>
  <r>
    <x v="39"/>
    <x v="0"/>
    <n v="1137"/>
    <n v="246"/>
    <n v="4403.96"/>
    <x v="0"/>
  </r>
  <r>
    <x v="39"/>
    <x v="1"/>
    <n v="1146"/>
    <n v="263"/>
    <n v="4712.58"/>
    <x v="1"/>
  </r>
  <r>
    <x v="40"/>
    <x v="0"/>
    <n v="1117"/>
    <n v="214"/>
    <n v="2850.6"/>
    <x v="0"/>
  </r>
  <r>
    <x v="40"/>
    <x v="1"/>
    <n v="1146"/>
    <n v="285"/>
    <n v="4218.3500000000004"/>
    <x v="1"/>
  </r>
  <r>
    <x v="41"/>
    <x v="0"/>
    <n v="1220"/>
    <n v="222"/>
    <n v="2931.1"/>
    <x v="0"/>
  </r>
  <r>
    <x v="41"/>
    <x v="1"/>
    <n v="1205"/>
    <n v="246"/>
    <n v="4178.0200000000004"/>
    <x v="1"/>
  </r>
  <r>
    <x v="42"/>
    <x v="0"/>
    <n v="1211"/>
    <n v="203"/>
    <n v="3523.85"/>
    <x v="0"/>
  </r>
  <r>
    <x v="42"/>
    <x v="1"/>
    <n v="1159"/>
    <n v="295"/>
    <n v="4443.1899999999996"/>
    <x v="1"/>
  </r>
  <r>
    <x v="43"/>
    <x v="0"/>
    <n v="1239"/>
    <n v="245"/>
    <n v="3677.57"/>
    <x v="0"/>
  </r>
  <r>
    <x v="43"/>
    <x v="1"/>
    <n v="1190"/>
    <n v="289"/>
    <n v="4651.1499999999996"/>
    <x v="1"/>
  </r>
  <r>
    <x v="44"/>
    <x v="0"/>
    <n v="1282"/>
    <n v="234"/>
    <n v="2792.03"/>
    <x v="0"/>
  </r>
  <r>
    <x v="44"/>
    <x v="1"/>
    <n v="1102"/>
    <n v="254"/>
    <n v="4713.0600000000004"/>
    <x v="1"/>
  </r>
  <r>
    <x v="45"/>
    <x v="0"/>
    <n v="1202"/>
    <n v="236"/>
    <n v="3422.49"/>
    <x v="0"/>
  </r>
  <r>
    <x v="45"/>
    <x v="1"/>
    <n v="1107"/>
    <n v="247"/>
    <n v="4431.96"/>
    <x v="1"/>
  </r>
  <r>
    <x v="46"/>
    <x v="0"/>
    <n v="1221"/>
    <n v="237"/>
    <n v="4056.69"/>
    <x v="0"/>
  </r>
  <r>
    <x v="46"/>
    <x v="1"/>
    <n v="1139"/>
    <n v="285"/>
    <n v="3557.52"/>
    <x v="1"/>
  </r>
  <r>
    <x v="47"/>
    <x v="0"/>
    <n v="1201"/>
    <n v="228"/>
    <n v="2643.26"/>
    <x v="0"/>
  </r>
  <r>
    <x v="47"/>
    <x v="1"/>
    <n v="1146"/>
    <n v="275"/>
    <n v="4369.45"/>
    <x v="1"/>
  </r>
  <r>
    <x v="48"/>
    <x v="0"/>
    <n v="1213"/>
    <n v="230"/>
    <n v="3618.64"/>
    <x v="0"/>
  </r>
  <r>
    <x v="48"/>
    <x v="1"/>
    <n v="1115"/>
    <n v="277"/>
    <n v="3911.31"/>
    <x v="1"/>
  </r>
  <r>
    <x v="49"/>
    <x v="0"/>
    <n v="1217"/>
    <n v="238"/>
    <n v="3317.6"/>
    <x v="0"/>
  </r>
  <r>
    <x v="49"/>
    <x v="1"/>
    <n v="1114"/>
    <n v="248"/>
    <n v="3574.74"/>
    <x v="1"/>
  </r>
  <r>
    <x v="50"/>
    <x v="0"/>
    <n v="1168"/>
    <n v="224"/>
    <n v="3046.52"/>
    <x v="0"/>
  </r>
  <r>
    <x v="50"/>
    <x v="1"/>
    <n v="1195"/>
    <n v="270"/>
    <n v="4435.55"/>
    <x v="1"/>
  </r>
  <r>
    <x v="51"/>
    <x v="0"/>
    <n v="1234"/>
    <n v="236"/>
    <n v="3410.18"/>
    <x v="0"/>
  </r>
  <r>
    <x v="51"/>
    <x v="1"/>
    <n v="1161"/>
    <n v="266"/>
    <n v="3031.38"/>
    <x v="1"/>
  </r>
  <r>
    <x v="52"/>
    <x v="0"/>
    <n v="1105"/>
    <n v="217"/>
    <n v="3199.48"/>
    <x v="0"/>
  </r>
  <r>
    <x v="52"/>
    <x v="1"/>
    <n v="1153"/>
    <n v="266"/>
    <n v="3747.65"/>
    <x v="1"/>
  </r>
  <r>
    <x v="53"/>
    <x v="0"/>
    <n v="1169"/>
    <n v="204"/>
    <n v="3748.35"/>
    <x v="0"/>
  </r>
  <r>
    <x v="53"/>
    <x v="1"/>
    <n v="1181"/>
    <n v="259"/>
    <n v="4600.6899999999996"/>
    <x v="1"/>
  </r>
  <r>
    <x v="54"/>
    <x v="0"/>
    <n v="1209"/>
    <n v="243"/>
    <n v="3219.45"/>
    <x v="0"/>
  </r>
  <r>
    <x v="54"/>
    <x v="1"/>
    <n v="1164"/>
    <n v="255"/>
    <n v="3374.77"/>
    <x v="1"/>
  </r>
  <r>
    <x v="55"/>
    <x v="0"/>
    <n v="1210"/>
    <n v="230"/>
    <n v="3150.7"/>
    <x v="0"/>
  </r>
  <r>
    <x v="55"/>
    <x v="1"/>
    <n v="1116"/>
    <n v="239"/>
    <n v="3591.15"/>
    <x v="1"/>
  </r>
  <r>
    <x v="56"/>
    <x v="0"/>
    <n v="1140"/>
    <n v="207"/>
    <n v="3006.08"/>
    <x v="0"/>
  </r>
  <r>
    <x v="56"/>
    <x v="1"/>
    <n v="1185"/>
    <n v="260"/>
    <n v="3688.07"/>
    <x v="1"/>
  </r>
  <r>
    <x v="57"/>
    <x v="0"/>
    <n v="1264"/>
    <n v="256"/>
    <n v="3500.74"/>
    <x v="0"/>
  </r>
  <r>
    <x v="57"/>
    <x v="1"/>
    <n v="1132"/>
    <n v="275"/>
    <n v="4713.83"/>
    <x v="1"/>
  </r>
  <r>
    <x v="58"/>
    <x v="0"/>
    <n v="1151"/>
    <n v="215"/>
    <n v="3196.59"/>
    <x v="0"/>
  </r>
  <r>
    <x v="58"/>
    <x v="1"/>
    <n v="1153"/>
    <n v="275"/>
    <n v="3733.94"/>
    <x v="1"/>
  </r>
  <r>
    <x v="59"/>
    <x v="0"/>
    <n v="1182"/>
    <n v="217"/>
    <n v="3484.94"/>
    <x v="0"/>
  </r>
  <r>
    <x v="59"/>
    <x v="1"/>
    <n v="1147"/>
    <n v="253"/>
    <n v="4777.43"/>
    <x v="1"/>
  </r>
  <r>
    <x v="60"/>
    <x v="0"/>
    <n v="1154"/>
    <n v="182"/>
    <n v="2761.52"/>
    <x v="0"/>
  </r>
  <r>
    <x v="60"/>
    <x v="1"/>
    <n v="1157"/>
    <n v="250"/>
    <n v="3922.16"/>
    <x v="1"/>
  </r>
  <r>
    <x v="61"/>
    <x v="0"/>
    <n v="1167"/>
    <n v="207"/>
    <n v="3224.97"/>
    <x v="0"/>
  </r>
  <r>
    <x v="61"/>
    <x v="1"/>
    <n v="1136"/>
    <n v="255"/>
    <n v="5138.45"/>
    <x v="1"/>
  </r>
  <r>
    <x v="62"/>
    <x v="0"/>
    <n v="1194"/>
    <n v="238"/>
    <n v="3578.77"/>
    <x v="0"/>
  </r>
  <r>
    <x v="62"/>
    <x v="1"/>
    <n v="1122"/>
    <n v="259"/>
    <n v="5012.3900000000003"/>
    <x v="1"/>
  </r>
  <r>
    <x v="63"/>
    <x v="0"/>
    <n v="1255"/>
    <n v="218"/>
    <n v="2625.34"/>
    <x v="0"/>
  </r>
  <r>
    <x v="63"/>
    <x v="1"/>
    <n v="1108"/>
    <n v="266"/>
    <n v="4864.4799999999996"/>
    <x v="1"/>
  </r>
  <r>
    <x v="64"/>
    <x v="0"/>
    <n v="1251"/>
    <n v="235"/>
    <n v="3915.26"/>
    <x v="0"/>
  </r>
  <r>
    <x v="64"/>
    <x v="1"/>
    <n v="1177"/>
    <n v="261"/>
    <n v="3729.12"/>
    <x v="1"/>
  </r>
  <r>
    <x v="65"/>
    <x v="0"/>
    <n v="1150"/>
    <n v="213"/>
    <n v="3005.73"/>
    <x v="0"/>
  </r>
  <r>
    <x v="65"/>
    <x v="1"/>
    <n v="1122"/>
    <n v="244"/>
    <n v="4088.12"/>
    <x v="1"/>
  </r>
  <r>
    <x v="66"/>
    <x v="0"/>
    <n v="1220"/>
    <n v="232"/>
    <n v="2654.67"/>
    <x v="0"/>
  </r>
  <r>
    <x v="66"/>
    <x v="1"/>
    <n v="1146"/>
    <n v="253"/>
    <n v="4805"/>
    <x v="1"/>
  </r>
  <r>
    <x v="67"/>
    <x v="0"/>
    <n v="1201"/>
    <n v="206"/>
    <n v="3135.07"/>
    <x v="0"/>
  </r>
  <r>
    <x v="67"/>
    <x v="1"/>
    <n v="1170"/>
    <n v="251"/>
    <n v="4380.33"/>
    <x v="1"/>
  </r>
  <r>
    <x v="68"/>
    <x v="0"/>
    <n v="1207"/>
    <n v="227"/>
    <n v="2955.72"/>
    <x v="0"/>
  </r>
  <r>
    <x v="68"/>
    <x v="1"/>
    <n v="1105"/>
    <n v="268"/>
    <n v="4220.58"/>
    <x v="1"/>
  </r>
  <r>
    <x v="69"/>
    <x v="0"/>
    <n v="1126"/>
    <n v="218"/>
    <n v="2828.72"/>
    <x v="0"/>
  </r>
  <r>
    <x v="69"/>
    <x v="1"/>
    <n v="1154"/>
    <n v="270"/>
    <n v="3426.38"/>
    <x v="1"/>
  </r>
  <r>
    <x v="70"/>
    <x v="0"/>
    <n v="1225"/>
    <n v="229"/>
    <n v="3322.45"/>
    <x v="0"/>
  </r>
  <r>
    <x v="70"/>
    <x v="1"/>
    <n v="1150"/>
    <n v="289"/>
    <n v="4466.37"/>
    <x v="1"/>
  </r>
  <r>
    <x v="71"/>
    <x v="0"/>
    <n v="1208"/>
    <n v="212"/>
    <n v="3065.99"/>
    <x v="0"/>
  </r>
  <r>
    <x v="71"/>
    <x v="1"/>
    <n v="1150"/>
    <n v="246"/>
    <n v="3391.59"/>
    <x v="1"/>
  </r>
  <r>
    <x v="72"/>
    <x v="0"/>
    <n v="1168"/>
    <n v="225"/>
    <n v="3360.26"/>
    <x v="0"/>
  </r>
  <r>
    <x v="72"/>
    <x v="1"/>
    <n v="1156"/>
    <n v="263"/>
    <n v="3922.16"/>
    <x v="1"/>
  </r>
  <r>
    <x v="73"/>
    <x v="0"/>
    <n v="1202"/>
    <n v="230"/>
    <n v="3292.36"/>
    <x v="0"/>
  </r>
  <r>
    <x v="73"/>
    <x v="1"/>
    <n v="1138"/>
    <n v="277"/>
    <n v="4226.22"/>
    <x v="1"/>
  </r>
  <r>
    <x v="74"/>
    <x v="0"/>
    <n v="1222"/>
    <n v="227"/>
    <n v="3732.64"/>
    <x v="0"/>
  </r>
  <r>
    <x v="74"/>
    <x v="1"/>
    <n v="1182"/>
    <n v="293"/>
    <n v="4026.38"/>
    <x v="1"/>
  </r>
  <r>
    <x v="75"/>
    <x v="0"/>
    <n v="1147"/>
    <n v="227"/>
    <n v="2914.2"/>
    <x v="0"/>
  </r>
  <r>
    <x v="75"/>
    <x v="1"/>
    <n v="1129"/>
    <n v="257"/>
    <n v="4428.59"/>
    <x v="1"/>
  </r>
  <r>
    <x v="76"/>
    <x v="0"/>
    <n v="1168"/>
    <n v="214"/>
    <n v="3605.48"/>
    <x v="0"/>
  </r>
  <r>
    <x v="76"/>
    <x v="1"/>
    <n v="1185"/>
    <n v="272"/>
    <n v="4251.41"/>
    <x v="1"/>
  </r>
  <r>
    <x v="77"/>
    <x v="0"/>
    <n v="1209"/>
    <n v="244"/>
    <n v="2644.02"/>
    <x v="0"/>
  </r>
  <r>
    <x v="77"/>
    <x v="1"/>
    <n v="1129"/>
    <n v="254"/>
    <n v="4925.8"/>
    <x v="1"/>
  </r>
  <r>
    <x v="78"/>
    <x v="0"/>
    <n v="1245"/>
    <n v="253"/>
    <n v="3950.75"/>
    <x v="0"/>
  </r>
  <r>
    <x v="78"/>
    <x v="1"/>
    <n v="1163"/>
    <n v="250"/>
    <n v="3144.92"/>
    <x v="1"/>
  </r>
  <r>
    <x v="79"/>
    <x v="0"/>
    <n v="1163"/>
    <n v="198"/>
    <n v="3047.55"/>
    <x v="0"/>
  </r>
  <r>
    <x v="79"/>
    <x v="1"/>
    <n v="1127"/>
    <n v="264"/>
    <n v="3707.42"/>
    <x v="1"/>
  </r>
  <r>
    <x v="80"/>
    <x v="0"/>
    <n v="1168"/>
    <n v="205"/>
    <n v="3179.97"/>
    <x v="0"/>
  </r>
  <r>
    <x v="80"/>
    <x v="1"/>
    <n v="1160"/>
    <n v="249"/>
    <n v="4473.38"/>
    <x v="1"/>
  </r>
  <r>
    <x v="81"/>
    <x v="0"/>
    <n v="1192"/>
    <n v="246"/>
    <n v="3944.69"/>
    <x v="0"/>
  </r>
  <r>
    <x v="81"/>
    <x v="1"/>
    <n v="1093"/>
    <n v="251"/>
    <n v="3651.68"/>
    <x v="1"/>
  </r>
  <r>
    <x v="82"/>
    <x v="0"/>
    <n v="1178"/>
    <n v="213"/>
    <n v="2790.56"/>
    <x v="0"/>
  </r>
  <r>
    <x v="82"/>
    <x v="1"/>
    <n v="1166"/>
    <n v="255"/>
    <n v="5422.51"/>
    <x v="1"/>
  </r>
  <r>
    <x v="83"/>
    <x v="0"/>
    <n v="1209"/>
    <n v="234"/>
    <n v="4047.86"/>
    <x v="0"/>
  </r>
  <r>
    <x v="83"/>
    <x v="1"/>
    <n v="1100"/>
    <n v="240"/>
    <n v="3502.48"/>
    <x v="1"/>
  </r>
  <r>
    <x v="84"/>
    <x v="0"/>
    <n v="1219"/>
    <n v="219"/>
    <n v="3561.99"/>
    <x v="0"/>
  </r>
  <r>
    <x v="84"/>
    <x v="1"/>
    <n v="1127"/>
    <n v="272"/>
    <n v="4881.07"/>
    <x v="1"/>
  </r>
  <r>
    <x v="85"/>
    <x v="0"/>
    <n v="1258"/>
    <n v="232"/>
    <n v="3656.41"/>
    <x v="0"/>
  </r>
  <r>
    <x v="85"/>
    <x v="1"/>
    <n v="1183"/>
    <n v="269"/>
    <n v="4632.5"/>
    <x v="1"/>
  </r>
  <r>
    <x v="86"/>
    <x v="0"/>
    <n v="1273"/>
    <n v="234"/>
    <n v="3004.07"/>
    <x v="0"/>
  </r>
  <r>
    <x v="86"/>
    <x v="1"/>
    <n v="1210"/>
    <n v="244"/>
    <n v="4417.9399999999996"/>
    <x v="1"/>
  </r>
  <r>
    <x v="87"/>
    <x v="0"/>
    <n v="1243"/>
    <n v="227"/>
    <n v="3448.64"/>
    <x v="0"/>
  </r>
  <r>
    <x v="87"/>
    <x v="1"/>
    <n v="1122"/>
    <n v="242"/>
    <n v="3648.26"/>
    <x v="1"/>
  </r>
  <r>
    <x v="88"/>
    <x v="0"/>
    <n v="1184"/>
    <n v="220"/>
    <n v="3936.67"/>
    <x v="0"/>
  </r>
  <r>
    <x v="88"/>
    <x v="1"/>
    <n v="1132"/>
    <n v="269"/>
    <n v="4409.75"/>
    <x v="1"/>
  </r>
  <r>
    <x v="89"/>
    <x v="0"/>
    <n v="1245"/>
    <n v="253"/>
    <n v="3533.25"/>
    <x v="0"/>
  </r>
  <r>
    <x v="89"/>
    <x v="1"/>
    <n v="1148"/>
    <n v="259"/>
    <n v="4874.04"/>
    <x v="1"/>
  </r>
  <r>
    <x v="90"/>
    <x v="0"/>
    <n v="1192"/>
    <n v="233"/>
    <n v="2868.49"/>
    <x v="0"/>
  </r>
  <r>
    <x v="90"/>
    <x v="1"/>
    <n v="1129"/>
    <n v="260"/>
    <n v="3682.3"/>
    <x v="1"/>
  </r>
  <r>
    <x v="91"/>
    <x v="0"/>
    <n v="1188"/>
    <n v="209"/>
    <n v="3546.45"/>
    <x v="0"/>
  </r>
  <r>
    <x v="91"/>
    <x v="1"/>
    <n v="1222"/>
    <n v="303"/>
    <n v="4718.32"/>
    <x v="1"/>
  </r>
  <r>
    <x v="92"/>
    <x v="0"/>
    <n v="1272"/>
    <n v="252"/>
    <n v="3458.58"/>
    <x v="0"/>
  </r>
  <r>
    <x v="92"/>
    <x v="1"/>
    <n v="1120"/>
    <n v="233"/>
    <n v="3480.56"/>
    <x v="1"/>
  </r>
  <r>
    <x v="93"/>
    <x v="0"/>
    <n v="1248"/>
    <n v="233"/>
    <n v="3107.12"/>
    <x v="0"/>
  </r>
  <r>
    <x v="93"/>
    <x v="1"/>
    <n v="1185"/>
    <n v="266"/>
    <n v="4506.79"/>
    <x v="1"/>
  </r>
  <r>
    <x v="94"/>
    <x v="0"/>
    <n v="1209"/>
    <n v="210"/>
    <n v="2892.63"/>
    <x v="0"/>
  </r>
  <r>
    <x v="94"/>
    <x v="1"/>
    <n v="1198"/>
    <n v="288"/>
    <n v="4384.68"/>
    <x v="1"/>
  </r>
  <r>
    <x v="95"/>
    <x v="0"/>
    <n v="1143"/>
    <n v="225"/>
    <n v="3360.09"/>
    <x v="0"/>
  </r>
  <r>
    <x v="95"/>
    <x v="1"/>
    <n v="1092"/>
    <n v="231"/>
    <n v="4525.09"/>
    <x v="1"/>
  </r>
  <r>
    <x v="96"/>
    <x v="0"/>
    <n v="1241"/>
    <n v="239"/>
    <n v="3351.05"/>
    <x v="0"/>
  </r>
  <r>
    <x v="96"/>
    <x v="1"/>
    <n v="1168"/>
    <n v="255"/>
    <n v="4612.5200000000004"/>
    <x v="1"/>
  </r>
  <r>
    <x v="97"/>
    <x v="0"/>
    <n v="1233"/>
    <n v="239"/>
    <n v="3505.12"/>
    <x v="0"/>
  </r>
  <r>
    <x v="97"/>
    <x v="1"/>
    <n v="1134"/>
    <n v="245"/>
    <n v="3991.89"/>
    <x v="1"/>
  </r>
  <r>
    <x v="98"/>
    <x v="0"/>
    <n v="1238"/>
    <n v="228"/>
    <n v="3507.14"/>
    <x v="0"/>
  </r>
  <r>
    <x v="98"/>
    <x v="1"/>
    <n v="1163"/>
    <n v="279"/>
    <n v="4489.91"/>
    <x v="1"/>
  </r>
  <r>
    <x v="99"/>
    <x v="0"/>
    <n v="1230"/>
    <n v="229"/>
    <n v="3391.35"/>
    <x v="0"/>
  </r>
  <r>
    <x v="99"/>
    <x v="1"/>
    <n v="1163"/>
    <n v="246"/>
    <n v="4073.28"/>
    <x v="1"/>
  </r>
  <r>
    <x v="100"/>
    <x v="0"/>
    <n v="1219"/>
    <n v="225"/>
    <n v="3434.84"/>
    <x v="0"/>
  </r>
  <r>
    <x v="100"/>
    <x v="1"/>
    <n v="1135"/>
    <n v="239"/>
    <n v="3489.34"/>
    <x v="1"/>
  </r>
  <r>
    <x v="101"/>
    <x v="0"/>
    <n v="1226"/>
    <n v="228"/>
    <n v="4133.88"/>
    <x v="0"/>
  </r>
  <r>
    <x v="101"/>
    <x v="1"/>
    <n v="1168"/>
    <n v="251"/>
    <n v="3982.99"/>
    <x v="1"/>
  </r>
  <r>
    <x v="102"/>
    <x v="0"/>
    <n v="1193"/>
    <n v="212"/>
    <n v="2747"/>
    <x v="0"/>
  </r>
  <r>
    <x v="102"/>
    <x v="1"/>
    <n v="1092"/>
    <n v="225"/>
    <n v="3918.76"/>
    <x v="1"/>
  </r>
  <r>
    <x v="103"/>
    <x v="0"/>
    <n v="1279"/>
    <n v="235"/>
    <n v="4392.92"/>
    <x v="0"/>
  </r>
  <r>
    <x v="103"/>
    <x v="1"/>
    <n v="1140"/>
    <n v="296"/>
    <n v="4102.51"/>
    <x v="1"/>
  </r>
  <r>
    <x v="104"/>
    <x v="0"/>
    <n v="1251"/>
    <n v="245"/>
    <n v="3061.75"/>
    <x v="0"/>
  </r>
  <r>
    <x v="104"/>
    <x v="1"/>
    <n v="1193"/>
    <n v="316"/>
    <n v="5968.46"/>
    <x v="1"/>
  </r>
  <r>
    <x v="105"/>
    <x v="0"/>
    <n v="1245"/>
    <n v="241"/>
    <n v="3709.72"/>
    <x v="0"/>
  </r>
  <r>
    <x v="105"/>
    <x v="1"/>
    <n v="1182"/>
    <n v="274"/>
    <n v="4772.53"/>
    <x v="1"/>
  </r>
  <r>
    <x v="106"/>
    <x v="0"/>
    <n v="1219"/>
    <n v="226"/>
    <n v="3447.9"/>
    <x v="0"/>
  </r>
  <r>
    <x v="106"/>
    <x v="1"/>
    <n v="1126"/>
    <n v="260"/>
    <n v="3805.85"/>
    <x v="1"/>
  </r>
  <r>
    <x v="107"/>
    <x v="0"/>
    <n v="1189"/>
    <n v="242"/>
    <n v="4010.33"/>
    <x v="0"/>
  </r>
  <r>
    <x v="107"/>
    <x v="1"/>
    <n v="1180"/>
    <n v="289"/>
    <n v="4869.91"/>
    <x v="1"/>
  </r>
  <r>
    <x v="108"/>
    <x v="0"/>
    <n v="1158"/>
    <n v="227"/>
    <n v="3304.68"/>
    <x v="0"/>
  </r>
  <r>
    <x v="108"/>
    <x v="1"/>
    <n v="1133"/>
    <n v="254"/>
    <n v="4077.66"/>
    <x v="1"/>
  </r>
  <r>
    <x v="109"/>
    <x v="0"/>
    <n v="1098"/>
    <n v="220"/>
    <n v="4090.98"/>
    <x v="0"/>
  </r>
  <r>
    <x v="109"/>
    <x v="1"/>
    <n v="1182"/>
    <n v="276"/>
    <n v="4769.75"/>
    <x v="1"/>
  </r>
  <r>
    <x v="110"/>
    <x v="0"/>
    <n v="1214"/>
    <n v="206"/>
    <n v="3114.57"/>
    <x v="0"/>
  </r>
  <r>
    <x v="110"/>
    <x v="1"/>
    <n v="1171"/>
    <n v="260"/>
    <n v="3823.59"/>
    <x v="1"/>
  </r>
  <r>
    <x v="111"/>
    <x v="0"/>
    <n v="1140"/>
    <n v="217"/>
    <n v="4155.66"/>
    <x v="0"/>
  </r>
  <r>
    <x v="111"/>
    <x v="1"/>
    <n v="1152"/>
    <n v="267"/>
    <n v="3903.97"/>
    <x v="1"/>
  </r>
  <r>
    <x v="112"/>
    <x v="0"/>
    <n v="1173"/>
    <n v="240"/>
    <n v="3850.96"/>
    <x v="0"/>
  </r>
  <r>
    <x v="112"/>
    <x v="1"/>
    <n v="1166"/>
    <n v="272"/>
    <n v="4039.91"/>
    <x v="1"/>
  </r>
  <r>
    <x v="113"/>
    <x v="0"/>
    <n v="1167"/>
    <n v="223"/>
    <n v="3230.21"/>
    <x v="0"/>
  </r>
  <r>
    <x v="113"/>
    <x v="1"/>
    <n v="1194"/>
    <n v="263"/>
    <n v="3330.32"/>
    <x v="1"/>
  </r>
  <r>
    <x v="114"/>
    <x v="0"/>
    <n v="1184"/>
    <n v="224"/>
    <n v="3843.25"/>
    <x v="0"/>
  </r>
  <r>
    <x v="114"/>
    <x v="1"/>
    <n v="1202"/>
    <n v="271"/>
    <n v="4315.13"/>
    <x v="1"/>
  </r>
  <r>
    <x v="115"/>
    <x v="0"/>
    <n v="1257"/>
    <n v="248"/>
    <n v="3409.72"/>
    <x v="0"/>
  </r>
  <r>
    <x v="115"/>
    <x v="1"/>
    <n v="1172"/>
    <n v="270"/>
    <n v="4533.7299999999996"/>
    <x v="1"/>
  </r>
  <r>
    <x v="116"/>
    <x v="0"/>
    <n v="1242"/>
    <n v="223"/>
    <n v="3689.18"/>
    <x v="0"/>
  </r>
  <r>
    <x v="116"/>
    <x v="1"/>
    <n v="1136"/>
    <n v="257"/>
    <n v="2647.85"/>
    <x v="1"/>
  </r>
  <r>
    <x v="117"/>
    <x v="0"/>
    <n v="1216"/>
    <n v="229"/>
    <n v="3413.51"/>
    <x v="0"/>
  </r>
  <r>
    <x v="117"/>
    <x v="1"/>
    <n v="1122"/>
    <n v="251"/>
    <n v="4255.47"/>
    <x v="1"/>
  </r>
  <r>
    <x v="118"/>
    <x v="0"/>
    <n v="1183"/>
    <n v="235"/>
    <n v="4230.3599999999997"/>
    <x v="0"/>
  </r>
  <r>
    <x v="118"/>
    <x v="1"/>
    <n v="1113"/>
    <n v="237"/>
    <n v="4195.01"/>
    <x v="1"/>
  </r>
  <r>
    <x v="119"/>
    <x v="0"/>
    <n v="1217"/>
    <n v="232"/>
    <n v="3359.8"/>
    <x v="0"/>
  </r>
  <r>
    <x v="119"/>
    <x v="1"/>
    <n v="1126"/>
    <n v="256"/>
    <n v="3995.47"/>
    <x v="1"/>
  </r>
  <r>
    <x v="120"/>
    <x v="0"/>
    <n v="1109"/>
    <n v="205"/>
    <n v="3107.24"/>
    <x v="0"/>
  </r>
  <r>
    <x v="120"/>
    <x v="1"/>
    <n v="1064"/>
    <n v="271"/>
    <n v="3252.98"/>
    <x v="1"/>
  </r>
  <r>
    <x v="121"/>
    <x v="0"/>
    <n v="1214"/>
    <n v="235"/>
    <n v="4506.54"/>
    <x v="0"/>
  </r>
  <r>
    <x v="121"/>
    <x v="1"/>
    <n v="1108"/>
    <n v="249"/>
    <n v="3914.48"/>
    <x v="1"/>
  </r>
  <r>
    <x v="122"/>
    <x v="0"/>
    <n v="1167"/>
    <n v="264"/>
    <n v="3630.65"/>
    <x v="0"/>
  </r>
  <r>
    <x v="122"/>
    <x v="1"/>
    <n v="1194"/>
    <n v="243"/>
    <n v="4818.22"/>
    <x v="1"/>
  </r>
  <r>
    <x v="123"/>
    <x v="0"/>
    <n v="1200"/>
    <n v="205"/>
    <n v="3528.27"/>
    <x v="0"/>
  </r>
  <r>
    <x v="123"/>
    <x v="1"/>
    <n v="1120"/>
    <n v="256"/>
    <n v="4703.76"/>
    <x v="1"/>
  </r>
  <r>
    <x v="124"/>
    <x v="0"/>
    <n v="1149"/>
    <n v="250"/>
    <n v="3910.68"/>
    <x v="0"/>
  </r>
  <r>
    <x v="124"/>
    <x v="1"/>
    <n v="1156"/>
    <n v="284"/>
    <n v="4783.6499999999996"/>
    <x v="1"/>
  </r>
  <r>
    <x v="125"/>
    <x v="0"/>
    <n v="1182"/>
    <n v="227"/>
    <n v="3336.87"/>
    <x v="0"/>
  </r>
  <r>
    <x v="125"/>
    <x v="1"/>
    <n v="1154"/>
    <n v="269"/>
    <n v="4371.5600000000004"/>
    <x v="1"/>
  </r>
  <r>
    <x v="126"/>
    <x v="0"/>
    <n v="1190"/>
    <n v="230"/>
    <n v="3156.08"/>
    <x v="0"/>
  </r>
  <r>
    <x v="126"/>
    <x v="1"/>
    <n v="1121"/>
    <n v="265"/>
    <n v="3538.76"/>
    <x v="1"/>
  </r>
  <r>
    <x v="127"/>
    <x v="0"/>
    <n v="1212"/>
    <n v="223"/>
    <n v="2230.27"/>
    <x v="0"/>
  </r>
  <r>
    <x v="127"/>
    <x v="1"/>
    <n v="1138"/>
    <n v="271"/>
    <n v="5577.69"/>
    <x v="1"/>
  </r>
  <r>
    <x v="128"/>
    <x v="0"/>
    <n v="1211"/>
    <n v="238"/>
    <n v="3931.25"/>
    <x v="0"/>
  </r>
  <r>
    <x v="128"/>
    <x v="1"/>
    <n v="1123"/>
    <n v="235"/>
    <n v="3892.16"/>
    <x v="1"/>
  </r>
  <r>
    <x v="129"/>
    <x v="0"/>
    <n v="1185"/>
    <n v="238"/>
    <n v="3099.43"/>
    <x v="0"/>
  </r>
  <r>
    <x v="129"/>
    <x v="1"/>
    <n v="1183"/>
    <n v="268"/>
    <n v="3696.48"/>
    <x v="1"/>
  </r>
  <r>
    <x v="130"/>
    <x v="0"/>
    <n v="1222"/>
    <n v="246"/>
    <n v="3960.63"/>
    <x v="0"/>
  </r>
  <r>
    <x v="130"/>
    <x v="1"/>
    <n v="1115"/>
    <n v="240"/>
    <n v="3375.19"/>
    <x v="1"/>
  </r>
  <r>
    <x v="131"/>
    <x v="0"/>
    <n v="1207"/>
    <n v="261"/>
    <n v="4031.88"/>
    <x v="0"/>
  </r>
  <r>
    <x v="131"/>
    <x v="1"/>
    <n v="1228"/>
    <n v="286"/>
    <n v="5356.29"/>
    <x v="1"/>
  </r>
  <r>
    <x v="132"/>
    <x v="0"/>
    <n v="1211"/>
    <n v="238"/>
    <n v="3228.04"/>
    <x v="0"/>
  </r>
  <r>
    <x v="132"/>
    <x v="1"/>
    <n v="1186"/>
    <n v="246"/>
    <n v="4376.3"/>
    <x v="1"/>
  </r>
  <r>
    <x v="133"/>
    <x v="0"/>
    <n v="1212"/>
    <n v="250"/>
    <n v="4066.89"/>
    <x v="0"/>
  </r>
  <r>
    <x v="133"/>
    <x v="1"/>
    <n v="1120"/>
    <n v="240"/>
    <n v="4038.62"/>
    <x v="1"/>
  </r>
  <r>
    <x v="134"/>
    <x v="0"/>
    <n v="1211"/>
    <n v="229"/>
    <n v="3394.57"/>
    <x v="0"/>
  </r>
  <r>
    <x v="134"/>
    <x v="1"/>
    <n v="1170"/>
    <n v="267"/>
    <n v="5649.56"/>
    <x v="1"/>
  </r>
  <r>
    <x v="135"/>
    <x v="0"/>
    <n v="1155"/>
    <n v="209"/>
    <n v="2976.52"/>
    <x v="0"/>
  </r>
  <r>
    <x v="135"/>
    <x v="1"/>
    <n v="1094"/>
    <n v="250"/>
    <n v="3898.21"/>
    <x v="1"/>
  </r>
  <r>
    <x v="136"/>
    <x v="0"/>
    <n v="1171"/>
    <n v="212"/>
    <n v="3279.13"/>
    <x v="0"/>
  </r>
  <r>
    <x v="136"/>
    <x v="1"/>
    <n v="1196"/>
    <n v="289"/>
    <n v="3724.69"/>
    <x v="1"/>
  </r>
  <r>
    <x v="137"/>
    <x v="0"/>
    <n v="1183"/>
    <n v="228"/>
    <n v="3098.51"/>
    <x v="0"/>
  </r>
  <r>
    <x v="137"/>
    <x v="1"/>
    <n v="1156"/>
    <n v="254"/>
    <n v="4035.67"/>
    <x v="1"/>
  </r>
  <r>
    <x v="138"/>
    <x v="0"/>
    <n v="1167"/>
    <n v="213"/>
    <n v="2881.66"/>
    <x v="0"/>
  </r>
  <r>
    <x v="138"/>
    <x v="1"/>
    <n v="1166"/>
    <n v="296"/>
    <n v="5467.77"/>
    <x v="1"/>
  </r>
  <r>
    <x v="139"/>
    <x v="0"/>
    <n v="1190"/>
    <n v="226"/>
    <n v="4438.34"/>
    <x v="0"/>
  </r>
  <r>
    <x v="139"/>
    <x v="1"/>
    <n v="1095"/>
    <n v="235"/>
    <n v="3944.86"/>
    <x v="1"/>
  </r>
  <r>
    <x v="140"/>
    <x v="0"/>
    <n v="1230"/>
    <n v="226"/>
    <n v="3034.73"/>
    <x v="0"/>
  </r>
  <r>
    <x v="140"/>
    <x v="1"/>
    <n v="1094"/>
    <n v="266"/>
    <n v="3547.78"/>
    <x v="1"/>
  </r>
  <r>
    <x v="141"/>
    <x v="0"/>
    <n v="1190"/>
    <n v="237"/>
    <n v="3552.12"/>
    <x v="0"/>
  </r>
  <r>
    <x v="141"/>
    <x v="1"/>
    <n v="1103"/>
    <n v="245"/>
    <n v="4330.8599999999997"/>
    <x v="1"/>
  </r>
  <r>
    <x v="142"/>
    <x v="0"/>
    <n v="1244"/>
    <n v="229"/>
    <n v="3680.72"/>
    <x v="0"/>
  </r>
  <r>
    <x v="142"/>
    <x v="1"/>
    <n v="1135"/>
    <n v="265"/>
    <n v="3763.81"/>
    <x v="1"/>
  </r>
  <r>
    <x v="143"/>
    <x v="0"/>
    <n v="1156"/>
    <n v="189"/>
    <n v="3360.5"/>
    <x v="0"/>
  </r>
  <r>
    <x v="143"/>
    <x v="1"/>
    <n v="1114"/>
    <n v="269"/>
    <n v="4604.1000000000004"/>
    <x v="1"/>
  </r>
  <r>
    <x v="144"/>
    <x v="0"/>
    <n v="1187"/>
    <n v="223"/>
    <n v="3370.27"/>
    <x v="0"/>
  </r>
  <r>
    <x v="144"/>
    <x v="1"/>
    <n v="1131"/>
    <n v="276"/>
    <n v="4708.3900000000003"/>
    <x v="1"/>
  </r>
  <r>
    <x v="145"/>
    <x v="0"/>
    <n v="1214"/>
    <n v="238"/>
    <n v="3468.4"/>
    <x v="0"/>
  </r>
  <r>
    <x v="145"/>
    <x v="1"/>
    <n v="1080"/>
    <n v="285"/>
    <n v="5409.71"/>
    <x v="1"/>
  </r>
  <r>
    <x v="146"/>
    <x v="0"/>
    <n v="1157"/>
    <n v="230"/>
    <n v="3271.44"/>
    <x v="0"/>
  </r>
  <r>
    <x v="146"/>
    <x v="1"/>
    <n v="1184"/>
    <n v="267"/>
    <n v="4363"/>
    <x v="1"/>
  </r>
  <r>
    <x v="147"/>
    <x v="0"/>
    <n v="1203"/>
    <n v="210"/>
    <n v="2575.91"/>
    <x v="0"/>
  </r>
  <r>
    <x v="147"/>
    <x v="1"/>
    <n v="1137"/>
    <n v="268"/>
    <n v="4167.53"/>
    <x v="1"/>
  </r>
  <r>
    <x v="148"/>
    <x v="0"/>
    <n v="1229"/>
    <n v="237"/>
    <n v="3296.08"/>
    <x v="0"/>
  </r>
  <r>
    <x v="148"/>
    <x v="1"/>
    <n v="1153"/>
    <n v="259"/>
    <n v="4346.95"/>
    <x v="1"/>
  </r>
  <r>
    <x v="149"/>
    <x v="0"/>
    <n v="1289"/>
    <n v="235"/>
    <n v="4087.39"/>
    <x v="0"/>
  </r>
  <r>
    <x v="149"/>
    <x v="1"/>
    <n v="1098"/>
    <n v="249"/>
    <n v="3905.05"/>
    <x v="1"/>
  </r>
  <r>
    <x v="150"/>
    <x v="0"/>
    <n v="1225"/>
    <n v="237"/>
    <n v="4252.33"/>
    <x v="0"/>
  </r>
  <r>
    <x v="150"/>
    <x v="1"/>
    <n v="1199"/>
    <n v="254"/>
    <n v="3957.66"/>
    <x v="1"/>
  </r>
  <r>
    <x v="151"/>
    <x v="0"/>
    <n v="1174"/>
    <n v="202"/>
    <n v="3901.55"/>
    <x v="0"/>
  </r>
  <r>
    <x v="151"/>
    <x v="1"/>
    <n v="1166"/>
    <n v="278"/>
    <n v="4111.22"/>
    <x v="1"/>
  </r>
  <r>
    <x v="152"/>
    <x v="0"/>
    <n v="1134"/>
    <n v="202"/>
    <n v="3843.41"/>
    <x v="0"/>
  </r>
  <r>
    <x v="152"/>
    <x v="1"/>
    <n v="1064"/>
    <n v="230"/>
    <n v="3742.81"/>
    <x v="1"/>
  </r>
  <r>
    <x v="153"/>
    <x v="0"/>
    <n v="1136"/>
    <n v="223"/>
    <n v="3880.38"/>
    <x v="0"/>
  </r>
  <r>
    <x v="153"/>
    <x v="1"/>
    <n v="1166"/>
    <n v="273"/>
    <n v="4009.34"/>
    <x v="1"/>
  </r>
  <r>
    <x v="154"/>
    <x v="0"/>
    <n v="1216"/>
    <n v="241"/>
    <n v="4095.09"/>
    <x v="0"/>
  </r>
  <r>
    <x v="154"/>
    <x v="1"/>
    <n v="1162"/>
    <n v="272"/>
    <n v="3940.3"/>
    <x v="1"/>
  </r>
  <r>
    <x v="155"/>
    <x v="0"/>
    <n v="1211"/>
    <n v="242"/>
    <n v="3318.54"/>
    <x v="0"/>
  </r>
  <r>
    <x v="155"/>
    <x v="1"/>
    <n v="1158"/>
    <n v="262"/>
    <n v="4678.1899999999996"/>
    <x v="1"/>
  </r>
  <r>
    <x v="156"/>
    <x v="0"/>
    <n v="1263"/>
    <n v="244"/>
    <n v="4663.43"/>
    <x v="0"/>
  </r>
  <r>
    <x v="156"/>
    <x v="1"/>
    <n v="1221"/>
    <n v="281"/>
    <n v="3876"/>
    <x v="1"/>
  </r>
  <r>
    <x v="157"/>
    <x v="0"/>
    <n v="1249"/>
    <n v="227"/>
    <n v="3329.13"/>
    <x v="0"/>
  </r>
  <r>
    <x v="157"/>
    <x v="1"/>
    <n v="1176"/>
    <n v="262"/>
    <n v="4340.07"/>
    <x v="1"/>
  </r>
  <r>
    <x v="158"/>
    <x v="0"/>
    <n v="1114"/>
    <n v="198"/>
    <n v="2760.67"/>
    <x v="0"/>
  </r>
  <r>
    <x v="158"/>
    <x v="1"/>
    <n v="1150"/>
    <n v="252"/>
    <n v="4327.53"/>
    <x v="1"/>
  </r>
  <r>
    <x v="159"/>
    <x v="0"/>
    <n v="1209"/>
    <n v="226"/>
    <n v="3730.51"/>
    <x v="0"/>
  </r>
  <r>
    <x v="159"/>
    <x v="1"/>
    <n v="1163"/>
    <n v="261"/>
    <n v="4374.96"/>
    <x v="1"/>
  </r>
  <r>
    <x v="160"/>
    <x v="0"/>
    <n v="1147"/>
    <n v="221"/>
    <n v="4053.1"/>
    <x v="0"/>
  </r>
  <r>
    <x v="160"/>
    <x v="1"/>
    <n v="1161"/>
    <n v="260"/>
    <n v="4365.2299999999996"/>
    <x v="1"/>
  </r>
  <r>
    <x v="161"/>
    <x v="0"/>
    <n v="1205"/>
    <n v="224"/>
    <n v="3008.37"/>
    <x v="0"/>
  </r>
  <r>
    <x v="161"/>
    <x v="1"/>
    <n v="1235"/>
    <n v="294"/>
    <n v="5085.1899999999996"/>
    <x v="1"/>
  </r>
  <r>
    <x v="162"/>
    <x v="0"/>
    <n v="1180"/>
    <n v="223"/>
    <n v="3445.21"/>
    <x v="0"/>
  </r>
  <r>
    <x v="162"/>
    <x v="1"/>
    <n v="1139"/>
    <n v="243"/>
    <n v="4341.24"/>
    <x v="1"/>
  </r>
  <r>
    <x v="163"/>
    <x v="0"/>
    <n v="1212"/>
    <n v="232"/>
    <n v="3223.94"/>
    <x v="0"/>
  </r>
  <r>
    <x v="163"/>
    <x v="1"/>
    <n v="1164"/>
    <n v="276"/>
    <n v="5828.13"/>
    <x v="1"/>
  </r>
  <r>
    <x v="164"/>
    <x v="0"/>
    <n v="1206"/>
    <n v="218"/>
    <n v="2913.27"/>
    <x v="0"/>
  </r>
  <r>
    <x v="164"/>
    <x v="1"/>
    <n v="1080"/>
    <n v="262"/>
    <n v="4190.2299999999996"/>
    <x v="1"/>
  </r>
  <r>
    <x v="165"/>
    <x v="0"/>
    <n v="1182"/>
    <n v="222"/>
    <n v="4001.97"/>
    <x v="0"/>
  </r>
  <r>
    <x v="165"/>
    <x v="1"/>
    <n v="1164"/>
    <n v="272"/>
    <n v="4695.16"/>
    <x v="1"/>
  </r>
  <r>
    <x v="166"/>
    <x v="0"/>
    <n v="1152"/>
    <n v="230"/>
    <n v="4316.91"/>
    <x v="0"/>
  </r>
  <r>
    <x v="166"/>
    <x v="1"/>
    <n v="1115"/>
    <n v="269"/>
    <n v="5134.2700000000004"/>
    <x v="1"/>
  </r>
  <r>
    <x v="167"/>
    <x v="0"/>
    <n v="1176"/>
    <n v="211"/>
    <n v="2968.33"/>
    <x v="0"/>
  </r>
  <r>
    <x v="167"/>
    <x v="1"/>
    <n v="1195"/>
    <n v="260"/>
    <n v="3330.75"/>
    <x v="1"/>
  </r>
  <r>
    <x v="168"/>
    <x v="0"/>
    <n v="1196"/>
    <n v="230"/>
    <n v="3437.34"/>
    <x v="0"/>
  </r>
  <r>
    <x v="168"/>
    <x v="1"/>
    <n v="1144"/>
    <n v="258"/>
    <n v="5042.4799999999996"/>
    <x v="1"/>
  </r>
  <r>
    <x v="169"/>
    <x v="0"/>
    <n v="1211"/>
    <n v="224"/>
    <n v="3315.13"/>
    <x v="0"/>
  </r>
  <r>
    <x v="169"/>
    <x v="1"/>
    <n v="1125"/>
    <n v="281"/>
    <n v="4381.54"/>
    <x v="1"/>
  </r>
  <r>
    <x v="170"/>
    <x v="0"/>
    <n v="1176"/>
    <n v="221"/>
    <n v="3305.56"/>
    <x v="0"/>
  </r>
  <r>
    <x v="170"/>
    <x v="1"/>
    <n v="1051"/>
    <n v="264"/>
    <n v="3829.47"/>
    <x v="1"/>
  </r>
  <r>
    <x v="171"/>
    <x v="0"/>
    <n v="1203"/>
    <n v="218"/>
    <n v="3299.21"/>
    <x v="0"/>
  </r>
  <r>
    <x v="171"/>
    <x v="1"/>
    <n v="1217"/>
    <n v="291"/>
    <n v="4956.28"/>
    <x v="1"/>
  </r>
  <r>
    <x v="172"/>
    <x v="0"/>
    <n v="1174"/>
    <n v="216"/>
    <n v="3441.5"/>
    <x v="0"/>
  </r>
  <r>
    <x v="172"/>
    <x v="1"/>
    <n v="1161"/>
    <n v="268"/>
    <n v="4268.8999999999996"/>
    <x v="1"/>
  </r>
  <r>
    <x v="173"/>
    <x v="0"/>
    <n v="1170"/>
    <n v="235"/>
    <n v="3047.56"/>
    <x v="0"/>
  </r>
  <r>
    <x v="173"/>
    <x v="1"/>
    <n v="1192"/>
    <n v="257"/>
    <n v="4143.7"/>
    <x v="1"/>
  </r>
  <r>
    <x v="174"/>
    <x v="0"/>
    <n v="1204"/>
    <n v="234"/>
    <n v="3714.31"/>
    <x v="0"/>
  </r>
  <r>
    <x v="174"/>
    <x v="1"/>
    <n v="1146"/>
    <n v="275"/>
    <n v="4897.16"/>
    <x v="1"/>
  </r>
  <r>
    <x v="175"/>
    <x v="0"/>
    <n v="1131"/>
    <n v="197"/>
    <n v="2700.49"/>
    <x v="0"/>
  </r>
  <r>
    <x v="175"/>
    <x v="1"/>
    <n v="1112"/>
    <n v="248"/>
    <n v="3571.6"/>
    <x v="1"/>
  </r>
  <r>
    <x v="176"/>
    <x v="0"/>
    <n v="1168"/>
    <n v="220"/>
    <n v="3688.57"/>
    <x v="0"/>
  </r>
  <r>
    <x v="176"/>
    <x v="1"/>
    <n v="1154"/>
    <n v="251"/>
    <n v="3976.93"/>
    <x v="1"/>
  </r>
  <r>
    <x v="177"/>
    <x v="0"/>
    <n v="1236"/>
    <n v="229"/>
    <n v="3856.01"/>
    <x v="0"/>
  </r>
  <r>
    <x v="177"/>
    <x v="1"/>
    <n v="1157"/>
    <n v="291"/>
    <n v="4267.1400000000003"/>
    <x v="1"/>
  </r>
  <r>
    <x v="178"/>
    <x v="0"/>
    <n v="1160"/>
    <n v="222"/>
    <n v="3181.36"/>
    <x v="0"/>
  </r>
  <r>
    <x v="178"/>
    <x v="1"/>
    <n v="1115"/>
    <n v="229"/>
    <n v="3479.13"/>
    <x v="1"/>
  </r>
  <r>
    <x v="179"/>
    <x v="0"/>
    <n v="1194"/>
    <n v="207"/>
    <n v="3115.03"/>
    <x v="0"/>
  </r>
  <r>
    <x v="179"/>
    <x v="1"/>
    <n v="1163"/>
    <n v="286"/>
    <n v="5383.79"/>
    <x v="1"/>
  </r>
  <r>
    <x v="180"/>
    <x v="0"/>
    <n v="1161"/>
    <n v="229"/>
    <n v="3700.47"/>
    <x v="0"/>
  </r>
  <r>
    <x v="180"/>
    <x v="1"/>
    <n v="1091"/>
    <n v="236"/>
    <n v="3929.78"/>
    <x v="1"/>
  </r>
  <r>
    <x v="181"/>
    <x v="0"/>
    <n v="1236"/>
    <n v="221"/>
    <n v="3897.16"/>
    <x v="0"/>
  </r>
  <r>
    <x v="181"/>
    <x v="1"/>
    <n v="1146"/>
    <n v="261"/>
    <n v="4114.37"/>
    <x v="1"/>
  </r>
  <r>
    <x v="182"/>
    <x v="0"/>
    <n v="1183"/>
    <n v="222"/>
    <n v="3156.06"/>
    <x v="0"/>
  </r>
  <r>
    <x v="182"/>
    <x v="1"/>
    <n v="1145"/>
    <n v="273"/>
    <n v="3864.36"/>
    <x v="1"/>
  </r>
  <r>
    <x v="183"/>
    <x v="0"/>
    <n v="1185"/>
    <n v="219"/>
    <n v="2889.18"/>
    <x v="0"/>
  </r>
  <r>
    <x v="183"/>
    <x v="1"/>
    <n v="1167"/>
    <n v="245"/>
    <n v="4078.94"/>
    <x v="1"/>
  </r>
  <r>
    <x v="184"/>
    <x v="0"/>
    <n v="1163"/>
    <n v="209"/>
    <n v="3499.2"/>
    <x v="0"/>
  </r>
  <r>
    <x v="184"/>
    <x v="1"/>
    <n v="1169"/>
    <n v="276"/>
    <n v="3673.02"/>
    <x v="1"/>
  </r>
  <r>
    <x v="185"/>
    <x v="0"/>
    <n v="1215"/>
    <n v="218"/>
    <n v="3563.24"/>
    <x v="0"/>
  </r>
  <r>
    <x v="185"/>
    <x v="1"/>
    <n v="1102"/>
    <n v="249"/>
    <n v="4930.1400000000003"/>
    <x v="1"/>
  </r>
  <r>
    <x v="186"/>
    <x v="0"/>
    <n v="1205"/>
    <n v="271"/>
    <n v="3774.85"/>
    <x v="0"/>
  </r>
  <r>
    <x v="186"/>
    <x v="1"/>
    <n v="1175"/>
    <n v="258"/>
    <n v="4081.28"/>
    <x v="1"/>
  </r>
  <r>
    <x v="187"/>
    <x v="0"/>
    <n v="1178"/>
    <n v="200"/>
    <n v="2625.82"/>
    <x v="0"/>
  </r>
  <r>
    <x v="187"/>
    <x v="1"/>
    <n v="1187"/>
    <n v="290"/>
    <n v="5269.87"/>
    <x v="1"/>
  </r>
  <r>
    <x v="188"/>
    <x v="0"/>
    <n v="1221"/>
    <n v="230"/>
    <n v="3441.07"/>
    <x v="0"/>
  </r>
  <r>
    <x v="188"/>
    <x v="1"/>
    <n v="1130"/>
    <n v="264"/>
    <n v="4063.92"/>
    <x v="1"/>
  </r>
  <r>
    <x v="189"/>
    <x v="0"/>
    <n v="1226"/>
    <n v="253"/>
    <n v="3742.15"/>
    <x v="0"/>
  </r>
  <r>
    <x v="189"/>
    <x v="1"/>
    <n v="1181"/>
    <n v="268"/>
    <n v="4197.51"/>
    <x v="1"/>
  </r>
  <r>
    <x v="190"/>
    <x v="0"/>
    <n v="1242"/>
    <n v="217"/>
    <n v="2852.53"/>
    <x v="0"/>
  </r>
  <r>
    <x v="190"/>
    <x v="1"/>
    <n v="1097"/>
    <n v="262"/>
    <n v="4316.91"/>
    <x v="1"/>
  </r>
  <r>
    <x v="191"/>
    <x v="0"/>
    <n v="1181"/>
    <n v="244"/>
    <n v="4446.79"/>
    <x v="0"/>
  </r>
  <r>
    <x v="191"/>
    <x v="1"/>
    <n v="1159"/>
    <n v="262"/>
    <n v="4881.0200000000004"/>
    <x v="1"/>
  </r>
  <r>
    <x v="192"/>
    <x v="0"/>
    <n v="1149"/>
    <n v="221"/>
    <n v="3369.46"/>
    <x v="0"/>
  </r>
  <r>
    <x v="192"/>
    <x v="1"/>
    <n v="1175"/>
    <n v="295"/>
    <n v="5045.38"/>
    <x v="1"/>
  </r>
  <r>
    <x v="193"/>
    <x v="0"/>
    <n v="1174"/>
    <n v="241"/>
    <n v="3408.08"/>
    <x v="0"/>
  </r>
  <r>
    <x v="193"/>
    <x v="1"/>
    <n v="1148"/>
    <n v="282"/>
    <n v="4121.47"/>
    <x v="1"/>
  </r>
  <r>
    <x v="194"/>
    <x v="0"/>
    <n v="1168"/>
    <n v="222"/>
    <n v="3192.71"/>
    <x v="0"/>
  </r>
  <r>
    <x v="194"/>
    <x v="1"/>
    <n v="1183"/>
    <n v="286"/>
    <n v="4145.7700000000004"/>
    <x v="1"/>
  </r>
  <r>
    <x v="195"/>
    <x v="0"/>
    <n v="1265"/>
    <n v="227"/>
    <n v="3260.15"/>
    <x v="0"/>
  </r>
  <r>
    <x v="195"/>
    <x v="1"/>
    <n v="1151"/>
    <n v="265"/>
    <n v="3818.11"/>
    <x v="1"/>
  </r>
  <r>
    <x v="196"/>
    <x v="0"/>
    <n v="1176"/>
    <n v="229"/>
    <n v="3557.34"/>
    <x v="0"/>
  </r>
  <r>
    <x v="196"/>
    <x v="1"/>
    <n v="1160"/>
    <n v="273"/>
    <n v="4645.76"/>
    <x v="1"/>
  </r>
  <r>
    <x v="197"/>
    <x v="0"/>
    <n v="1214"/>
    <n v="239"/>
    <n v="4355.6400000000003"/>
    <x v="0"/>
  </r>
  <r>
    <x v="197"/>
    <x v="1"/>
    <n v="1102"/>
    <n v="262"/>
    <n v="4661.9399999999996"/>
    <x v="1"/>
  </r>
  <r>
    <x v="198"/>
    <x v="0"/>
    <n v="1153"/>
    <n v="214"/>
    <n v="3113.76"/>
    <x v="0"/>
  </r>
  <r>
    <x v="198"/>
    <x v="1"/>
    <n v="1220"/>
    <n v="256"/>
    <n v="3763.2"/>
    <x v="1"/>
  </r>
  <r>
    <x v="199"/>
    <x v="0"/>
    <n v="1209"/>
    <n v="231"/>
    <n v="3905.35"/>
    <x v="0"/>
  </r>
  <r>
    <x v="199"/>
    <x v="1"/>
    <n v="1173"/>
    <n v="293"/>
    <n v="4856.25"/>
    <x v="1"/>
  </r>
  <r>
    <x v="200"/>
    <x v="0"/>
    <n v="1203"/>
    <n v="217"/>
    <n v="3199.21"/>
    <x v="0"/>
  </r>
  <r>
    <x v="200"/>
    <x v="1"/>
    <n v="1157"/>
    <n v="256"/>
    <n v="3132.49"/>
    <x v="1"/>
  </r>
  <r>
    <x v="201"/>
    <x v="0"/>
    <n v="1184"/>
    <n v="209"/>
    <n v="2636.06"/>
    <x v="0"/>
  </r>
  <r>
    <x v="201"/>
    <x v="1"/>
    <n v="1130"/>
    <n v="257"/>
    <n v="4584.45"/>
    <x v="1"/>
  </r>
  <r>
    <x v="202"/>
    <x v="0"/>
    <n v="1236"/>
    <n v="260"/>
    <n v="4312.6099999999997"/>
    <x v="0"/>
  </r>
  <r>
    <x v="202"/>
    <x v="1"/>
    <n v="1137"/>
    <n v="272"/>
    <n v="3400.8"/>
    <x v="1"/>
  </r>
  <r>
    <x v="203"/>
    <x v="0"/>
    <n v="1193"/>
    <n v="246"/>
    <n v="4334.67"/>
    <x v="0"/>
  </r>
  <r>
    <x v="203"/>
    <x v="1"/>
    <n v="1134"/>
    <n v="270"/>
    <n v="5073.67"/>
    <x v="1"/>
  </r>
  <r>
    <x v="204"/>
    <x v="0"/>
    <n v="1218"/>
    <n v="240"/>
    <n v="3587.33"/>
    <x v="0"/>
  </r>
  <r>
    <x v="204"/>
    <x v="1"/>
    <n v="1169"/>
    <n v="289"/>
    <n v="4785.93"/>
    <x v="1"/>
  </r>
  <r>
    <x v="205"/>
    <x v="0"/>
    <n v="1200"/>
    <n v="243"/>
    <n v="3602.06"/>
    <x v="0"/>
  </r>
  <r>
    <x v="205"/>
    <x v="1"/>
    <n v="1112"/>
    <n v="248"/>
    <n v="3784.47"/>
    <x v="1"/>
  </r>
  <r>
    <x v="206"/>
    <x v="0"/>
    <n v="1178"/>
    <n v="204"/>
    <n v="3344.36"/>
    <x v="0"/>
  </r>
  <r>
    <x v="206"/>
    <x v="1"/>
    <n v="1160"/>
    <n v="304"/>
    <n v="4661.04"/>
    <x v="1"/>
  </r>
  <r>
    <x v="207"/>
    <x v="0"/>
    <n v="1292"/>
    <n v="252"/>
    <n v="3178.26"/>
    <x v="0"/>
  </r>
  <r>
    <x v="207"/>
    <x v="1"/>
    <n v="1155"/>
    <n v="275"/>
    <n v="4478.62"/>
    <x v="1"/>
  </r>
  <r>
    <x v="208"/>
    <x v="0"/>
    <n v="1175"/>
    <n v="217"/>
    <n v="2395.98"/>
    <x v="0"/>
  </r>
  <r>
    <x v="208"/>
    <x v="1"/>
    <n v="1158"/>
    <n v="267"/>
    <n v="4671.38"/>
    <x v="1"/>
  </r>
  <r>
    <x v="209"/>
    <x v="0"/>
    <n v="1199"/>
    <n v="239"/>
    <n v="2997.28"/>
    <x v="0"/>
  </r>
  <r>
    <x v="209"/>
    <x v="1"/>
    <n v="1140"/>
    <n v="267"/>
    <n v="4537.24"/>
    <x v="1"/>
  </r>
  <r>
    <x v="210"/>
    <x v="0"/>
    <n v="1256"/>
    <n v="237"/>
    <n v="3701.02"/>
    <x v="0"/>
  </r>
  <r>
    <x v="210"/>
    <x v="1"/>
    <n v="1105"/>
    <n v="241"/>
    <n v="3667.23"/>
    <x v="1"/>
  </r>
  <r>
    <x v="211"/>
    <x v="0"/>
    <n v="1273"/>
    <n v="235"/>
    <n v="4054.24"/>
    <x v="0"/>
  </r>
  <r>
    <x v="211"/>
    <x v="1"/>
    <n v="1159"/>
    <n v="272"/>
    <n v="4324.04"/>
    <x v="1"/>
  </r>
  <r>
    <x v="212"/>
    <x v="0"/>
    <n v="1228"/>
    <n v="241"/>
    <n v="4124.0200000000004"/>
    <x v="0"/>
  </r>
  <r>
    <x v="212"/>
    <x v="1"/>
    <n v="1186"/>
    <n v="271"/>
    <n v="4457"/>
    <x v="1"/>
  </r>
  <r>
    <x v="213"/>
    <x v="0"/>
    <n v="1167"/>
    <n v="234"/>
    <n v="3787.78"/>
    <x v="0"/>
  </r>
  <r>
    <x v="213"/>
    <x v="1"/>
    <n v="1162"/>
    <n v="255"/>
    <n v="2580.4"/>
    <x v="1"/>
  </r>
  <r>
    <x v="214"/>
    <x v="0"/>
    <n v="1219"/>
    <n v="214"/>
    <n v="2794.13"/>
    <x v="0"/>
  </r>
  <r>
    <x v="214"/>
    <x v="1"/>
    <n v="1183"/>
    <n v="254"/>
    <n v="3363.15"/>
    <x v="1"/>
  </r>
  <r>
    <x v="215"/>
    <x v="0"/>
    <n v="1218"/>
    <n v="243"/>
    <n v="3997.4"/>
    <x v="0"/>
  </r>
  <r>
    <x v="215"/>
    <x v="1"/>
    <n v="1175"/>
    <n v="277"/>
    <n v="4717.96"/>
    <x v="1"/>
  </r>
  <r>
    <x v="216"/>
    <x v="0"/>
    <n v="1240"/>
    <n v="226"/>
    <n v="3316.29"/>
    <x v="0"/>
  </r>
  <r>
    <x v="216"/>
    <x v="1"/>
    <n v="1141"/>
    <n v="274"/>
    <n v="3975.79"/>
    <x v="1"/>
  </r>
  <r>
    <x v="217"/>
    <x v="0"/>
    <n v="1137"/>
    <n v="229"/>
    <n v="3435.55"/>
    <x v="0"/>
  </r>
  <r>
    <x v="217"/>
    <x v="1"/>
    <n v="1181"/>
    <n v="271"/>
    <n v="3893.14"/>
    <x v="1"/>
  </r>
  <r>
    <x v="218"/>
    <x v="0"/>
    <n v="1190"/>
    <n v="228"/>
    <n v="3798.24"/>
    <x v="0"/>
  </r>
  <r>
    <x v="218"/>
    <x v="1"/>
    <n v="1132"/>
    <n v="252"/>
    <n v="3934.31"/>
    <x v="1"/>
  </r>
  <r>
    <x v="219"/>
    <x v="0"/>
    <n v="1186"/>
    <n v="207"/>
    <n v="1854.92"/>
    <x v="0"/>
  </r>
  <r>
    <x v="219"/>
    <x v="1"/>
    <n v="1158"/>
    <n v="250"/>
    <n v="4091.92"/>
    <x v="1"/>
  </r>
  <r>
    <x v="220"/>
    <x v="0"/>
    <n v="1173"/>
    <n v="232"/>
    <n v="3662.08"/>
    <x v="0"/>
  </r>
  <r>
    <x v="220"/>
    <x v="1"/>
    <n v="1127"/>
    <n v="267"/>
    <n v="4000.21"/>
    <x v="1"/>
  </r>
  <r>
    <x v="221"/>
    <x v="0"/>
    <n v="1213"/>
    <n v="223"/>
    <n v="3345.09"/>
    <x v="0"/>
  </r>
  <r>
    <x v="221"/>
    <x v="1"/>
    <n v="1070"/>
    <n v="231"/>
    <n v="3691.7"/>
    <x v="1"/>
  </r>
  <r>
    <x v="222"/>
    <x v="0"/>
    <n v="1239"/>
    <n v="226"/>
    <n v="3092.53"/>
    <x v="0"/>
  </r>
  <r>
    <x v="222"/>
    <x v="1"/>
    <n v="1136"/>
    <n v="271"/>
    <n v="4171.38"/>
    <x v="1"/>
  </r>
  <r>
    <x v="223"/>
    <x v="0"/>
    <n v="1231"/>
    <n v="228"/>
    <n v="3598.05"/>
    <x v="0"/>
  </r>
  <r>
    <x v="223"/>
    <x v="1"/>
    <n v="1095"/>
    <n v="262"/>
    <n v="4137.91"/>
    <x v="1"/>
  </r>
  <r>
    <x v="224"/>
    <x v="0"/>
    <n v="1213"/>
    <n v="226"/>
    <n v="3826.36"/>
    <x v="0"/>
  </r>
  <r>
    <x v="224"/>
    <x v="1"/>
    <n v="1227"/>
    <n v="292"/>
    <n v="5393.9"/>
    <x v="1"/>
  </r>
  <r>
    <x v="225"/>
    <x v="0"/>
    <n v="1230"/>
    <n v="225"/>
    <n v="3375.24"/>
    <x v="0"/>
  </r>
  <r>
    <x v="225"/>
    <x v="1"/>
    <n v="1143"/>
    <n v="262"/>
    <n v="4507.03"/>
    <x v="1"/>
  </r>
  <r>
    <x v="226"/>
    <x v="0"/>
    <n v="1187"/>
    <n v="217"/>
    <n v="3705.97"/>
    <x v="0"/>
  </r>
  <r>
    <x v="226"/>
    <x v="1"/>
    <n v="1120"/>
    <n v="274"/>
    <n v="4342.4799999999996"/>
    <x v="1"/>
  </r>
  <r>
    <x v="227"/>
    <x v="0"/>
    <n v="1156"/>
    <n v="211"/>
    <n v="2663.07"/>
    <x v="0"/>
  </r>
  <r>
    <x v="227"/>
    <x v="1"/>
    <n v="1172"/>
    <n v="289"/>
    <n v="5573.46"/>
    <x v="1"/>
  </r>
  <r>
    <x v="228"/>
    <x v="0"/>
    <n v="1187"/>
    <n v="216"/>
    <n v="3560.04"/>
    <x v="0"/>
  </r>
  <r>
    <x v="228"/>
    <x v="1"/>
    <n v="1134"/>
    <n v="255"/>
    <n v="3818.26"/>
    <x v="1"/>
  </r>
  <r>
    <x v="229"/>
    <x v="0"/>
    <n v="1199"/>
    <n v="234"/>
    <n v="3500.99"/>
    <x v="0"/>
  </r>
  <r>
    <x v="229"/>
    <x v="1"/>
    <n v="1168"/>
    <n v="263"/>
    <n v="4069.72"/>
    <x v="1"/>
  </r>
  <r>
    <x v="230"/>
    <x v="0"/>
    <n v="1154"/>
    <n v="217"/>
    <n v="3299.21"/>
    <x v="0"/>
  </r>
  <r>
    <x v="230"/>
    <x v="1"/>
    <n v="1135"/>
    <n v="253"/>
    <n v="4831.8"/>
    <x v="1"/>
  </r>
  <r>
    <x v="231"/>
    <x v="0"/>
    <n v="1240"/>
    <n v="243"/>
    <n v="3594.82"/>
    <x v="0"/>
  </r>
  <r>
    <x v="231"/>
    <x v="1"/>
    <n v="1175"/>
    <n v="245"/>
    <n v="3114.84"/>
    <x v="1"/>
  </r>
  <r>
    <x v="232"/>
    <x v="0"/>
    <n v="1272"/>
    <n v="272"/>
    <n v="3394.47"/>
    <x v="0"/>
  </r>
  <r>
    <x v="232"/>
    <x v="1"/>
    <n v="1117"/>
    <n v="262"/>
    <n v="3869.03"/>
    <x v="1"/>
  </r>
  <r>
    <x v="233"/>
    <x v="0"/>
    <n v="1208"/>
    <n v="227"/>
    <n v="3036.87"/>
    <x v="0"/>
  </r>
  <r>
    <x v="233"/>
    <x v="1"/>
    <n v="1207"/>
    <n v="272"/>
    <n v="3667.88"/>
    <x v="1"/>
  </r>
  <r>
    <x v="234"/>
    <x v="0"/>
    <n v="1221"/>
    <n v="238"/>
    <n v="3172.47"/>
    <x v="0"/>
  </r>
  <r>
    <x v="234"/>
    <x v="1"/>
    <n v="1153"/>
    <n v="267"/>
    <n v="5387.81"/>
    <x v="1"/>
  </r>
  <r>
    <x v="235"/>
    <x v="0"/>
    <n v="1139"/>
    <n v="221"/>
    <n v="2337.36"/>
    <x v="0"/>
  </r>
  <r>
    <x v="235"/>
    <x v="1"/>
    <n v="1067"/>
    <n v="258"/>
    <n v="4919.25"/>
    <x v="1"/>
  </r>
  <r>
    <x v="236"/>
    <x v="0"/>
    <n v="1242"/>
    <n v="253"/>
    <n v="4819.3"/>
    <x v="0"/>
  </r>
  <r>
    <x v="236"/>
    <x v="1"/>
    <n v="1088"/>
    <n v="289"/>
    <n v="3836.09"/>
    <x v="1"/>
  </r>
  <r>
    <x v="237"/>
    <x v="0"/>
    <n v="1202"/>
    <n v="223"/>
    <n v="4149.74"/>
    <x v="0"/>
  </r>
  <r>
    <x v="237"/>
    <x v="1"/>
    <n v="1124"/>
    <n v="233"/>
    <n v="3639.04"/>
    <x v="1"/>
  </r>
  <r>
    <x v="238"/>
    <x v="0"/>
    <n v="1206"/>
    <n v="249"/>
    <n v="3112.3"/>
    <x v="0"/>
  </r>
  <r>
    <x v="238"/>
    <x v="1"/>
    <n v="1132"/>
    <n v="247"/>
    <n v="4250.63"/>
    <x v="1"/>
  </r>
  <r>
    <x v="239"/>
    <x v="0"/>
    <n v="1193"/>
    <n v="228"/>
    <n v="3256.6"/>
    <x v="0"/>
  </r>
  <r>
    <x v="239"/>
    <x v="1"/>
    <n v="1140"/>
    <n v="256"/>
    <n v="3764.46"/>
    <x v="1"/>
  </r>
  <r>
    <x v="240"/>
    <x v="0"/>
    <n v="1189"/>
    <n v="240"/>
    <n v="3271.38"/>
    <x v="0"/>
  </r>
  <r>
    <x v="240"/>
    <x v="1"/>
    <n v="1156"/>
    <n v="239"/>
    <n v="4201.92"/>
    <x v="1"/>
  </r>
  <r>
    <x v="241"/>
    <x v="0"/>
    <n v="1166"/>
    <n v="212"/>
    <n v="3007.42"/>
    <x v="0"/>
  </r>
  <r>
    <x v="241"/>
    <x v="1"/>
    <n v="1227"/>
    <n v="284"/>
    <n v="4933.83"/>
    <x v="1"/>
  </r>
  <r>
    <x v="242"/>
    <x v="0"/>
    <n v="1202"/>
    <n v="230"/>
    <n v="3363"/>
    <x v="0"/>
  </r>
  <r>
    <x v="242"/>
    <x v="1"/>
    <n v="1180"/>
    <n v="287"/>
    <n v="5121.03"/>
    <x v="1"/>
  </r>
  <r>
    <x v="243"/>
    <x v="0"/>
    <n v="1209"/>
    <n v="220"/>
    <n v="2154.15"/>
    <x v="0"/>
  </r>
  <r>
    <x v="243"/>
    <x v="1"/>
    <n v="1184"/>
    <n v="267"/>
    <n v="4378.24"/>
    <x v="1"/>
  </r>
  <r>
    <x v="244"/>
    <x v="0"/>
    <n v="1229"/>
    <n v="216"/>
    <n v="2471.65"/>
    <x v="0"/>
  </r>
  <r>
    <x v="244"/>
    <x v="1"/>
    <n v="1143"/>
    <n v="247"/>
    <n v="4109.91"/>
    <x v="1"/>
  </r>
  <r>
    <x v="245"/>
    <x v="0"/>
    <n v="1202"/>
    <n v="265"/>
    <n v="3398.76"/>
    <x v="0"/>
  </r>
  <r>
    <x v="245"/>
    <x v="1"/>
    <n v="1122"/>
    <n v="249"/>
    <n v="3443.26"/>
    <x v="1"/>
  </r>
  <r>
    <x v="246"/>
    <x v="0"/>
    <n v="1225"/>
    <n v="241"/>
    <n v="4190.5600000000004"/>
    <x v="0"/>
  </r>
  <r>
    <x v="246"/>
    <x v="1"/>
    <n v="1185"/>
    <n v="262"/>
    <n v="3677.87"/>
    <x v="1"/>
  </r>
  <r>
    <x v="247"/>
    <x v="0"/>
    <n v="1227"/>
    <n v="240"/>
    <n v="3640.95"/>
    <x v="0"/>
  </r>
  <r>
    <x v="247"/>
    <x v="1"/>
    <n v="1171"/>
    <n v="263"/>
    <n v="3782.85"/>
    <x v="1"/>
  </r>
  <r>
    <x v="248"/>
    <x v="0"/>
    <n v="1179"/>
    <n v="220"/>
    <n v="4178.09"/>
    <x v="0"/>
  </r>
  <r>
    <x v="248"/>
    <x v="1"/>
    <n v="1137"/>
    <n v="268"/>
    <n v="5954.92"/>
    <x v="1"/>
  </r>
  <r>
    <x v="249"/>
    <x v="0"/>
    <n v="1222"/>
    <n v="222"/>
    <n v="3082.11"/>
    <x v="0"/>
  </r>
  <r>
    <x v="249"/>
    <x v="1"/>
    <n v="1134"/>
    <n v="248"/>
    <n v="3422.32"/>
    <x v="1"/>
  </r>
  <r>
    <x v="250"/>
    <x v="0"/>
    <n v="1276"/>
    <n v="254"/>
    <n v="4163.33"/>
    <x v="0"/>
  </r>
  <r>
    <x v="250"/>
    <x v="1"/>
    <n v="1139"/>
    <n v="272"/>
    <n v="4813.91"/>
    <x v="1"/>
  </r>
  <r>
    <x v="251"/>
    <x v="0"/>
    <n v="1194"/>
    <n v="224"/>
    <n v="3363.16"/>
    <x v="0"/>
  </r>
  <r>
    <x v="251"/>
    <x v="1"/>
    <n v="1172"/>
    <n v="254"/>
    <n v="3728.56"/>
    <x v="1"/>
  </r>
  <r>
    <x v="252"/>
    <x v="0"/>
    <n v="1205"/>
    <n v="211"/>
    <n v="2962.93"/>
    <x v="0"/>
  </r>
  <r>
    <x v="252"/>
    <x v="1"/>
    <n v="1129"/>
    <n v="252"/>
    <n v="3597.16"/>
    <x v="1"/>
  </r>
  <r>
    <x v="253"/>
    <x v="0"/>
    <n v="1207"/>
    <n v="252"/>
    <n v="3593.88"/>
    <x v="0"/>
  </r>
  <r>
    <x v="253"/>
    <x v="1"/>
    <n v="1155"/>
    <n v="268"/>
    <n v="4364.8599999999997"/>
    <x v="1"/>
  </r>
  <r>
    <x v="254"/>
    <x v="0"/>
    <n v="1212"/>
    <n v="220"/>
    <n v="3064.25"/>
    <x v="0"/>
  </r>
  <r>
    <x v="254"/>
    <x v="1"/>
    <n v="1168"/>
    <n v="260"/>
    <n v="3272.17"/>
    <x v="1"/>
  </r>
  <r>
    <x v="255"/>
    <x v="0"/>
    <n v="1274"/>
    <n v="239"/>
    <n v="3387.36"/>
    <x v="0"/>
  </r>
  <r>
    <x v="255"/>
    <x v="1"/>
    <n v="1127"/>
    <n v="250"/>
    <n v="4130.1400000000003"/>
    <x v="1"/>
  </r>
  <r>
    <x v="256"/>
    <x v="0"/>
    <n v="1134"/>
    <n v="197"/>
    <n v="2864.22"/>
    <x v="0"/>
  </r>
  <r>
    <x v="256"/>
    <x v="1"/>
    <n v="1174"/>
    <n v="278"/>
    <n v="3934.13"/>
    <x v="1"/>
  </r>
  <r>
    <x v="257"/>
    <x v="0"/>
    <n v="1190"/>
    <n v="222"/>
    <n v="2920.69"/>
    <x v="0"/>
  </r>
  <r>
    <x v="257"/>
    <x v="1"/>
    <n v="1165"/>
    <n v="291"/>
    <n v="4071.7"/>
    <x v="1"/>
  </r>
  <r>
    <x v="258"/>
    <x v="0"/>
    <n v="1179"/>
    <n v="232"/>
    <n v="2876.99"/>
    <x v="0"/>
  </r>
  <r>
    <x v="258"/>
    <x v="1"/>
    <n v="1124"/>
    <n v="264"/>
    <n v="4662.1000000000004"/>
    <x v="1"/>
  </r>
  <r>
    <x v="259"/>
    <x v="0"/>
    <n v="1210"/>
    <n v="211"/>
    <n v="3397.72"/>
    <x v="0"/>
  </r>
  <r>
    <x v="259"/>
    <x v="1"/>
    <n v="1118"/>
    <n v="274"/>
    <n v="4570.6400000000003"/>
    <x v="1"/>
  </r>
  <r>
    <x v="260"/>
    <x v="0"/>
    <n v="1208"/>
    <n v="222"/>
    <n v="3829.21"/>
    <x v="0"/>
  </r>
  <r>
    <x v="260"/>
    <x v="1"/>
    <n v="1116"/>
    <n v="244"/>
    <n v="3740.97"/>
    <x v="1"/>
  </r>
  <r>
    <x v="261"/>
    <x v="0"/>
    <n v="1145"/>
    <n v="241"/>
    <n v="3404.48"/>
    <x v="0"/>
  </r>
  <r>
    <x v="261"/>
    <x v="1"/>
    <n v="1173"/>
    <n v="278"/>
    <n v="3554.74"/>
    <x v="1"/>
  </r>
  <r>
    <x v="262"/>
    <x v="0"/>
    <n v="1214"/>
    <n v="217"/>
    <n v="3382.69"/>
    <x v="0"/>
  </r>
  <r>
    <x v="262"/>
    <x v="1"/>
    <n v="1174"/>
    <n v="275"/>
    <n v="4271.08"/>
    <x v="1"/>
  </r>
  <r>
    <x v="263"/>
    <x v="0"/>
    <n v="1176"/>
    <n v="214"/>
    <n v="3501.92"/>
    <x v="0"/>
  </r>
  <r>
    <x v="263"/>
    <x v="1"/>
    <n v="1167"/>
    <n v="235"/>
    <n v="4459.01"/>
    <x v="1"/>
  </r>
  <r>
    <x v="264"/>
    <x v="0"/>
    <n v="1167"/>
    <n v="240"/>
    <n v="3928"/>
    <x v="0"/>
  </r>
  <r>
    <x v="264"/>
    <x v="1"/>
    <n v="1158"/>
    <n v="267"/>
    <n v="4160.2299999999996"/>
    <x v="1"/>
  </r>
  <r>
    <x v="265"/>
    <x v="0"/>
    <n v="1251"/>
    <n v="256"/>
    <n v="3529.8"/>
    <x v="0"/>
  </r>
  <r>
    <x v="265"/>
    <x v="1"/>
    <n v="1144"/>
    <n v="270"/>
    <n v="5248.46"/>
    <x v="1"/>
  </r>
  <r>
    <x v="266"/>
    <x v="0"/>
    <n v="1194"/>
    <n v="226"/>
    <n v="3383.75"/>
    <x v="0"/>
  </r>
  <r>
    <x v="266"/>
    <x v="1"/>
    <n v="1212"/>
    <n v="272"/>
    <n v="3976.79"/>
    <x v="1"/>
  </r>
  <r>
    <x v="267"/>
    <x v="0"/>
    <n v="1216"/>
    <n v="233"/>
    <n v="3863.31"/>
    <x v="0"/>
  </r>
  <r>
    <x v="267"/>
    <x v="1"/>
    <n v="1184"/>
    <n v="269"/>
    <n v="4486.95"/>
    <x v="1"/>
  </r>
  <r>
    <x v="268"/>
    <x v="0"/>
    <n v="1180"/>
    <n v="231"/>
    <n v="2840.8"/>
    <x v="0"/>
  </r>
  <r>
    <x v="268"/>
    <x v="1"/>
    <n v="1186"/>
    <n v="260"/>
    <n v="3472.32"/>
    <x v="1"/>
  </r>
  <r>
    <x v="269"/>
    <x v="0"/>
    <n v="1281"/>
    <n v="244"/>
    <n v="3547.86"/>
    <x v="0"/>
  </r>
  <r>
    <x v="269"/>
    <x v="1"/>
    <n v="1155"/>
    <n v="250"/>
    <n v="3574.3"/>
    <x v="1"/>
  </r>
  <r>
    <x v="270"/>
    <x v="0"/>
    <n v="1218"/>
    <n v="233"/>
    <n v="3715.71"/>
    <x v="0"/>
  </r>
  <r>
    <x v="270"/>
    <x v="1"/>
    <n v="1115"/>
    <n v="262"/>
    <n v="3706.58"/>
    <x v="1"/>
  </r>
  <r>
    <x v="271"/>
    <x v="0"/>
    <n v="1162"/>
    <n v="236"/>
    <n v="3205.08"/>
    <x v="0"/>
  </r>
  <r>
    <x v="271"/>
    <x v="1"/>
    <n v="1100"/>
    <n v="258"/>
    <n v="3478.61"/>
    <x v="1"/>
  </r>
  <r>
    <x v="272"/>
    <x v="0"/>
    <n v="1173"/>
    <n v="233"/>
    <n v="3970.96"/>
    <x v="0"/>
  </r>
  <r>
    <x v="272"/>
    <x v="1"/>
    <n v="1142"/>
    <n v="266"/>
    <n v="5367.05"/>
    <x v="1"/>
  </r>
  <r>
    <x v="273"/>
    <x v="0"/>
    <n v="1221"/>
    <n v="242"/>
    <n v="3788.67"/>
    <x v="0"/>
  </r>
  <r>
    <x v="273"/>
    <x v="1"/>
    <n v="1153"/>
    <n v="287"/>
    <n v="5122.53"/>
    <x v="1"/>
  </r>
  <r>
    <x v="274"/>
    <x v="0"/>
    <n v="1183"/>
    <n v="208"/>
    <n v="3477.12"/>
    <x v="0"/>
  </r>
  <r>
    <x v="274"/>
    <x v="1"/>
    <n v="1118"/>
    <n v="274"/>
    <n v="4255.43"/>
    <x v="1"/>
  </r>
  <r>
    <x v="275"/>
    <x v="0"/>
    <n v="1232"/>
    <n v="239"/>
    <n v="4284.88"/>
    <x v="0"/>
  </r>
  <r>
    <x v="275"/>
    <x v="1"/>
    <n v="1124"/>
    <n v="269"/>
    <n v="4840.3100000000004"/>
    <x v="1"/>
  </r>
  <r>
    <x v="276"/>
    <x v="0"/>
    <n v="1183"/>
    <n v="237"/>
    <n v="3175.78"/>
    <x v="0"/>
  </r>
  <r>
    <x v="276"/>
    <x v="1"/>
    <n v="1139"/>
    <n v="284"/>
    <n v="4507.92"/>
    <x v="1"/>
  </r>
  <r>
    <x v="277"/>
    <x v="0"/>
    <n v="1134"/>
    <n v="217"/>
    <n v="2991.69"/>
    <x v="0"/>
  </r>
  <r>
    <x v="277"/>
    <x v="1"/>
    <n v="1138"/>
    <n v="252"/>
    <n v="4138.49"/>
    <x v="1"/>
  </r>
  <r>
    <x v="278"/>
    <x v="0"/>
    <n v="1206"/>
    <n v="229"/>
    <n v="3149.05"/>
    <x v="0"/>
  </r>
  <r>
    <x v="278"/>
    <x v="1"/>
    <n v="1137"/>
    <n v="244"/>
    <n v="3813.95"/>
    <x v="1"/>
  </r>
  <r>
    <x v="279"/>
    <x v="0"/>
    <n v="1169"/>
    <n v="241"/>
    <n v="3903.62"/>
    <x v="0"/>
  </r>
  <r>
    <x v="279"/>
    <x v="1"/>
    <n v="1155"/>
    <n v="252"/>
    <n v="4368.84"/>
    <x v="1"/>
  </r>
  <r>
    <x v="280"/>
    <x v="0"/>
    <n v="1212"/>
    <n v="232"/>
    <n v="3617.61"/>
    <x v="0"/>
  </r>
  <r>
    <x v="280"/>
    <x v="1"/>
    <n v="1204"/>
    <n v="284"/>
    <n v="4807.09"/>
    <x v="1"/>
  </r>
  <r>
    <x v="281"/>
    <x v="0"/>
    <n v="1249"/>
    <n v="259"/>
    <n v="4822.22"/>
    <x v="0"/>
  </r>
  <r>
    <x v="281"/>
    <x v="1"/>
    <n v="1127"/>
    <n v="266"/>
    <n v="4140"/>
    <x v="1"/>
  </r>
  <r>
    <x v="282"/>
    <x v="0"/>
    <n v="1169"/>
    <n v="245"/>
    <n v="3230.2"/>
    <x v="0"/>
  </r>
  <r>
    <x v="282"/>
    <x v="1"/>
    <n v="1185"/>
    <n v="251"/>
    <n v="4778.68"/>
    <x v="1"/>
  </r>
  <r>
    <x v="283"/>
    <x v="0"/>
    <n v="1270"/>
    <n v="247"/>
    <n v="4000.03"/>
    <x v="0"/>
  </r>
  <r>
    <x v="283"/>
    <x v="1"/>
    <n v="1120"/>
    <n v="250"/>
    <n v="3525.83"/>
    <x v="1"/>
  </r>
  <r>
    <x v="284"/>
    <x v="0"/>
    <n v="1235"/>
    <n v="229"/>
    <n v="3554.28"/>
    <x v="0"/>
  </r>
  <r>
    <x v="284"/>
    <x v="1"/>
    <n v="1137"/>
    <n v="255"/>
    <n v="3805.19"/>
    <x v="1"/>
  </r>
  <r>
    <x v="285"/>
    <x v="0"/>
    <n v="1173"/>
    <n v="208"/>
    <n v="3402.52"/>
    <x v="0"/>
  </r>
  <r>
    <x v="285"/>
    <x v="1"/>
    <n v="1198"/>
    <n v="269"/>
    <n v="4141.5"/>
    <x v="1"/>
  </r>
  <r>
    <x v="286"/>
    <x v="0"/>
    <n v="1134"/>
    <n v="224"/>
    <n v="2904.53"/>
    <x v="0"/>
  </r>
  <r>
    <x v="286"/>
    <x v="1"/>
    <n v="1180"/>
    <n v="266"/>
    <n v="4126.1499999999996"/>
    <x v="1"/>
  </r>
  <r>
    <x v="287"/>
    <x v="0"/>
    <n v="1171"/>
    <n v="219"/>
    <n v="3454.42"/>
    <x v="0"/>
  </r>
  <r>
    <x v="287"/>
    <x v="1"/>
    <n v="1156"/>
    <n v="263"/>
    <n v="4781.8599999999997"/>
    <x v="1"/>
  </r>
  <r>
    <x v="288"/>
    <x v="0"/>
    <n v="1227"/>
    <n v="218"/>
    <n v="3487.94"/>
    <x v="0"/>
  </r>
  <r>
    <x v="288"/>
    <x v="1"/>
    <n v="1212"/>
    <n v="278"/>
    <n v="3669.99"/>
    <x v="1"/>
  </r>
  <r>
    <x v="289"/>
    <x v="0"/>
    <n v="1234"/>
    <n v="257"/>
    <n v="4859.4399999999996"/>
    <x v="0"/>
  </r>
  <r>
    <x v="289"/>
    <x v="1"/>
    <n v="1168"/>
    <n v="227"/>
    <n v="3402.39"/>
    <x v="1"/>
  </r>
  <r>
    <x v="290"/>
    <x v="0"/>
    <n v="1200"/>
    <n v="235"/>
    <n v="4103.51"/>
    <x v="0"/>
  </r>
  <r>
    <x v="290"/>
    <x v="1"/>
    <n v="1115"/>
    <n v="257"/>
    <n v="4978.1000000000004"/>
    <x v="1"/>
  </r>
  <r>
    <x v="291"/>
    <x v="0"/>
    <n v="1239"/>
    <n v="215"/>
    <n v="3893.29"/>
    <x v="0"/>
  </r>
  <r>
    <x v="291"/>
    <x v="1"/>
    <n v="1188"/>
    <n v="283"/>
    <n v="5011.3500000000004"/>
    <x v="1"/>
  </r>
  <r>
    <x v="292"/>
    <x v="0"/>
    <n v="1160"/>
    <n v="208"/>
    <n v="3850.28"/>
    <x v="0"/>
  </r>
  <r>
    <x v="292"/>
    <x v="1"/>
    <n v="1136"/>
    <n v="251"/>
    <n v="4805.66"/>
    <x v="1"/>
  </r>
  <r>
    <x v="293"/>
    <x v="0"/>
    <n v="1142"/>
    <n v="195"/>
    <n v="3170.52"/>
    <x v="0"/>
  </r>
  <r>
    <x v="293"/>
    <x v="1"/>
    <n v="1128"/>
    <n v="292"/>
    <n v="4202.28"/>
    <x v="1"/>
  </r>
  <r>
    <x v="294"/>
    <x v="0"/>
    <n v="1240"/>
    <n v="247"/>
    <n v="3603.31"/>
    <x v="0"/>
  </r>
  <r>
    <x v="294"/>
    <x v="1"/>
    <n v="1087"/>
    <n v="247"/>
    <n v="3583.19"/>
    <x v="1"/>
  </r>
  <r>
    <x v="295"/>
    <x v="0"/>
    <n v="1176"/>
    <n v="226"/>
    <n v="3362.08"/>
    <x v="0"/>
  </r>
  <r>
    <x v="295"/>
    <x v="1"/>
    <n v="1127"/>
    <n v="264"/>
    <n v="4477.1499999999996"/>
    <x v="1"/>
  </r>
  <r>
    <x v="296"/>
    <x v="0"/>
    <n v="1171"/>
    <n v="223"/>
    <n v="3141.57"/>
    <x v="0"/>
  </r>
  <r>
    <x v="296"/>
    <x v="1"/>
    <n v="1119"/>
    <n v="254"/>
    <n v="4156.16"/>
    <x v="1"/>
  </r>
  <r>
    <x v="297"/>
    <x v="0"/>
    <n v="1244"/>
    <n v="227"/>
    <n v="3665.2"/>
    <x v="0"/>
  </r>
  <r>
    <x v="297"/>
    <x v="1"/>
    <n v="1183"/>
    <n v="283"/>
    <n v="3517.2"/>
    <x v="1"/>
  </r>
  <r>
    <x v="298"/>
    <x v="0"/>
    <n v="1158"/>
    <n v="218"/>
    <n v="3234.86"/>
    <x v="0"/>
  </r>
  <r>
    <x v="298"/>
    <x v="1"/>
    <n v="1130"/>
    <n v="251"/>
    <n v="3597.81"/>
    <x v="1"/>
  </r>
  <r>
    <x v="299"/>
    <x v="0"/>
    <n v="1196"/>
    <n v="233"/>
    <n v="3719.64"/>
    <x v="0"/>
  </r>
  <r>
    <x v="299"/>
    <x v="1"/>
    <n v="1131"/>
    <n v="280"/>
    <n v="4686.49"/>
    <x v="1"/>
  </r>
  <r>
    <x v="300"/>
    <x v="0"/>
    <n v="1166"/>
    <n v="214"/>
    <n v="3743.67"/>
    <x v="0"/>
  </r>
  <r>
    <x v="300"/>
    <x v="1"/>
    <n v="1136"/>
    <n v="269"/>
    <n v="4270.6400000000003"/>
    <x v="1"/>
  </r>
  <r>
    <x v="301"/>
    <x v="0"/>
    <n v="1195"/>
    <n v="227"/>
    <n v="4269.4799999999996"/>
    <x v="0"/>
  </r>
  <r>
    <x v="301"/>
    <x v="1"/>
    <n v="1149"/>
    <n v="258"/>
    <n v="4966.99"/>
    <x v="1"/>
  </r>
  <r>
    <x v="302"/>
    <x v="0"/>
    <n v="1187"/>
    <n v="216"/>
    <n v="2985.61"/>
    <x v="0"/>
  </r>
  <r>
    <x v="302"/>
    <x v="1"/>
    <n v="1120"/>
    <n v="264"/>
    <n v="3781.93"/>
    <x v="1"/>
  </r>
  <r>
    <x v="303"/>
    <x v="0"/>
    <n v="1207"/>
    <n v="223"/>
    <n v="3024.81"/>
    <x v="0"/>
  </r>
  <r>
    <x v="303"/>
    <x v="1"/>
    <n v="1155"/>
    <n v="266"/>
    <n v="4133.3599999999997"/>
    <x v="1"/>
  </r>
  <r>
    <x v="304"/>
    <x v="0"/>
    <n v="1217"/>
    <n v="217"/>
    <n v="2891.05"/>
    <x v="0"/>
  </r>
  <r>
    <x v="304"/>
    <x v="1"/>
    <n v="1181"/>
    <n v="262"/>
    <n v="3727.38"/>
    <x v="1"/>
  </r>
  <r>
    <x v="305"/>
    <x v="0"/>
    <n v="1196"/>
    <n v="218"/>
    <n v="2861.68"/>
    <x v="0"/>
  </r>
  <r>
    <x v="305"/>
    <x v="1"/>
    <n v="1123"/>
    <n v="265"/>
    <n v="3886.08"/>
    <x v="1"/>
  </r>
  <r>
    <x v="306"/>
    <x v="0"/>
    <n v="1228"/>
    <n v="242"/>
    <n v="3375.3"/>
    <x v="0"/>
  </r>
  <r>
    <x v="306"/>
    <x v="1"/>
    <n v="1186"/>
    <n v="268"/>
    <n v="5032.1499999999996"/>
    <x v="1"/>
  </r>
  <r>
    <x v="307"/>
    <x v="0"/>
    <n v="1184"/>
    <n v="226"/>
    <n v="3619.74"/>
    <x v="0"/>
  </r>
  <r>
    <x v="307"/>
    <x v="1"/>
    <n v="1073"/>
    <n v="258"/>
    <n v="6153.94"/>
    <x v="1"/>
  </r>
  <r>
    <x v="308"/>
    <x v="0"/>
    <n v="1239"/>
    <n v="224"/>
    <n v="3104.71"/>
    <x v="0"/>
  </r>
  <r>
    <x v="308"/>
    <x v="1"/>
    <n v="1160"/>
    <n v="264"/>
    <n v="4397.9799999999996"/>
    <x v="1"/>
  </r>
  <r>
    <x v="309"/>
    <x v="0"/>
    <n v="1233"/>
    <n v="228"/>
    <n v="3086.68"/>
    <x v="0"/>
  </r>
  <r>
    <x v="309"/>
    <x v="1"/>
    <n v="1168"/>
    <n v="296"/>
    <n v="5184.6899999999996"/>
    <x v="1"/>
  </r>
  <r>
    <x v="310"/>
    <x v="0"/>
    <n v="1133"/>
    <n v="223"/>
    <n v="3024.4"/>
    <x v="0"/>
  </r>
  <r>
    <x v="310"/>
    <x v="1"/>
    <n v="1135"/>
    <n v="224"/>
    <n v="3917.76"/>
    <x v="1"/>
  </r>
  <r>
    <x v="311"/>
    <x v="0"/>
    <n v="1211"/>
    <n v="221"/>
    <n v="2921.96"/>
    <x v="0"/>
  </r>
  <r>
    <x v="311"/>
    <x v="1"/>
    <n v="1171"/>
    <n v="281"/>
    <n v="5032.88"/>
    <x v="1"/>
  </r>
  <r>
    <x v="312"/>
    <x v="0"/>
    <n v="1194"/>
    <n v="219"/>
    <n v="3565.53"/>
    <x v="0"/>
  </r>
  <r>
    <x v="312"/>
    <x v="1"/>
    <n v="1082"/>
    <n v="240"/>
    <n v="3748.56"/>
    <x v="1"/>
  </r>
  <r>
    <x v="313"/>
    <x v="0"/>
    <n v="1195"/>
    <n v="225"/>
    <n v="3917.7"/>
    <x v="0"/>
  </r>
  <r>
    <x v="313"/>
    <x v="1"/>
    <n v="1176"/>
    <n v="262"/>
    <n v="4599.3599999999997"/>
    <x v="1"/>
  </r>
  <r>
    <x v="314"/>
    <x v="0"/>
    <n v="1216"/>
    <n v="224"/>
    <n v="3868.76"/>
    <x v="0"/>
  </r>
  <r>
    <x v="314"/>
    <x v="1"/>
    <n v="1127"/>
    <n v="257"/>
    <n v="3543.37"/>
    <x v="1"/>
  </r>
  <r>
    <x v="315"/>
    <x v="0"/>
    <n v="1193"/>
    <n v="211"/>
    <n v="2396.71"/>
    <x v="0"/>
  </r>
  <r>
    <x v="315"/>
    <x v="1"/>
    <n v="1149"/>
    <n v="277"/>
    <n v="4581.6099999999997"/>
    <x v="1"/>
  </r>
  <r>
    <x v="316"/>
    <x v="0"/>
    <n v="1161"/>
    <n v="219"/>
    <n v="3838.5"/>
    <x v="0"/>
  </r>
  <r>
    <x v="316"/>
    <x v="1"/>
    <n v="1166"/>
    <n v="271"/>
    <n v="3877.3"/>
    <x v="1"/>
  </r>
  <r>
    <x v="317"/>
    <x v="0"/>
    <n v="1190"/>
    <n v="205"/>
    <n v="3024.69"/>
    <x v="0"/>
  </r>
  <r>
    <x v="317"/>
    <x v="1"/>
    <n v="1157"/>
    <n v="244"/>
    <n v="3949.57"/>
    <x v="1"/>
  </r>
  <r>
    <x v="318"/>
    <x v="0"/>
    <n v="1169"/>
    <n v="227"/>
    <n v="3437.7"/>
    <x v="0"/>
  </r>
  <r>
    <x v="318"/>
    <x v="1"/>
    <n v="1153"/>
    <n v="257"/>
    <n v="4002.92"/>
    <x v="1"/>
  </r>
  <r>
    <x v="319"/>
    <x v="0"/>
    <n v="1179"/>
    <n v="210"/>
    <n v="2348.7199999999998"/>
    <x v="0"/>
  </r>
  <r>
    <x v="319"/>
    <x v="1"/>
    <n v="1074"/>
    <n v="229"/>
    <n v="3269.94"/>
    <x v="1"/>
  </r>
  <r>
    <x v="320"/>
    <x v="0"/>
    <n v="1171"/>
    <n v="217"/>
    <n v="3724.89"/>
    <x v="0"/>
  </r>
  <r>
    <x v="320"/>
    <x v="1"/>
    <n v="1185"/>
    <n v="277"/>
    <n v="4171"/>
    <x v="1"/>
  </r>
  <r>
    <x v="321"/>
    <x v="0"/>
    <n v="1234"/>
    <n v="240"/>
    <n v="2870.71"/>
    <x v="0"/>
  </r>
  <r>
    <x v="321"/>
    <x v="1"/>
    <n v="1188"/>
    <n v="266"/>
    <n v="2749.29"/>
    <x v="1"/>
  </r>
  <r>
    <x v="322"/>
    <x v="0"/>
    <n v="1236"/>
    <n v="246"/>
    <n v="3783.69"/>
    <x v="0"/>
  </r>
  <r>
    <x v="322"/>
    <x v="1"/>
    <n v="1153"/>
    <n v="274"/>
    <n v="4630.17"/>
    <x v="1"/>
  </r>
  <r>
    <x v="323"/>
    <x v="0"/>
    <n v="1161"/>
    <n v="250"/>
    <n v="3578.73"/>
    <x v="0"/>
  </r>
  <r>
    <x v="323"/>
    <x v="1"/>
    <n v="1142"/>
    <n v="262"/>
    <n v="4281.32"/>
    <x v="1"/>
  </r>
  <r>
    <x v="324"/>
    <x v="0"/>
    <n v="1216"/>
    <n v="231"/>
    <n v="4000.49"/>
    <x v="0"/>
  </r>
  <r>
    <x v="324"/>
    <x v="1"/>
    <n v="1184"/>
    <n v="281"/>
    <n v="4307.0200000000004"/>
    <x v="1"/>
  </r>
  <r>
    <x v="325"/>
    <x v="0"/>
    <n v="1149"/>
    <n v="217"/>
    <n v="3013.89"/>
    <x v="0"/>
  </r>
  <r>
    <x v="325"/>
    <x v="1"/>
    <n v="1140"/>
    <n v="246"/>
    <n v="4036.56"/>
    <x v="1"/>
  </r>
  <r>
    <x v="326"/>
    <x v="0"/>
    <n v="1113"/>
    <n v="195"/>
    <n v="2334.36"/>
    <x v="0"/>
  </r>
  <r>
    <x v="326"/>
    <x v="1"/>
    <n v="1150"/>
    <n v="289"/>
    <n v="4809.88"/>
    <x v="1"/>
  </r>
  <r>
    <x v="327"/>
    <x v="0"/>
    <n v="1213"/>
    <n v="224"/>
    <n v="3031.6"/>
    <x v="0"/>
  </r>
  <r>
    <x v="327"/>
    <x v="1"/>
    <n v="1174"/>
    <n v="253"/>
    <n v="4967.9399999999996"/>
    <x v="1"/>
  </r>
  <r>
    <x v="328"/>
    <x v="0"/>
    <n v="1204"/>
    <n v="236"/>
    <n v="3452.28"/>
    <x v="0"/>
  </r>
  <r>
    <x v="328"/>
    <x v="1"/>
    <n v="1189"/>
    <n v="286"/>
    <n v="4753.32"/>
    <x v="1"/>
  </r>
  <r>
    <x v="329"/>
    <x v="0"/>
    <n v="1207"/>
    <n v="223"/>
    <n v="3302.87"/>
    <x v="0"/>
  </r>
  <r>
    <x v="329"/>
    <x v="1"/>
    <n v="1173"/>
    <n v="235"/>
    <n v="3957.22"/>
    <x v="1"/>
  </r>
  <r>
    <x v="330"/>
    <x v="0"/>
    <n v="1231"/>
    <n v="241"/>
    <n v="3263.33"/>
    <x v="0"/>
  </r>
  <r>
    <x v="330"/>
    <x v="1"/>
    <n v="1218"/>
    <n v="301"/>
    <n v="5033.57"/>
    <x v="1"/>
  </r>
  <r>
    <x v="331"/>
    <x v="0"/>
    <n v="1180"/>
    <n v="237"/>
    <n v="3412.39"/>
    <x v="0"/>
  </r>
  <r>
    <x v="331"/>
    <x v="1"/>
    <n v="1177"/>
    <n v="262"/>
    <n v="3558.23"/>
    <x v="1"/>
  </r>
  <r>
    <x v="332"/>
    <x v="0"/>
    <n v="1147"/>
    <n v="219"/>
    <n v="3500.15"/>
    <x v="0"/>
  </r>
  <r>
    <x v="332"/>
    <x v="1"/>
    <n v="1211"/>
    <n v="279"/>
    <n v="4264.22"/>
    <x v="1"/>
  </r>
  <r>
    <x v="333"/>
    <x v="0"/>
    <n v="1207"/>
    <n v="215"/>
    <n v="3186.63"/>
    <x v="0"/>
  </r>
  <r>
    <x v="333"/>
    <x v="1"/>
    <n v="1158"/>
    <n v="298"/>
    <n v="4745.6099999999997"/>
    <x v="1"/>
  </r>
  <r>
    <x v="334"/>
    <x v="0"/>
    <n v="1177"/>
    <n v="211"/>
    <n v="3522.34"/>
    <x v="0"/>
  </r>
  <r>
    <x v="334"/>
    <x v="1"/>
    <n v="1074"/>
    <n v="250"/>
    <n v="2936.39"/>
    <x v="1"/>
  </r>
  <r>
    <x v="335"/>
    <x v="0"/>
    <n v="1146"/>
    <n v="208"/>
    <n v="1910.69"/>
    <x v="0"/>
  </r>
  <r>
    <x v="335"/>
    <x v="1"/>
    <n v="1133"/>
    <n v="278"/>
    <n v="4239.6000000000004"/>
    <x v="1"/>
  </r>
  <r>
    <x v="336"/>
    <x v="0"/>
    <n v="1207"/>
    <n v="224"/>
    <n v="3154.33"/>
    <x v="0"/>
  </r>
  <r>
    <x v="336"/>
    <x v="1"/>
    <n v="1136"/>
    <n v="239"/>
    <n v="3491.98"/>
    <x v="1"/>
  </r>
  <r>
    <x v="337"/>
    <x v="0"/>
    <n v="1220"/>
    <n v="250"/>
    <n v="3248.89"/>
    <x v="0"/>
  </r>
  <r>
    <x v="337"/>
    <x v="1"/>
    <n v="1141"/>
    <n v="274"/>
    <n v="3971.67"/>
    <x v="1"/>
  </r>
  <r>
    <x v="338"/>
    <x v="0"/>
    <n v="1225"/>
    <n v="211"/>
    <n v="3541.83"/>
    <x v="0"/>
  </r>
  <r>
    <x v="338"/>
    <x v="1"/>
    <n v="1193"/>
    <n v="277"/>
    <n v="5445.61"/>
    <x v="1"/>
  </r>
  <r>
    <x v="339"/>
    <x v="0"/>
    <n v="1191"/>
    <n v="225"/>
    <n v="3207.46"/>
    <x v="0"/>
  </r>
  <r>
    <x v="339"/>
    <x v="1"/>
    <n v="1215"/>
    <n v="285"/>
    <n v="4809.2700000000004"/>
    <x v="1"/>
  </r>
  <r>
    <x v="340"/>
    <x v="0"/>
    <n v="1230"/>
    <n v="239"/>
    <n v="3129.79"/>
    <x v="0"/>
  </r>
  <r>
    <x v="340"/>
    <x v="1"/>
    <n v="1178"/>
    <n v="286"/>
    <n v="4188.76"/>
    <x v="1"/>
  </r>
  <r>
    <x v="341"/>
    <x v="0"/>
    <n v="1218"/>
    <n v="226"/>
    <n v="4143.59"/>
    <x v="0"/>
  </r>
  <r>
    <x v="341"/>
    <x v="1"/>
    <n v="1168"/>
    <n v="279"/>
    <n v="5313.97"/>
    <x v="1"/>
  </r>
  <r>
    <x v="342"/>
    <x v="0"/>
    <n v="1229"/>
    <n v="215"/>
    <n v="3814.33"/>
    <x v="0"/>
  </r>
  <r>
    <x v="342"/>
    <x v="1"/>
    <n v="1120"/>
    <n v="246"/>
    <n v="4278.04"/>
    <x v="1"/>
  </r>
  <r>
    <x v="343"/>
    <x v="0"/>
    <n v="1241"/>
    <n v="225"/>
    <n v="3725.71"/>
    <x v="0"/>
  </r>
  <r>
    <x v="343"/>
    <x v="1"/>
    <n v="1133"/>
    <n v="258"/>
    <n v="4107.87"/>
    <x v="1"/>
  </r>
  <r>
    <x v="344"/>
    <x v="0"/>
    <n v="1175"/>
    <n v="237"/>
    <n v="2948.06"/>
    <x v="0"/>
  </r>
  <r>
    <x v="344"/>
    <x v="1"/>
    <n v="1129"/>
    <n v="309"/>
    <n v="5061.1000000000004"/>
    <x v="1"/>
  </r>
  <r>
    <x v="345"/>
    <x v="0"/>
    <n v="1250"/>
    <n v="247"/>
    <n v="2880.71"/>
    <x v="0"/>
  </r>
  <r>
    <x v="345"/>
    <x v="1"/>
    <n v="1207"/>
    <n v="263"/>
    <n v="4764.8900000000003"/>
    <x v="1"/>
  </r>
  <r>
    <x v="346"/>
    <x v="0"/>
    <n v="1179"/>
    <n v="236"/>
    <n v="3124.14"/>
    <x v="0"/>
  </r>
  <r>
    <x v="346"/>
    <x v="1"/>
    <n v="1166"/>
    <n v="293"/>
    <n v="4270.6400000000003"/>
    <x v="1"/>
  </r>
  <r>
    <x v="347"/>
    <x v="0"/>
    <n v="1224"/>
    <n v="243"/>
    <n v="3757.48"/>
    <x v="0"/>
  </r>
  <r>
    <x v="347"/>
    <x v="1"/>
    <n v="1099"/>
    <n v="258"/>
    <n v="4461.59"/>
    <x v="1"/>
  </r>
  <r>
    <x v="348"/>
    <x v="0"/>
    <n v="1222"/>
    <n v="242"/>
    <n v="4196.38"/>
    <x v="0"/>
  </r>
  <r>
    <x v="348"/>
    <x v="1"/>
    <n v="1235"/>
    <n v="304"/>
    <n v="4945.6499999999996"/>
    <x v="1"/>
  </r>
  <r>
    <x v="349"/>
    <x v="0"/>
    <n v="1205"/>
    <n v="244"/>
    <n v="3498.9"/>
    <x v="0"/>
  </r>
  <r>
    <x v="349"/>
    <x v="1"/>
    <n v="1131"/>
    <n v="240"/>
    <n v="3738.4"/>
    <x v="1"/>
  </r>
  <r>
    <x v="350"/>
    <x v="0"/>
    <n v="1194"/>
    <n v="229"/>
    <n v="2882.18"/>
    <x v="0"/>
  </r>
  <r>
    <x v="350"/>
    <x v="1"/>
    <n v="1140"/>
    <n v="240"/>
    <n v="3323.85"/>
    <x v="1"/>
  </r>
  <r>
    <x v="351"/>
    <x v="0"/>
    <n v="1156"/>
    <n v="209"/>
    <n v="3595.14"/>
    <x v="0"/>
  </r>
  <r>
    <x v="351"/>
    <x v="1"/>
    <n v="1176"/>
    <n v="271"/>
    <n v="4911.26"/>
    <x v="1"/>
  </r>
  <r>
    <x v="352"/>
    <x v="0"/>
    <n v="1212"/>
    <n v="224"/>
    <n v="4294.55"/>
    <x v="0"/>
  </r>
  <r>
    <x v="352"/>
    <x v="1"/>
    <n v="1190"/>
    <n v="251"/>
    <n v="3506.59"/>
    <x v="1"/>
  </r>
  <r>
    <x v="353"/>
    <x v="0"/>
    <n v="1150"/>
    <n v="228"/>
    <n v="3509.44"/>
    <x v="0"/>
  </r>
  <r>
    <x v="353"/>
    <x v="1"/>
    <n v="1154"/>
    <n v="269"/>
    <n v="3817.61"/>
    <x v="1"/>
  </r>
  <r>
    <x v="354"/>
    <x v="0"/>
    <n v="1112"/>
    <n v="196"/>
    <n v="3298.2"/>
    <x v="0"/>
  </r>
  <r>
    <x v="354"/>
    <x v="1"/>
    <n v="1201"/>
    <n v="280"/>
    <n v="3614.39"/>
    <x v="1"/>
  </r>
  <r>
    <x v="355"/>
    <x v="0"/>
    <n v="1186"/>
    <n v="239"/>
    <n v="3825.33"/>
    <x v="0"/>
  </r>
  <r>
    <x v="355"/>
    <x v="1"/>
    <n v="1136"/>
    <n v="253"/>
    <n v="4956.96"/>
    <x v="1"/>
  </r>
  <r>
    <x v="356"/>
    <x v="0"/>
    <n v="1127"/>
    <n v="200"/>
    <n v="2614.12"/>
    <x v="0"/>
  </r>
  <r>
    <x v="356"/>
    <x v="1"/>
    <n v="1177"/>
    <n v="261"/>
    <n v="5026.0600000000004"/>
    <x v="1"/>
  </r>
  <r>
    <x v="357"/>
    <x v="0"/>
    <n v="1174"/>
    <n v="222"/>
    <n v="3066.35"/>
    <x v="0"/>
  </r>
  <r>
    <x v="357"/>
    <x v="1"/>
    <n v="1134"/>
    <n v="250"/>
    <n v="3917.18"/>
    <x v="1"/>
  </r>
  <r>
    <x v="358"/>
    <x v="0"/>
    <n v="1185"/>
    <n v="207"/>
    <n v="2362.33"/>
    <x v="0"/>
  </r>
  <r>
    <x v="358"/>
    <x v="1"/>
    <n v="1166"/>
    <n v="294"/>
    <n v="3907"/>
    <x v="1"/>
  </r>
  <r>
    <x v="359"/>
    <x v="0"/>
    <n v="1215"/>
    <n v="225"/>
    <n v="4027.92"/>
    <x v="0"/>
  </r>
  <r>
    <x v="359"/>
    <x v="1"/>
    <n v="1140"/>
    <n v="257"/>
    <n v="5040.8999999999996"/>
    <x v="1"/>
  </r>
  <r>
    <x v="360"/>
    <x v="0"/>
    <n v="1161"/>
    <n v="227"/>
    <n v="4387.9399999999996"/>
    <x v="0"/>
  </r>
  <r>
    <x v="360"/>
    <x v="1"/>
    <n v="1194"/>
    <n v="266"/>
    <n v="4889.37"/>
    <x v="1"/>
  </r>
  <r>
    <x v="361"/>
    <x v="0"/>
    <n v="1204"/>
    <n v="227"/>
    <n v="2689.04"/>
    <x v="0"/>
  </r>
  <r>
    <x v="361"/>
    <x v="1"/>
    <n v="1109"/>
    <n v="257"/>
    <n v="3699.35"/>
    <x v="1"/>
  </r>
  <r>
    <x v="362"/>
    <x v="0"/>
    <n v="1141"/>
    <n v="225"/>
    <n v="4397.1499999999996"/>
    <x v="0"/>
  </r>
  <r>
    <x v="362"/>
    <x v="1"/>
    <n v="1186"/>
    <n v="258"/>
    <n v="3919.33"/>
    <x v="1"/>
  </r>
  <r>
    <x v="363"/>
    <x v="0"/>
    <n v="1154"/>
    <n v="257"/>
    <n v="4079.09"/>
    <x v="0"/>
  </r>
  <r>
    <x v="363"/>
    <x v="1"/>
    <n v="1158"/>
    <n v="242"/>
    <n v="2646.39"/>
    <x v="1"/>
  </r>
  <r>
    <x v="364"/>
    <x v="0"/>
    <n v="1143"/>
    <n v="225"/>
    <n v="4271.2"/>
    <x v="0"/>
  </r>
  <r>
    <x v="364"/>
    <x v="1"/>
    <n v="1138"/>
    <n v="261"/>
    <n v="3741.66"/>
    <x v="1"/>
  </r>
  <r>
    <x v="365"/>
    <x v="0"/>
    <n v="1188"/>
    <n v="241"/>
    <n v="3820.26"/>
    <x v="0"/>
  </r>
  <r>
    <x v="365"/>
    <x v="1"/>
    <n v="1158"/>
    <n v="273"/>
    <n v="4596.34"/>
    <x v="1"/>
  </r>
  <r>
    <x v="366"/>
    <x v="0"/>
    <n v="1231"/>
    <n v="226"/>
    <n v="4417.1400000000003"/>
    <x v="0"/>
  </r>
  <r>
    <x v="366"/>
    <x v="1"/>
    <n v="1120"/>
    <n v="276"/>
    <n v="4906.75"/>
    <x v="1"/>
  </r>
  <r>
    <x v="367"/>
    <x v="0"/>
    <n v="1129"/>
    <n v="206"/>
    <n v="3044.06"/>
    <x v="0"/>
  </r>
  <r>
    <x v="367"/>
    <x v="1"/>
    <n v="1112"/>
    <n v="253"/>
    <n v="3640.69"/>
    <x v="1"/>
  </r>
  <r>
    <x v="368"/>
    <x v="0"/>
    <n v="1123"/>
    <n v="221"/>
    <n v="3796.24"/>
    <x v="0"/>
  </r>
  <r>
    <x v="368"/>
    <x v="1"/>
    <n v="1109"/>
    <n v="256"/>
    <n v="3903.33"/>
    <x v="1"/>
  </r>
  <r>
    <x v="369"/>
    <x v="0"/>
    <n v="1207"/>
    <n v="232"/>
    <n v="3561.33"/>
    <x v="0"/>
  </r>
  <r>
    <x v="369"/>
    <x v="1"/>
    <n v="1164"/>
    <n v="238"/>
    <n v="3171.72"/>
    <x v="1"/>
  </r>
  <r>
    <x v="370"/>
    <x v="0"/>
    <n v="1179"/>
    <n v="228"/>
    <n v="3443.83"/>
    <x v="0"/>
  </r>
  <r>
    <x v="370"/>
    <x v="1"/>
    <n v="1124"/>
    <n v="288"/>
    <n v="3997.09"/>
    <x v="1"/>
  </r>
  <r>
    <x v="371"/>
    <x v="0"/>
    <n v="1277"/>
    <n v="243"/>
    <n v="4205.6400000000003"/>
    <x v="0"/>
  </r>
  <r>
    <x v="371"/>
    <x v="1"/>
    <n v="1141"/>
    <n v="279"/>
    <n v="5237.58"/>
    <x v="1"/>
  </r>
  <r>
    <x v="372"/>
    <x v="0"/>
    <n v="1183"/>
    <n v="204"/>
    <n v="3684.32"/>
    <x v="0"/>
  </r>
  <r>
    <x v="372"/>
    <x v="1"/>
    <n v="1131"/>
    <n v="267"/>
    <n v="4627.07"/>
    <x v="1"/>
  </r>
  <r>
    <x v="373"/>
    <x v="0"/>
    <n v="1164"/>
    <n v="216"/>
    <n v="3160.88"/>
    <x v="0"/>
  </r>
  <r>
    <x v="373"/>
    <x v="1"/>
    <n v="1135"/>
    <n v="259"/>
    <n v="3959.24"/>
    <x v="1"/>
  </r>
  <r>
    <x v="374"/>
    <x v="0"/>
    <n v="1191"/>
    <n v="213"/>
    <n v="3715.07"/>
    <x v="0"/>
  </r>
  <r>
    <x v="374"/>
    <x v="1"/>
    <n v="1142"/>
    <n v="270"/>
    <n v="3846.54"/>
    <x v="1"/>
  </r>
  <r>
    <x v="375"/>
    <x v="0"/>
    <n v="1244"/>
    <n v="218"/>
    <n v="3827.87"/>
    <x v="0"/>
  </r>
  <r>
    <x v="375"/>
    <x v="1"/>
    <n v="1140"/>
    <n v="239"/>
    <n v="2764.36"/>
    <x v="1"/>
  </r>
  <r>
    <x v="376"/>
    <x v="0"/>
    <n v="1156"/>
    <n v="218"/>
    <n v="3183.7"/>
    <x v="0"/>
  </r>
  <r>
    <x v="376"/>
    <x v="1"/>
    <n v="1142"/>
    <n v="271"/>
    <n v="5456.81"/>
    <x v="1"/>
  </r>
  <r>
    <x v="377"/>
    <x v="0"/>
    <n v="1161"/>
    <n v="228"/>
    <n v="3729.6"/>
    <x v="0"/>
  </r>
  <r>
    <x v="377"/>
    <x v="1"/>
    <n v="1180"/>
    <n v="262"/>
    <n v="3766.3"/>
    <x v="1"/>
  </r>
  <r>
    <x v="378"/>
    <x v="0"/>
    <n v="1207"/>
    <n v="220"/>
    <n v="2810.9"/>
    <x v="0"/>
  </r>
  <r>
    <x v="378"/>
    <x v="1"/>
    <n v="1125"/>
    <n v="269"/>
    <n v="4284.7299999999996"/>
    <x v="1"/>
  </r>
  <r>
    <x v="379"/>
    <x v="0"/>
    <n v="1178"/>
    <n v="236"/>
    <n v="3842.34"/>
    <x v="0"/>
  </r>
  <r>
    <x v="379"/>
    <x v="1"/>
    <n v="1114"/>
    <n v="243"/>
    <n v="3947.82"/>
    <x v="1"/>
  </r>
  <r>
    <x v="380"/>
    <x v="0"/>
    <n v="1205"/>
    <n v="227"/>
    <n v="3509"/>
    <x v="0"/>
  </r>
  <r>
    <x v="380"/>
    <x v="1"/>
    <n v="1199"/>
    <n v="279"/>
    <n v="5063.47"/>
    <x v="1"/>
  </r>
  <r>
    <x v="381"/>
    <x v="0"/>
    <n v="1226"/>
    <n v="252"/>
    <n v="3360.69"/>
    <x v="0"/>
  </r>
  <r>
    <x v="381"/>
    <x v="1"/>
    <n v="1124"/>
    <n v="265"/>
    <n v="3901.71"/>
    <x v="1"/>
  </r>
  <r>
    <x v="382"/>
    <x v="0"/>
    <n v="1193"/>
    <n v="227"/>
    <n v="3437.35"/>
    <x v="0"/>
  </r>
  <r>
    <x v="382"/>
    <x v="1"/>
    <n v="1120"/>
    <n v="252"/>
    <n v="3380.07"/>
    <x v="1"/>
  </r>
  <r>
    <x v="383"/>
    <x v="0"/>
    <n v="1217"/>
    <n v="214"/>
    <n v="4195.96"/>
    <x v="0"/>
  </r>
  <r>
    <x v="383"/>
    <x v="1"/>
    <n v="1166"/>
    <n v="239"/>
    <n v="3116.83"/>
    <x v="1"/>
  </r>
  <r>
    <x v="384"/>
    <x v="0"/>
    <n v="1223"/>
    <n v="250"/>
    <n v="3918.07"/>
    <x v="0"/>
  </r>
  <r>
    <x v="384"/>
    <x v="1"/>
    <n v="1125"/>
    <n v="240"/>
    <n v="3730.81"/>
    <x v="1"/>
  </r>
  <r>
    <x v="385"/>
    <x v="0"/>
    <n v="1200"/>
    <n v="218"/>
    <n v="2929.98"/>
    <x v="0"/>
  </r>
  <r>
    <x v="385"/>
    <x v="1"/>
    <n v="1141"/>
    <n v="293"/>
    <n v="5322.04"/>
    <x v="1"/>
  </r>
  <r>
    <x v="386"/>
    <x v="0"/>
    <n v="1267"/>
    <n v="253"/>
    <n v="4399.55"/>
    <x v="0"/>
  </r>
  <r>
    <x v="386"/>
    <x v="1"/>
    <n v="1157"/>
    <n v="279"/>
    <n v="4963.21"/>
    <x v="1"/>
  </r>
  <r>
    <x v="387"/>
    <x v="0"/>
    <n v="1193"/>
    <n v="219"/>
    <n v="2609.25"/>
    <x v="0"/>
  </r>
  <r>
    <x v="387"/>
    <x v="1"/>
    <n v="1117"/>
    <n v="281"/>
    <n v="4140.3900000000003"/>
    <x v="1"/>
  </r>
  <r>
    <x v="388"/>
    <x v="0"/>
    <n v="1227"/>
    <n v="245"/>
    <n v="3614.37"/>
    <x v="0"/>
  </r>
  <r>
    <x v="388"/>
    <x v="1"/>
    <n v="1134"/>
    <n v="278"/>
    <n v="4702.54"/>
    <x v="1"/>
  </r>
  <r>
    <x v="389"/>
    <x v="0"/>
    <n v="1173"/>
    <n v="213"/>
    <n v="3368.83"/>
    <x v="0"/>
  </r>
  <r>
    <x v="389"/>
    <x v="1"/>
    <n v="1109"/>
    <n v="225"/>
    <n v="3847.86"/>
    <x v="1"/>
  </r>
  <r>
    <x v="390"/>
    <x v="0"/>
    <n v="1183"/>
    <n v="200"/>
    <n v="2855.98"/>
    <x v="0"/>
  </r>
  <r>
    <x v="390"/>
    <x v="1"/>
    <n v="1183"/>
    <n v="251"/>
    <n v="3650.51"/>
    <x v="1"/>
  </r>
  <r>
    <x v="391"/>
    <x v="0"/>
    <n v="1183"/>
    <n v="238"/>
    <n v="4060.02"/>
    <x v="0"/>
  </r>
  <r>
    <x v="391"/>
    <x v="1"/>
    <n v="1168"/>
    <n v="284"/>
    <n v="5039.4799999999996"/>
    <x v="1"/>
  </r>
  <r>
    <x v="392"/>
    <x v="0"/>
    <n v="1125"/>
    <n v="210"/>
    <n v="2679.79"/>
    <x v="0"/>
  </r>
  <r>
    <x v="392"/>
    <x v="1"/>
    <n v="1188"/>
    <n v="261"/>
    <n v="3970.58"/>
    <x v="1"/>
  </r>
  <r>
    <x v="393"/>
    <x v="0"/>
    <n v="1201"/>
    <n v="225"/>
    <n v="3615.01"/>
    <x v="0"/>
  </r>
  <r>
    <x v="393"/>
    <x v="1"/>
    <n v="1100"/>
    <n v="244"/>
    <n v="4313.66"/>
    <x v="1"/>
  </r>
  <r>
    <x v="394"/>
    <x v="0"/>
    <n v="1223"/>
    <n v="225"/>
    <n v="3854.33"/>
    <x v="0"/>
  </r>
  <r>
    <x v="394"/>
    <x v="1"/>
    <n v="1126"/>
    <n v="223"/>
    <n v="4215.87"/>
    <x v="1"/>
  </r>
  <r>
    <x v="395"/>
    <x v="0"/>
    <n v="1230"/>
    <n v="238"/>
    <n v="3771.86"/>
    <x v="0"/>
  </r>
  <r>
    <x v="395"/>
    <x v="1"/>
    <n v="1137"/>
    <n v="261"/>
    <n v="4196.59"/>
    <x v="1"/>
  </r>
  <r>
    <x v="396"/>
    <x v="0"/>
    <n v="1194"/>
    <n v="234"/>
    <n v="3425.08"/>
    <x v="0"/>
  </r>
  <r>
    <x v="396"/>
    <x v="1"/>
    <n v="1166"/>
    <n v="274"/>
    <n v="4325.7299999999996"/>
    <x v="1"/>
  </r>
  <r>
    <x v="397"/>
    <x v="0"/>
    <n v="1231"/>
    <n v="239"/>
    <n v="3995.13"/>
    <x v="0"/>
  </r>
  <r>
    <x v="397"/>
    <x v="1"/>
    <n v="1151"/>
    <n v="262"/>
    <n v="3758.03"/>
    <x v="1"/>
  </r>
  <r>
    <x v="398"/>
    <x v="0"/>
    <n v="1194"/>
    <n v="240"/>
    <n v="3422.12"/>
    <x v="0"/>
  </r>
  <r>
    <x v="398"/>
    <x v="1"/>
    <n v="1120"/>
    <n v="247"/>
    <n v="3286.06"/>
    <x v="1"/>
  </r>
  <r>
    <x v="399"/>
    <x v="0"/>
    <n v="1153"/>
    <n v="233"/>
    <n v="2480.4899999999998"/>
    <x v="0"/>
  </r>
  <r>
    <x v="399"/>
    <x v="1"/>
    <n v="1138"/>
    <n v="246"/>
    <n v="4023.81"/>
    <x v="1"/>
  </r>
  <r>
    <x v="400"/>
    <x v="0"/>
    <n v="1171"/>
    <n v="229"/>
    <n v="4008.8"/>
    <x v="0"/>
  </r>
  <r>
    <x v="400"/>
    <x v="1"/>
    <n v="1134"/>
    <n v="238"/>
    <n v="3594.65"/>
    <x v="1"/>
  </r>
  <r>
    <x v="401"/>
    <x v="0"/>
    <n v="1243"/>
    <n v="216"/>
    <n v="3359.82"/>
    <x v="0"/>
  </r>
  <r>
    <x v="401"/>
    <x v="1"/>
    <n v="1148"/>
    <n v="257"/>
    <n v="4100.55"/>
    <x v="1"/>
  </r>
  <r>
    <x v="402"/>
    <x v="0"/>
    <n v="1242"/>
    <n v="221"/>
    <n v="3608.8"/>
    <x v="0"/>
  </r>
  <r>
    <x v="402"/>
    <x v="1"/>
    <n v="1134"/>
    <n v="253"/>
    <n v="3768.22"/>
    <x v="1"/>
  </r>
  <r>
    <x v="403"/>
    <x v="0"/>
    <n v="1172"/>
    <n v="220"/>
    <n v="2520.73"/>
    <x v="0"/>
  </r>
  <r>
    <x v="403"/>
    <x v="1"/>
    <n v="1142"/>
    <n v="274"/>
    <n v="4642.41"/>
    <x v="1"/>
  </r>
  <r>
    <x v="404"/>
    <x v="0"/>
    <n v="1130"/>
    <n v="218"/>
    <n v="3472.47"/>
    <x v="0"/>
  </r>
  <r>
    <x v="404"/>
    <x v="1"/>
    <n v="1104"/>
    <n v="257"/>
    <n v="3829.02"/>
    <x v="1"/>
  </r>
  <r>
    <x v="405"/>
    <x v="0"/>
    <n v="1256"/>
    <n v="245"/>
    <n v="3962.22"/>
    <x v="0"/>
  </r>
  <r>
    <x v="405"/>
    <x v="1"/>
    <n v="1113"/>
    <n v="242"/>
    <n v="3672.39"/>
    <x v="1"/>
  </r>
  <r>
    <x v="406"/>
    <x v="0"/>
    <n v="1255"/>
    <n v="258"/>
    <n v="3357.43"/>
    <x v="0"/>
  </r>
  <r>
    <x v="406"/>
    <x v="1"/>
    <n v="1138"/>
    <n v="279"/>
    <n v="3897.14"/>
    <x v="1"/>
  </r>
  <r>
    <x v="407"/>
    <x v="0"/>
    <n v="1220"/>
    <n v="230"/>
    <n v="3751.29"/>
    <x v="0"/>
  </r>
  <r>
    <x v="407"/>
    <x v="1"/>
    <n v="1164"/>
    <n v="288"/>
    <n v="5075.0200000000004"/>
    <x v="1"/>
  </r>
  <r>
    <x v="408"/>
    <x v="0"/>
    <n v="1188"/>
    <n v="220"/>
    <n v="3131.56"/>
    <x v="0"/>
  </r>
  <r>
    <x v="408"/>
    <x v="1"/>
    <n v="1115"/>
    <n v="250"/>
    <n v="3938.14"/>
    <x v="1"/>
  </r>
  <r>
    <x v="409"/>
    <x v="0"/>
    <n v="1230"/>
    <n v="254"/>
    <n v="4410.3999999999996"/>
    <x v="0"/>
  </r>
  <r>
    <x v="409"/>
    <x v="1"/>
    <n v="1086"/>
    <n v="246"/>
    <n v="4172.6099999999997"/>
    <x v="1"/>
  </r>
  <r>
    <x v="410"/>
    <x v="0"/>
    <n v="1185"/>
    <n v="228"/>
    <n v="2978.57"/>
    <x v="0"/>
  </r>
  <r>
    <x v="410"/>
    <x v="1"/>
    <n v="1117"/>
    <n v="252"/>
    <n v="3875.6"/>
    <x v="1"/>
  </r>
  <r>
    <x v="411"/>
    <x v="0"/>
    <n v="1210"/>
    <n v="223"/>
    <n v="3278.13"/>
    <x v="0"/>
  </r>
  <r>
    <x v="411"/>
    <x v="1"/>
    <n v="1182"/>
    <n v="252"/>
    <n v="3309.69"/>
    <x v="1"/>
  </r>
  <r>
    <x v="412"/>
    <x v="0"/>
    <n v="1184"/>
    <n v="208"/>
    <n v="2967.95"/>
    <x v="0"/>
  </r>
  <r>
    <x v="412"/>
    <x v="1"/>
    <n v="1161"/>
    <n v="281"/>
    <n v="4410.97"/>
    <x v="1"/>
  </r>
  <r>
    <x v="413"/>
    <x v="0"/>
    <n v="1158"/>
    <n v="200"/>
    <n v="2997.18"/>
    <x v="0"/>
  </r>
  <r>
    <x v="413"/>
    <x v="1"/>
    <n v="1104"/>
    <n v="281"/>
    <n v="4374.83"/>
    <x v="1"/>
  </r>
  <r>
    <x v="414"/>
    <x v="0"/>
    <n v="1300"/>
    <n v="238"/>
    <n v="3636.59"/>
    <x v="0"/>
  </r>
  <r>
    <x v="414"/>
    <x v="1"/>
    <n v="1153"/>
    <n v="247"/>
    <n v="4444.08"/>
    <x v="1"/>
  </r>
  <r>
    <x v="415"/>
    <x v="0"/>
    <n v="1182"/>
    <n v="220"/>
    <n v="3718.01"/>
    <x v="0"/>
  </r>
  <r>
    <x v="415"/>
    <x v="1"/>
    <n v="1073"/>
    <n v="260"/>
    <n v="4286.3599999999997"/>
    <x v="1"/>
  </r>
  <r>
    <x v="416"/>
    <x v="0"/>
    <n v="1192"/>
    <n v="258"/>
    <n v="2736.8"/>
    <x v="0"/>
  </r>
  <r>
    <x v="416"/>
    <x v="1"/>
    <n v="1204"/>
    <n v="279"/>
    <n v="4373.53"/>
    <x v="1"/>
  </r>
  <r>
    <x v="417"/>
    <x v="0"/>
    <n v="1241"/>
    <n v="241"/>
    <n v="3821.94"/>
    <x v="0"/>
  </r>
  <r>
    <x v="417"/>
    <x v="1"/>
    <n v="1140"/>
    <n v="260"/>
    <n v="4357.41"/>
    <x v="1"/>
  </r>
  <r>
    <x v="418"/>
    <x v="0"/>
    <n v="1195"/>
    <n v="225"/>
    <n v="3638.66"/>
    <x v="0"/>
  </r>
  <r>
    <x v="418"/>
    <x v="1"/>
    <n v="1154"/>
    <n v="257"/>
    <n v="3733.3"/>
    <x v="1"/>
  </r>
  <r>
    <x v="419"/>
    <x v="0"/>
    <n v="1198"/>
    <n v="256"/>
    <n v="3795.23"/>
    <x v="0"/>
  </r>
  <r>
    <x v="419"/>
    <x v="1"/>
    <n v="1148"/>
    <n v="267"/>
    <n v="4564.8"/>
    <x v="1"/>
  </r>
  <r>
    <x v="420"/>
    <x v="0"/>
    <n v="1174"/>
    <n v="223"/>
    <n v="3773.3"/>
    <x v="0"/>
  </r>
  <r>
    <x v="420"/>
    <x v="1"/>
    <n v="1155"/>
    <n v="297"/>
    <n v="5026.72"/>
    <x v="1"/>
  </r>
  <r>
    <x v="421"/>
    <x v="0"/>
    <n v="1184"/>
    <n v="205"/>
    <n v="2931.73"/>
    <x v="0"/>
  </r>
  <r>
    <x v="421"/>
    <x v="1"/>
    <n v="1184"/>
    <n v="276"/>
    <n v="3989.54"/>
    <x v="1"/>
  </r>
  <r>
    <x v="422"/>
    <x v="0"/>
    <n v="1242"/>
    <n v="252"/>
    <n v="4050.97"/>
    <x v="0"/>
  </r>
  <r>
    <x v="422"/>
    <x v="1"/>
    <n v="1115"/>
    <n v="244"/>
    <n v="4112.95"/>
    <x v="1"/>
  </r>
  <r>
    <x v="423"/>
    <x v="0"/>
    <n v="1203"/>
    <n v="230"/>
    <n v="3407.25"/>
    <x v="0"/>
  </r>
  <r>
    <x v="423"/>
    <x v="1"/>
    <n v="1156"/>
    <n v="241"/>
    <n v="3740.56"/>
    <x v="1"/>
  </r>
  <r>
    <x v="424"/>
    <x v="0"/>
    <n v="1264"/>
    <n v="249"/>
    <n v="3432.1"/>
    <x v="0"/>
  </r>
  <r>
    <x v="424"/>
    <x v="1"/>
    <n v="1130"/>
    <n v="267"/>
    <n v="4465.8999999999996"/>
    <x v="1"/>
  </r>
  <r>
    <x v="425"/>
    <x v="0"/>
    <n v="1162"/>
    <n v="220"/>
    <n v="3456.49"/>
    <x v="0"/>
  </r>
  <r>
    <x v="425"/>
    <x v="1"/>
    <n v="1177"/>
    <n v="259"/>
    <n v="4243.24"/>
    <x v="1"/>
  </r>
  <r>
    <x v="426"/>
    <x v="0"/>
    <n v="1212"/>
    <n v="236"/>
    <n v="3654.64"/>
    <x v="0"/>
  </r>
  <r>
    <x v="426"/>
    <x v="1"/>
    <n v="1117"/>
    <n v="262"/>
    <n v="3100.98"/>
    <x v="1"/>
  </r>
  <r>
    <x v="427"/>
    <x v="0"/>
    <n v="1194"/>
    <n v="238"/>
    <n v="2629.67"/>
    <x v="0"/>
  </r>
  <r>
    <x v="427"/>
    <x v="1"/>
    <n v="1214"/>
    <n v="291"/>
    <n v="5093.1400000000003"/>
    <x v="1"/>
  </r>
  <r>
    <x v="428"/>
    <x v="0"/>
    <n v="1225"/>
    <n v="243"/>
    <n v="4443.68"/>
    <x v="0"/>
  </r>
  <r>
    <x v="428"/>
    <x v="1"/>
    <n v="1149"/>
    <n v="297"/>
    <n v="4966.22"/>
    <x v="1"/>
  </r>
  <r>
    <x v="429"/>
    <x v="0"/>
    <n v="1211"/>
    <n v="239"/>
    <n v="3351.61"/>
    <x v="0"/>
  </r>
  <r>
    <x v="429"/>
    <x v="1"/>
    <n v="1117"/>
    <n v="253"/>
    <n v="4368.46"/>
    <x v="1"/>
  </r>
  <r>
    <x v="430"/>
    <x v="0"/>
    <n v="1208"/>
    <n v="229"/>
    <n v="3398.79"/>
    <x v="0"/>
  </r>
  <r>
    <x v="430"/>
    <x v="1"/>
    <n v="1189"/>
    <n v="290"/>
    <n v="4304.1099999999997"/>
    <x v="1"/>
  </r>
  <r>
    <x v="431"/>
    <x v="0"/>
    <n v="1195"/>
    <n v="242"/>
    <n v="3301.54"/>
    <x v="0"/>
  </r>
  <r>
    <x v="431"/>
    <x v="1"/>
    <n v="1137"/>
    <n v="290"/>
    <n v="4455.42"/>
    <x v="1"/>
  </r>
  <r>
    <x v="432"/>
    <x v="0"/>
    <n v="1210"/>
    <n v="225"/>
    <n v="2856.98"/>
    <x v="0"/>
  </r>
  <r>
    <x v="432"/>
    <x v="1"/>
    <n v="1177"/>
    <n v="257"/>
    <n v="2652.71"/>
    <x v="1"/>
  </r>
  <r>
    <x v="433"/>
    <x v="0"/>
    <n v="1127"/>
    <n v="229"/>
    <n v="3862.06"/>
    <x v="0"/>
  </r>
  <r>
    <x v="433"/>
    <x v="1"/>
    <n v="1156"/>
    <n v="270"/>
    <n v="4095.85"/>
    <x v="1"/>
  </r>
  <r>
    <x v="434"/>
    <x v="0"/>
    <n v="1296"/>
    <n v="269"/>
    <n v="4282.63"/>
    <x v="0"/>
  </r>
  <r>
    <x v="434"/>
    <x v="1"/>
    <n v="1157"/>
    <n v="269"/>
    <n v="4408.83"/>
    <x v="1"/>
  </r>
  <r>
    <x v="435"/>
    <x v="0"/>
    <n v="1191"/>
    <n v="247"/>
    <n v="3215.1"/>
    <x v="0"/>
  </r>
  <r>
    <x v="435"/>
    <x v="1"/>
    <n v="1204"/>
    <n v="252"/>
    <n v="3713.03"/>
    <x v="1"/>
  </r>
  <r>
    <x v="436"/>
    <x v="0"/>
    <n v="1165"/>
    <n v="234"/>
    <n v="3301.3"/>
    <x v="0"/>
  </r>
  <r>
    <x v="436"/>
    <x v="1"/>
    <n v="1133"/>
    <n v="239"/>
    <n v="3878.08"/>
    <x v="1"/>
  </r>
  <r>
    <x v="437"/>
    <x v="0"/>
    <n v="1168"/>
    <n v="211"/>
    <n v="3873.4"/>
    <x v="0"/>
  </r>
  <r>
    <x v="437"/>
    <x v="1"/>
    <n v="1145"/>
    <n v="282"/>
    <n v="3433.83"/>
    <x v="1"/>
  </r>
  <r>
    <x v="438"/>
    <x v="0"/>
    <n v="1204"/>
    <n v="222"/>
    <n v="2842.21"/>
    <x v="0"/>
  </r>
  <r>
    <x v="438"/>
    <x v="1"/>
    <n v="1218"/>
    <n v="274"/>
    <n v="5162.4399999999996"/>
    <x v="1"/>
  </r>
  <r>
    <x v="439"/>
    <x v="0"/>
    <n v="1168"/>
    <n v="214"/>
    <n v="2567.91"/>
    <x v="0"/>
  </r>
  <r>
    <x v="439"/>
    <x v="1"/>
    <n v="1164"/>
    <n v="302"/>
    <n v="4361.58"/>
    <x v="1"/>
  </r>
  <r>
    <x v="440"/>
    <x v="0"/>
    <n v="1233"/>
    <n v="250"/>
    <n v="4323.0200000000004"/>
    <x v="0"/>
  </r>
  <r>
    <x v="440"/>
    <x v="1"/>
    <n v="1140"/>
    <n v="260"/>
    <n v="3755.77"/>
    <x v="1"/>
  </r>
  <r>
    <x v="441"/>
    <x v="0"/>
    <n v="1171"/>
    <n v="222"/>
    <n v="3128.07"/>
    <x v="0"/>
  </r>
  <r>
    <x v="441"/>
    <x v="1"/>
    <n v="1140"/>
    <n v="262"/>
    <n v="3647.14"/>
    <x v="1"/>
  </r>
  <r>
    <x v="442"/>
    <x v="0"/>
    <n v="1159"/>
    <n v="199"/>
    <n v="2692.39"/>
    <x v="0"/>
  </r>
  <r>
    <x v="442"/>
    <x v="1"/>
    <n v="1150"/>
    <n v="255"/>
    <n v="4924.67"/>
    <x v="1"/>
  </r>
  <r>
    <x v="443"/>
    <x v="0"/>
    <n v="1200"/>
    <n v="234"/>
    <n v="3691.76"/>
    <x v="0"/>
  </r>
  <r>
    <x v="443"/>
    <x v="1"/>
    <n v="1170"/>
    <n v="283"/>
    <n v="4474.33"/>
    <x v="1"/>
  </r>
  <r>
    <x v="444"/>
    <x v="0"/>
    <n v="1135"/>
    <n v="209"/>
    <n v="3355.09"/>
    <x v="0"/>
  </r>
  <r>
    <x v="444"/>
    <x v="1"/>
    <n v="1155"/>
    <n v="298"/>
    <n v="4483.46"/>
    <x v="1"/>
  </r>
  <r>
    <x v="445"/>
    <x v="0"/>
    <n v="1178"/>
    <n v="238"/>
    <n v="3428.45"/>
    <x v="0"/>
  </r>
  <r>
    <x v="445"/>
    <x v="1"/>
    <n v="1130"/>
    <n v="274"/>
    <n v="4248.9799999999996"/>
    <x v="1"/>
  </r>
  <r>
    <x v="446"/>
    <x v="0"/>
    <n v="1162"/>
    <n v="187"/>
    <n v="2801.53"/>
    <x v="0"/>
  </r>
  <r>
    <x v="446"/>
    <x v="1"/>
    <n v="1115"/>
    <n v="256"/>
    <n v="4253.17"/>
    <x v="1"/>
  </r>
  <r>
    <x v="447"/>
    <x v="0"/>
    <n v="1146"/>
    <n v="224"/>
    <n v="3145.52"/>
    <x v="0"/>
  </r>
  <r>
    <x v="447"/>
    <x v="1"/>
    <n v="1147"/>
    <n v="281"/>
    <n v="4698.03"/>
    <x v="1"/>
  </r>
  <r>
    <x v="448"/>
    <x v="0"/>
    <n v="1231"/>
    <n v="238"/>
    <n v="2433.8200000000002"/>
    <x v="0"/>
  </r>
  <r>
    <x v="448"/>
    <x v="1"/>
    <n v="1198"/>
    <n v="272"/>
    <n v="4082.24"/>
    <x v="1"/>
  </r>
  <r>
    <x v="449"/>
    <x v="0"/>
    <n v="1201"/>
    <n v="214"/>
    <n v="3314.29"/>
    <x v="0"/>
  </r>
  <r>
    <x v="449"/>
    <x v="1"/>
    <n v="1128"/>
    <n v="249"/>
    <n v="3441.08"/>
    <x v="1"/>
  </r>
  <r>
    <x v="450"/>
    <x v="0"/>
    <n v="1126"/>
    <n v="213"/>
    <n v="3405.47"/>
    <x v="0"/>
  </r>
  <r>
    <x v="450"/>
    <x v="1"/>
    <n v="1125"/>
    <n v="253"/>
    <n v="2603.56"/>
    <x v="1"/>
  </r>
  <r>
    <x v="451"/>
    <x v="0"/>
    <n v="1183"/>
    <n v="247"/>
    <n v="3727.47"/>
    <x v="0"/>
  </r>
  <r>
    <x v="451"/>
    <x v="1"/>
    <n v="1145"/>
    <n v="260"/>
    <n v="4450.33"/>
    <x v="1"/>
  </r>
  <r>
    <x v="452"/>
    <x v="0"/>
    <n v="1203"/>
    <n v="209"/>
    <n v="3132.68"/>
    <x v="0"/>
  </r>
  <r>
    <x v="452"/>
    <x v="1"/>
    <n v="1160"/>
    <n v="271"/>
    <n v="4974.75"/>
    <x v="1"/>
  </r>
  <r>
    <x v="453"/>
    <x v="0"/>
    <n v="1211"/>
    <n v="228"/>
    <n v="2707.26"/>
    <x v="0"/>
  </r>
  <r>
    <x v="453"/>
    <x v="1"/>
    <n v="1143"/>
    <n v="261"/>
    <n v="3560.32"/>
    <x v="1"/>
  </r>
  <r>
    <x v="454"/>
    <x v="0"/>
    <n v="1207"/>
    <n v="234"/>
    <n v="3521.8"/>
    <x v="0"/>
  </r>
  <r>
    <x v="454"/>
    <x v="1"/>
    <n v="1125"/>
    <n v="271"/>
    <n v="3499.63"/>
    <x v="1"/>
  </r>
  <r>
    <x v="455"/>
    <x v="0"/>
    <n v="1195"/>
    <n v="228"/>
    <n v="3515.55"/>
    <x v="0"/>
  </r>
  <r>
    <x v="455"/>
    <x v="1"/>
    <n v="1194"/>
    <n v="258"/>
    <n v="3564.72"/>
    <x v="1"/>
  </r>
  <r>
    <x v="456"/>
    <x v="0"/>
    <n v="1145"/>
    <n v="211"/>
    <n v="3485.52"/>
    <x v="0"/>
  </r>
  <r>
    <x v="456"/>
    <x v="1"/>
    <n v="1132"/>
    <n v="239"/>
    <n v="3684.54"/>
    <x v="1"/>
  </r>
  <r>
    <x v="457"/>
    <x v="0"/>
    <n v="1225"/>
    <n v="224"/>
    <n v="2751.36"/>
    <x v="0"/>
  </r>
  <r>
    <x v="457"/>
    <x v="1"/>
    <n v="1149"/>
    <n v="264"/>
    <n v="3653.9"/>
    <x v="1"/>
  </r>
  <r>
    <x v="458"/>
    <x v="0"/>
    <n v="1195"/>
    <n v="250"/>
    <n v="3521.18"/>
    <x v="0"/>
  </r>
  <r>
    <x v="458"/>
    <x v="1"/>
    <n v="1159"/>
    <n v="252"/>
    <n v="4125.59"/>
    <x v="1"/>
  </r>
  <r>
    <x v="459"/>
    <x v="0"/>
    <n v="1196"/>
    <n v="207"/>
    <n v="3604.54"/>
    <x v="0"/>
  </r>
  <r>
    <x v="459"/>
    <x v="1"/>
    <n v="1154"/>
    <n v="271"/>
    <n v="3508.28"/>
    <x v="1"/>
  </r>
  <r>
    <x v="460"/>
    <x v="0"/>
    <n v="1169"/>
    <n v="208"/>
    <n v="2576.13"/>
    <x v="0"/>
  </r>
  <r>
    <x v="460"/>
    <x v="1"/>
    <n v="1182"/>
    <n v="266"/>
    <n v="3405.93"/>
    <x v="1"/>
  </r>
  <r>
    <x v="461"/>
    <x v="0"/>
    <n v="1176"/>
    <n v="235"/>
    <n v="2995.08"/>
    <x v="0"/>
  </r>
  <r>
    <x v="461"/>
    <x v="1"/>
    <n v="1082"/>
    <n v="239"/>
    <n v="4363.1400000000003"/>
    <x v="1"/>
  </r>
  <r>
    <x v="462"/>
    <x v="0"/>
    <n v="1183"/>
    <n v="221"/>
    <n v="3051.77"/>
    <x v="0"/>
  </r>
  <r>
    <x v="462"/>
    <x v="1"/>
    <n v="1145"/>
    <n v="254"/>
    <n v="4521.47"/>
    <x v="1"/>
  </r>
  <r>
    <x v="463"/>
    <x v="0"/>
    <n v="1211"/>
    <n v="217"/>
    <n v="2534.09"/>
    <x v="0"/>
  </r>
  <r>
    <x v="463"/>
    <x v="1"/>
    <n v="1147"/>
    <n v="264"/>
    <n v="4489.72"/>
    <x v="1"/>
  </r>
  <r>
    <x v="464"/>
    <x v="0"/>
    <n v="1207"/>
    <n v="249"/>
    <n v="3711.41"/>
    <x v="0"/>
  </r>
  <r>
    <x v="464"/>
    <x v="1"/>
    <n v="1131"/>
    <n v="272"/>
    <n v="3491.3"/>
    <x v="1"/>
  </r>
  <r>
    <x v="465"/>
    <x v="0"/>
    <n v="1174"/>
    <n v="205"/>
    <n v="3240.73"/>
    <x v="0"/>
  </r>
  <r>
    <x v="465"/>
    <x v="1"/>
    <n v="1100"/>
    <n v="240"/>
    <n v="4183.62"/>
    <x v="1"/>
  </r>
  <r>
    <x v="466"/>
    <x v="0"/>
    <n v="1238"/>
    <n v="209"/>
    <n v="2915.29"/>
    <x v="0"/>
  </r>
  <r>
    <x v="466"/>
    <x v="1"/>
    <n v="1164"/>
    <n v="277"/>
    <n v="4449.95"/>
    <x v="1"/>
  </r>
  <r>
    <x v="467"/>
    <x v="0"/>
    <n v="1204"/>
    <n v="232"/>
    <n v="2379.5500000000002"/>
    <x v="0"/>
  </r>
  <r>
    <x v="467"/>
    <x v="1"/>
    <n v="1100"/>
    <n v="277"/>
    <n v="5563.31"/>
    <x v="1"/>
  </r>
  <r>
    <x v="468"/>
    <x v="0"/>
    <n v="1151"/>
    <n v="225"/>
    <n v="3066.17"/>
    <x v="0"/>
  </r>
  <r>
    <x v="468"/>
    <x v="1"/>
    <n v="1221"/>
    <n v="265"/>
    <n v="3480.68"/>
    <x v="1"/>
  </r>
  <r>
    <x v="469"/>
    <x v="0"/>
    <n v="1177"/>
    <n v="211"/>
    <n v="2784.92"/>
    <x v="0"/>
  </r>
  <r>
    <x v="469"/>
    <x v="1"/>
    <n v="1213"/>
    <n v="303"/>
    <n v="4263.6899999999996"/>
    <x v="1"/>
  </r>
  <r>
    <x v="470"/>
    <x v="0"/>
    <n v="1256"/>
    <n v="230"/>
    <n v="3698.82"/>
    <x v="0"/>
  </r>
  <r>
    <x v="470"/>
    <x v="1"/>
    <n v="1146"/>
    <n v="268"/>
    <n v="4757.63"/>
    <x v="1"/>
  </r>
  <r>
    <x v="471"/>
    <x v="0"/>
    <n v="1264"/>
    <n v="239"/>
    <n v="3417.29"/>
    <x v="0"/>
  </r>
  <r>
    <x v="471"/>
    <x v="1"/>
    <n v="1136"/>
    <n v="264"/>
    <n v="3052.71"/>
    <x v="1"/>
  </r>
  <r>
    <x v="472"/>
    <x v="0"/>
    <n v="1154"/>
    <n v="205"/>
    <n v="2344.73"/>
    <x v="0"/>
  </r>
  <r>
    <x v="472"/>
    <x v="1"/>
    <n v="1090"/>
    <n v="257"/>
    <n v="2965.54"/>
    <x v="1"/>
  </r>
  <r>
    <x v="473"/>
    <x v="0"/>
    <n v="1192"/>
    <n v="243"/>
    <n v="2985.53"/>
    <x v="0"/>
  </r>
  <r>
    <x v="473"/>
    <x v="1"/>
    <n v="1099"/>
    <n v="232"/>
    <n v="3815.54"/>
    <x v="1"/>
  </r>
  <r>
    <x v="474"/>
    <x v="0"/>
    <n v="1194"/>
    <n v="247"/>
    <n v="3942.49"/>
    <x v="0"/>
  </r>
  <r>
    <x v="474"/>
    <x v="1"/>
    <n v="1116"/>
    <n v="262"/>
    <n v="4976.28"/>
    <x v="1"/>
  </r>
  <r>
    <x v="475"/>
    <x v="0"/>
    <n v="1209"/>
    <n v="228"/>
    <n v="3998.05"/>
    <x v="0"/>
  </r>
  <r>
    <x v="475"/>
    <x v="1"/>
    <n v="1133"/>
    <n v="278"/>
    <n v="4608.53"/>
    <x v="1"/>
  </r>
  <r>
    <x v="476"/>
    <x v="0"/>
    <n v="1212"/>
    <n v="222"/>
    <n v="3072.47"/>
    <x v="0"/>
  </r>
  <r>
    <x v="476"/>
    <x v="1"/>
    <n v="1105"/>
    <n v="259"/>
    <n v="3544.98"/>
    <x v="1"/>
  </r>
  <r>
    <x v="477"/>
    <x v="0"/>
    <n v="1235"/>
    <n v="239"/>
    <n v="3989.29"/>
    <x v="0"/>
  </r>
  <r>
    <x v="477"/>
    <x v="1"/>
    <n v="1078"/>
    <n v="260"/>
    <n v="4427.3100000000004"/>
    <x v="1"/>
  </r>
  <r>
    <x v="478"/>
    <x v="0"/>
    <n v="1214"/>
    <n v="249"/>
    <n v="3314.11"/>
    <x v="0"/>
  </r>
  <r>
    <x v="478"/>
    <x v="1"/>
    <n v="1122"/>
    <n v="283"/>
    <n v="4841.22"/>
    <x v="1"/>
  </r>
  <r>
    <x v="479"/>
    <x v="0"/>
    <n v="1158"/>
    <n v="217"/>
    <n v="3426.61"/>
    <x v="0"/>
  </r>
  <r>
    <x v="479"/>
    <x v="1"/>
    <n v="1122"/>
    <n v="251"/>
    <n v="3535.3"/>
    <x v="1"/>
  </r>
  <r>
    <x v="480"/>
    <x v="0"/>
    <n v="1195"/>
    <n v="262"/>
    <n v="3427.6"/>
    <x v="0"/>
  </r>
  <r>
    <x v="480"/>
    <x v="1"/>
    <n v="1156"/>
    <n v="291"/>
    <n v="3868.84"/>
    <x v="1"/>
  </r>
  <r>
    <x v="481"/>
    <x v="0"/>
    <n v="1251"/>
    <n v="218"/>
    <n v="3556.78"/>
    <x v="0"/>
  </r>
  <r>
    <x v="481"/>
    <x v="1"/>
    <n v="1168"/>
    <n v="267"/>
    <n v="4234.87"/>
    <x v="1"/>
  </r>
  <r>
    <x v="482"/>
    <x v="0"/>
    <n v="1145"/>
    <n v="210"/>
    <n v="2974.68"/>
    <x v="0"/>
  </r>
  <r>
    <x v="482"/>
    <x v="1"/>
    <n v="1106"/>
    <n v="260"/>
    <n v="4338.91"/>
    <x v="1"/>
  </r>
  <r>
    <x v="483"/>
    <x v="0"/>
    <n v="1162"/>
    <n v="227"/>
    <n v="3630.37"/>
    <x v="0"/>
  </r>
  <r>
    <x v="483"/>
    <x v="1"/>
    <n v="1168"/>
    <n v="288"/>
    <n v="5803.24"/>
    <x v="1"/>
  </r>
  <r>
    <x v="484"/>
    <x v="0"/>
    <n v="1109"/>
    <n v="230"/>
    <n v="3680.38"/>
    <x v="0"/>
  </r>
  <r>
    <x v="484"/>
    <x v="1"/>
    <n v="1123"/>
    <n v="241"/>
    <n v="3432.58"/>
    <x v="1"/>
  </r>
  <r>
    <x v="485"/>
    <x v="0"/>
    <n v="1256"/>
    <n v="252"/>
    <n v="2862.17"/>
    <x v="0"/>
  </r>
  <r>
    <x v="485"/>
    <x v="1"/>
    <n v="1219"/>
    <n v="289"/>
    <n v="4278.55"/>
    <x v="1"/>
  </r>
  <r>
    <x v="486"/>
    <x v="0"/>
    <n v="1176"/>
    <n v="230"/>
    <n v="3851.5"/>
    <x v="0"/>
  </r>
  <r>
    <x v="486"/>
    <x v="1"/>
    <n v="1162"/>
    <n v="274"/>
    <n v="3854.55"/>
    <x v="1"/>
  </r>
  <r>
    <x v="487"/>
    <x v="0"/>
    <n v="1215"/>
    <n v="253"/>
    <n v="4195.68"/>
    <x v="0"/>
  </r>
  <r>
    <x v="487"/>
    <x v="1"/>
    <n v="1126"/>
    <n v="287"/>
    <n v="4264.45"/>
    <x v="1"/>
  </r>
  <r>
    <x v="488"/>
    <x v="0"/>
    <n v="1200"/>
    <n v="208"/>
    <n v="2871.89"/>
    <x v="0"/>
  </r>
  <r>
    <x v="488"/>
    <x v="1"/>
    <n v="1127"/>
    <n v="272"/>
    <n v="4189.25"/>
    <x v="1"/>
  </r>
  <r>
    <x v="489"/>
    <x v="0"/>
    <n v="1213"/>
    <n v="211"/>
    <n v="2925.98"/>
    <x v="0"/>
  </r>
  <r>
    <x v="489"/>
    <x v="1"/>
    <n v="1087"/>
    <n v="240"/>
    <n v="4239.18"/>
    <x v="1"/>
  </r>
  <r>
    <x v="490"/>
    <x v="0"/>
    <n v="1264"/>
    <n v="251"/>
    <n v="4277.8"/>
    <x v="0"/>
  </r>
  <r>
    <x v="490"/>
    <x v="1"/>
    <n v="1114"/>
    <n v="281"/>
    <n v="5012.43"/>
    <x v="1"/>
  </r>
  <r>
    <x v="491"/>
    <x v="0"/>
    <n v="1186"/>
    <n v="231"/>
    <n v="3659.86"/>
    <x v="0"/>
  </r>
  <r>
    <x v="491"/>
    <x v="1"/>
    <n v="1198"/>
    <n v="283"/>
    <n v="5269.57"/>
    <x v="1"/>
  </r>
  <r>
    <x v="492"/>
    <x v="0"/>
    <n v="1192"/>
    <n v="229"/>
    <n v="3276.91"/>
    <x v="0"/>
  </r>
  <r>
    <x v="492"/>
    <x v="1"/>
    <n v="1119"/>
    <n v="257"/>
    <n v="4363.4799999999996"/>
    <x v="1"/>
  </r>
  <r>
    <x v="493"/>
    <x v="0"/>
    <n v="1241"/>
    <n v="232"/>
    <n v="3505.92"/>
    <x v="0"/>
  </r>
  <r>
    <x v="493"/>
    <x v="1"/>
    <n v="1146"/>
    <n v="252"/>
    <n v="3875.94"/>
    <x v="1"/>
  </r>
  <r>
    <x v="494"/>
    <x v="0"/>
    <n v="1223"/>
    <n v="222"/>
    <n v="3488.18"/>
    <x v="0"/>
  </r>
  <r>
    <x v="494"/>
    <x v="1"/>
    <n v="1119"/>
    <n v="261"/>
    <n v="4834.51"/>
    <x v="1"/>
  </r>
  <r>
    <x v="495"/>
    <x v="0"/>
    <n v="1192"/>
    <n v="232"/>
    <n v="3722.78"/>
    <x v="0"/>
  </r>
  <r>
    <x v="495"/>
    <x v="1"/>
    <n v="1148"/>
    <n v="263"/>
    <n v="3566.11"/>
    <x v="1"/>
  </r>
  <r>
    <x v="496"/>
    <x v="0"/>
    <n v="1233"/>
    <n v="249"/>
    <n v="2929.88"/>
    <x v="0"/>
  </r>
  <r>
    <x v="496"/>
    <x v="1"/>
    <n v="1206"/>
    <n v="289"/>
    <n v="4491.42"/>
    <x v="1"/>
  </r>
  <r>
    <x v="497"/>
    <x v="0"/>
    <n v="1155"/>
    <n v="207"/>
    <n v="3718.53"/>
    <x v="0"/>
  </r>
  <r>
    <x v="497"/>
    <x v="1"/>
    <n v="1120"/>
    <n v="249"/>
    <n v="3842.96"/>
    <x v="1"/>
  </r>
  <r>
    <x v="498"/>
    <x v="0"/>
    <n v="1222"/>
    <n v="251"/>
    <n v="4092.46"/>
    <x v="0"/>
  </r>
  <r>
    <x v="498"/>
    <x v="1"/>
    <n v="1114"/>
    <n v="247"/>
    <n v="3146.12"/>
    <x v="1"/>
  </r>
  <r>
    <x v="499"/>
    <x v="0"/>
    <n v="1230"/>
    <n v="235"/>
    <n v="3416.29"/>
    <x v="0"/>
  </r>
  <r>
    <x v="499"/>
    <x v="1"/>
    <n v="1139"/>
    <n v="241"/>
    <n v="3578.17"/>
    <x v="1"/>
  </r>
  <r>
    <x v="500"/>
    <x v="0"/>
    <n v="1172"/>
    <n v="232"/>
    <n v="3441.62"/>
    <x v="0"/>
  </r>
  <r>
    <x v="500"/>
    <x v="1"/>
    <n v="1134"/>
    <n v="263"/>
    <n v="4335.87"/>
    <x v="1"/>
  </r>
  <r>
    <x v="501"/>
    <x v="0"/>
    <n v="1232"/>
    <n v="219"/>
    <n v="2850.12"/>
    <x v="0"/>
  </r>
  <r>
    <x v="501"/>
    <x v="1"/>
    <n v="1178"/>
    <n v="261"/>
    <n v="3421.6"/>
    <x v="1"/>
  </r>
  <r>
    <x v="502"/>
    <x v="0"/>
    <n v="1191"/>
    <n v="222"/>
    <n v="3059.89"/>
    <x v="0"/>
  </r>
  <r>
    <x v="502"/>
    <x v="1"/>
    <n v="1183"/>
    <n v="257"/>
    <n v="4416.5600000000004"/>
    <x v="1"/>
  </r>
  <r>
    <x v="503"/>
    <x v="0"/>
    <n v="1121"/>
    <n v="220"/>
    <n v="3618.04"/>
    <x v="0"/>
  </r>
  <r>
    <x v="503"/>
    <x v="1"/>
    <n v="1166"/>
    <n v="253"/>
    <n v="4104.57"/>
    <x v="1"/>
  </r>
  <r>
    <x v="504"/>
    <x v="0"/>
    <n v="1196"/>
    <n v="212"/>
    <n v="3855.29"/>
    <x v="0"/>
  </r>
  <r>
    <x v="504"/>
    <x v="1"/>
    <n v="1149"/>
    <n v="286"/>
    <n v="4587.0600000000004"/>
    <x v="1"/>
  </r>
  <r>
    <x v="505"/>
    <x v="0"/>
    <n v="1245"/>
    <n v="217"/>
    <n v="2911.76"/>
    <x v="0"/>
  </r>
  <r>
    <x v="505"/>
    <x v="1"/>
    <n v="1162"/>
    <n v="300"/>
    <n v="4820.3999999999996"/>
    <x v="1"/>
  </r>
  <r>
    <x v="506"/>
    <x v="0"/>
    <n v="1196"/>
    <n v="218"/>
    <n v="2891.44"/>
    <x v="0"/>
  </r>
  <r>
    <x v="506"/>
    <x v="1"/>
    <n v="1142"/>
    <n v="275"/>
    <n v="4453.8"/>
    <x v="1"/>
  </r>
  <r>
    <x v="507"/>
    <x v="0"/>
    <n v="1144"/>
    <n v="234"/>
    <n v="3259.73"/>
    <x v="0"/>
  </r>
  <r>
    <x v="507"/>
    <x v="1"/>
    <n v="1162"/>
    <n v="287"/>
    <n v="4761.3100000000004"/>
    <x v="1"/>
  </r>
  <r>
    <x v="508"/>
    <x v="0"/>
    <n v="1222"/>
    <n v="214"/>
    <n v="2784.38"/>
    <x v="0"/>
  </r>
  <r>
    <x v="508"/>
    <x v="1"/>
    <n v="1143"/>
    <n v="254"/>
    <n v="4190.7700000000004"/>
    <x v="1"/>
  </r>
  <r>
    <x v="509"/>
    <x v="0"/>
    <n v="1201"/>
    <n v="240"/>
    <n v="3588.37"/>
    <x v="0"/>
  </r>
  <r>
    <x v="509"/>
    <x v="1"/>
    <n v="1147"/>
    <n v="272"/>
    <n v="5006.13"/>
    <x v="1"/>
  </r>
  <r>
    <x v="510"/>
    <x v="0"/>
    <n v="1199"/>
    <n v="217"/>
    <n v="2347.81"/>
    <x v="0"/>
  </r>
  <r>
    <x v="510"/>
    <x v="1"/>
    <n v="1100"/>
    <n v="247"/>
    <n v="3867.89"/>
    <x v="1"/>
  </r>
  <r>
    <x v="511"/>
    <x v="0"/>
    <n v="1180"/>
    <n v="223"/>
    <n v="2430.54"/>
    <x v="0"/>
  </r>
  <r>
    <x v="511"/>
    <x v="1"/>
    <n v="1145"/>
    <n v="272"/>
    <n v="4754.1099999999997"/>
    <x v="1"/>
  </r>
  <r>
    <x v="512"/>
    <x v="0"/>
    <n v="1173"/>
    <n v="219"/>
    <n v="3910.16"/>
    <x v="0"/>
  </r>
  <r>
    <x v="512"/>
    <x v="1"/>
    <n v="1134"/>
    <n v="249"/>
    <n v="3775.12"/>
    <x v="1"/>
  </r>
  <r>
    <x v="513"/>
    <x v="0"/>
    <n v="1167"/>
    <n v="217"/>
    <n v="3527.38"/>
    <x v="0"/>
  </r>
  <r>
    <x v="513"/>
    <x v="1"/>
    <n v="1105"/>
    <n v="272"/>
    <n v="4199.95"/>
    <x v="1"/>
  </r>
  <r>
    <x v="514"/>
    <x v="0"/>
    <n v="1261"/>
    <n v="231"/>
    <n v="3866.37"/>
    <x v="0"/>
  </r>
  <r>
    <x v="514"/>
    <x v="1"/>
    <n v="1075"/>
    <n v="221"/>
    <n v="3011.64"/>
    <x v="1"/>
  </r>
  <r>
    <x v="515"/>
    <x v="0"/>
    <n v="1233"/>
    <n v="247"/>
    <n v="3473.56"/>
    <x v="0"/>
  </r>
  <r>
    <x v="515"/>
    <x v="1"/>
    <n v="1138"/>
    <n v="282"/>
    <n v="4084.06"/>
    <x v="1"/>
  </r>
  <r>
    <x v="516"/>
    <x v="0"/>
    <n v="1191"/>
    <n v="231"/>
    <n v="2458.67"/>
    <x v="0"/>
  </r>
  <r>
    <x v="516"/>
    <x v="1"/>
    <n v="1101"/>
    <n v="251"/>
    <n v="3750.21"/>
    <x v="1"/>
  </r>
  <r>
    <x v="517"/>
    <x v="0"/>
    <n v="1201"/>
    <n v="229"/>
    <n v="3976.16"/>
    <x v="0"/>
  </r>
  <r>
    <x v="517"/>
    <x v="1"/>
    <n v="1073"/>
    <n v="254"/>
    <n v="5254.58"/>
    <x v="1"/>
  </r>
  <r>
    <x v="518"/>
    <x v="0"/>
    <n v="1226"/>
    <n v="216"/>
    <n v="3034.46"/>
    <x v="0"/>
  </r>
  <r>
    <x v="518"/>
    <x v="1"/>
    <n v="1124"/>
    <n v="255"/>
    <n v="3658.68"/>
    <x v="1"/>
  </r>
  <r>
    <x v="519"/>
    <x v="0"/>
    <n v="1191"/>
    <n v="225"/>
    <n v="3441.12"/>
    <x v="0"/>
  </r>
  <r>
    <x v="519"/>
    <x v="1"/>
    <n v="1151"/>
    <n v="283"/>
    <n v="4232.47"/>
    <x v="1"/>
  </r>
  <r>
    <x v="520"/>
    <x v="0"/>
    <n v="1167"/>
    <n v="239"/>
    <n v="3259.3"/>
    <x v="0"/>
  </r>
  <r>
    <x v="520"/>
    <x v="1"/>
    <n v="1107"/>
    <n v="234"/>
    <n v="4196.9399999999996"/>
    <x v="1"/>
  </r>
  <r>
    <x v="521"/>
    <x v="0"/>
    <n v="1173"/>
    <n v="229"/>
    <n v="3081.53"/>
    <x v="0"/>
  </r>
  <r>
    <x v="521"/>
    <x v="1"/>
    <n v="1208"/>
    <n v="255"/>
    <n v="4900.8599999999997"/>
    <x v="1"/>
  </r>
  <r>
    <x v="522"/>
    <x v="0"/>
    <n v="1175"/>
    <n v="238"/>
    <n v="3063.43"/>
    <x v="0"/>
  </r>
  <r>
    <x v="522"/>
    <x v="1"/>
    <n v="1140"/>
    <n v="258"/>
    <n v="4122.92"/>
    <x v="1"/>
  </r>
  <r>
    <x v="523"/>
    <x v="0"/>
    <n v="1187"/>
    <n v="223"/>
    <n v="3464.46"/>
    <x v="0"/>
  </r>
  <r>
    <x v="523"/>
    <x v="1"/>
    <n v="1180"/>
    <n v="270"/>
    <n v="3875.29"/>
    <x v="1"/>
  </r>
  <r>
    <x v="524"/>
    <x v="0"/>
    <n v="1205"/>
    <n v="222"/>
    <n v="3929.89"/>
    <x v="0"/>
  </r>
  <r>
    <x v="524"/>
    <x v="1"/>
    <n v="1193"/>
    <n v="300"/>
    <n v="5575.65"/>
    <x v="1"/>
  </r>
  <r>
    <x v="525"/>
    <x v="0"/>
    <n v="1204"/>
    <n v="214"/>
    <n v="3018.02"/>
    <x v="0"/>
  </r>
  <r>
    <x v="525"/>
    <x v="1"/>
    <n v="1146"/>
    <n v="277"/>
    <n v="4564.16"/>
    <x v="1"/>
  </r>
  <r>
    <x v="526"/>
    <x v="0"/>
    <n v="1190"/>
    <n v="234"/>
    <n v="3294.83"/>
    <x v="0"/>
  </r>
  <r>
    <x v="526"/>
    <x v="1"/>
    <n v="1104"/>
    <n v="234"/>
    <n v="3998.31"/>
    <x v="1"/>
  </r>
  <r>
    <x v="527"/>
    <x v="0"/>
    <n v="1240"/>
    <n v="231"/>
    <n v="3736.32"/>
    <x v="0"/>
  </r>
  <r>
    <x v="527"/>
    <x v="1"/>
    <n v="1085"/>
    <n v="256"/>
    <n v="3990.72"/>
    <x v="1"/>
  </r>
  <r>
    <x v="528"/>
    <x v="0"/>
    <n v="1174"/>
    <n v="234"/>
    <n v="3622.42"/>
    <x v="0"/>
  </r>
  <r>
    <x v="528"/>
    <x v="1"/>
    <n v="1177"/>
    <n v="263"/>
    <n v="4867.1499999999996"/>
    <x v="1"/>
  </r>
  <r>
    <x v="529"/>
    <x v="0"/>
    <n v="1244"/>
    <n v="269"/>
    <n v="3863.51"/>
    <x v="0"/>
  </r>
  <r>
    <x v="529"/>
    <x v="1"/>
    <n v="1228"/>
    <n v="295"/>
    <n v="4112.41"/>
    <x v="1"/>
  </r>
  <r>
    <x v="530"/>
    <x v="0"/>
    <n v="1223"/>
    <n v="231"/>
    <n v="2999.1"/>
    <x v="0"/>
  </r>
  <r>
    <x v="530"/>
    <x v="1"/>
    <n v="1138"/>
    <n v="261"/>
    <n v="3087.16"/>
    <x v="1"/>
  </r>
  <r>
    <x v="531"/>
    <x v="0"/>
    <n v="1186"/>
    <n v="205"/>
    <n v="3192.58"/>
    <x v="0"/>
  </r>
  <r>
    <x v="531"/>
    <x v="1"/>
    <n v="1173"/>
    <n v="297"/>
    <n v="4664.5600000000004"/>
    <x v="1"/>
  </r>
  <r>
    <x v="532"/>
    <x v="0"/>
    <n v="1212"/>
    <n v="243"/>
    <n v="3589.21"/>
    <x v="0"/>
  </r>
  <r>
    <x v="532"/>
    <x v="1"/>
    <n v="1147"/>
    <n v="246"/>
    <n v="4214.8500000000004"/>
    <x v="1"/>
  </r>
  <r>
    <x v="533"/>
    <x v="0"/>
    <n v="1204"/>
    <n v="218"/>
    <n v="3085.24"/>
    <x v="0"/>
  </r>
  <r>
    <x v="533"/>
    <x v="1"/>
    <n v="1146"/>
    <n v="256"/>
    <n v="3863.85"/>
    <x v="1"/>
  </r>
  <r>
    <x v="534"/>
    <x v="0"/>
    <n v="1215"/>
    <n v="246"/>
    <n v="4476.37"/>
    <x v="0"/>
  </r>
  <r>
    <x v="534"/>
    <x v="1"/>
    <n v="1154"/>
    <n v="235"/>
    <n v="4104.7700000000004"/>
    <x v="1"/>
  </r>
  <r>
    <x v="535"/>
    <x v="0"/>
    <n v="1133"/>
    <n v="213"/>
    <n v="4165.04"/>
    <x v="0"/>
  </r>
  <r>
    <x v="535"/>
    <x v="1"/>
    <n v="1136"/>
    <n v="259"/>
    <n v="3504.52"/>
    <x v="1"/>
  </r>
  <r>
    <x v="536"/>
    <x v="0"/>
    <n v="1217"/>
    <n v="204"/>
    <n v="3358.25"/>
    <x v="0"/>
  </r>
  <r>
    <x v="536"/>
    <x v="1"/>
    <n v="1160"/>
    <n v="261"/>
    <n v="4457.0600000000004"/>
    <x v="1"/>
  </r>
  <r>
    <x v="537"/>
    <x v="0"/>
    <n v="1196"/>
    <n v="230"/>
    <n v="3679.58"/>
    <x v="0"/>
  </r>
  <r>
    <x v="537"/>
    <x v="1"/>
    <n v="1095"/>
    <n v="244"/>
    <n v="3078.17"/>
    <x v="1"/>
  </r>
  <r>
    <x v="538"/>
    <x v="0"/>
    <n v="1200"/>
    <n v="223"/>
    <n v="3670.16"/>
    <x v="0"/>
  </r>
  <r>
    <x v="538"/>
    <x v="1"/>
    <n v="1118"/>
    <n v="235"/>
    <n v="3925.05"/>
    <x v="1"/>
  </r>
  <r>
    <x v="539"/>
    <x v="0"/>
    <n v="1183"/>
    <n v="220"/>
    <n v="3239.05"/>
    <x v="0"/>
  </r>
  <r>
    <x v="539"/>
    <x v="1"/>
    <n v="1191"/>
    <n v="271"/>
    <n v="4106.25"/>
    <x v="1"/>
  </r>
  <r>
    <x v="540"/>
    <x v="0"/>
    <n v="1189"/>
    <n v="223"/>
    <n v="3335.83"/>
    <x v="0"/>
  </r>
  <r>
    <x v="540"/>
    <x v="1"/>
    <n v="1080"/>
    <n v="262"/>
    <n v="4343.53"/>
    <x v="1"/>
  </r>
  <r>
    <x v="541"/>
    <x v="0"/>
    <n v="1276"/>
    <n v="237"/>
    <n v="3650.2"/>
    <x v="0"/>
  </r>
  <r>
    <x v="541"/>
    <x v="1"/>
    <n v="1197"/>
    <n v="296"/>
    <n v="4795.67"/>
    <x v="1"/>
  </r>
  <r>
    <x v="542"/>
    <x v="0"/>
    <n v="1154"/>
    <n v="229"/>
    <n v="3872.98"/>
    <x v="0"/>
  </r>
  <r>
    <x v="542"/>
    <x v="1"/>
    <n v="1083"/>
    <n v="258"/>
    <n v="5327.53"/>
    <x v="1"/>
  </r>
  <r>
    <x v="543"/>
    <x v="0"/>
    <n v="1255"/>
    <n v="253"/>
    <n v="3736.75"/>
    <x v="0"/>
  </r>
  <r>
    <x v="543"/>
    <x v="1"/>
    <n v="1126"/>
    <n v="263"/>
    <n v="4026.05"/>
    <x v="1"/>
  </r>
  <r>
    <x v="544"/>
    <x v="0"/>
    <n v="1204"/>
    <n v="200"/>
    <n v="3411.51"/>
    <x v="0"/>
  </r>
  <r>
    <x v="544"/>
    <x v="1"/>
    <n v="1164"/>
    <n v="285"/>
    <n v="4845.96"/>
    <x v="1"/>
  </r>
  <r>
    <x v="545"/>
    <x v="0"/>
    <n v="1203"/>
    <n v="240"/>
    <n v="3580.85"/>
    <x v="0"/>
  </r>
  <r>
    <x v="545"/>
    <x v="1"/>
    <n v="1227"/>
    <n v="280"/>
    <n v="3693.63"/>
    <x v="1"/>
  </r>
  <r>
    <x v="546"/>
    <x v="0"/>
    <n v="1210"/>
    <n v="241"/>
    <n v="3490.83"/>
    <x v="0"/>
  </r>
  <r>
    <x v="546"/>
    <x v="1"/>
    <n v="1121"/>
    <n v="264"/>
    <n v="4187.2299999999996"/>
    <x v="1"/>
  </r>
  <r>
    <x v="547"/>
    <x v="0"/>
    <n v="1197"/>
    <n v="209"/>
    <n v="3197.53"/>
    <x v="0"/>
  </r>
  <r>
    <x v="547"/>
    <x v="1"/>
    <n v="1191"/>
    <n v="254"/>
    <n v="4113.7"/>
    <x v="1"/>
  </r>
  <r>
    <x v="548"/>
    <x v="0"/>
    <n v="1240"/>
    <n v="250"/>
    <n v="3989.75"/>
    <x v="0"/>
  </r>
  <r>
    <x v="548"/>
    <x v="1"/>
    <n v="1121"/>
    <n v="233"/>
    <n v="4067.69"/>
    <x v="1"/>
  </r>
  <r>
    <x v="549"/>
    <x v="0"/>
    <n v="1186"/>
    <n v="224"/>
    <n v="3304.32"/>
    <x v="0"/>
  </r>
  <r>
    <x v="549"/>
    <x v="1"/>
    <n v="1167"/>
    <n v="271"/>
    <n v="4221.43"/>
    <x v="1"/>
  </r>
  <r>
    <x v="550"/>
    <x v="0"/>
    <n v="1165"/>
    <n v="256"/>
    <n v="3394.93"/>
    <x v="0"/>
  </r>
  <r>
    <x v="550"/>
    <x v="1"/>
    <n v="1156"/>
    <n v="260"/>
    <n v="4154.3500000000004"/>
    <x v="1"/>
  </r>
  <r>
    <x v="551"/>
    <x v="0"/>
    <n v="1183"/>
    <n v="247"/>
    <n v="4097.53"/>
    <x v="0"/>
  </r>
  <r>
    <x v="551"/>
    <x v="1"/>
    <n v="1137"/>
    <n v="262"/>
    <n v="4702.18"/>
    <x v="1"/>
  </r>
  <r>
    <x v="552"/>
    <x v="0"/>
    <n v="1165"/>
    <n v="218"/>
    <n v="3509.66"/>
    <x v="0"/>
  </r>
  <r>
    <x v="552"/>
    <x v="1"/>
    <n v="1139"/>
    <n v="285"/>
    <n v="5586.82"/>
    <x v="1"/>
  </r>
  <r>
    <x v="553"/>
    <x v="0"/>
    <n v="1140"/>
    <n v="201"/>
    <n v="2934.34"/>
    <x v="0"/>
  </r>
  <r>
    <x v="553"/>
    <x v="1"/>
    <n v="1137"/>
    <n v="251"/>
    <n v="4200.49"/>
    <x v="1"/>
  </r>
  <r>
    <x v="554"/>
    <x v="0"/>
    <n v="1217"/>
    <n v="249"/>
    <n v="4011.9"/>
    <x v="0"/>
  </r>
  <r>
    <x v="554"/>
    <x v="1"/>
    <n v="1146"/>
    <n v="256"/>
    <n v="3793.26"/>
    <x v="1"/>
  </r>
  <r>
    <x v="555"/>
    <x v="0"/>
    <n v="1226"/>
    <n v="231"/>
    <n v="3534.05"/>
    <x v="0"/>
  </r>
  <r>
    <x v="555"/>
    <x v="1"/>
    <n v="1153"/>
    <n v="258"/>
    <n v="4525.71"/>
    <x v="1"/>
  </r>
  <r>
    <x v="556"/>
    <x v="0"/>
    <n v="1202"/>
    <n v="219"/>
    <n v="3208.22"/>
    <x v="0"/>
  </r>
  <r>
    <x v="556"/>
    <x v="1"/>
    <n v="1194"/>
    <n v="284"/>
    <n v="4770.8100000000004"/>
    <x v="1"/>
  </r>
  <r>
    <x v="557"/>
    <x v="0"/>
    <n v="1148"/>
    <n v="217"/>
    <n v="4029.59"/>
    <x v="0"/>
  </r>
  <r>
    <x v="557"/>
    <x v="1"/>
    <n v="1102"/>
    <n v="259"/>
    <n v="4150.97"/>
    <x v="1"/>
  </r>
  <r>
    <x v="558"/>
    <x v="0"/>
    <n v="1236"/>
    <n v="239"/>
    <n v="3080.22"/>
    <x v="0"/>
  </r>
  <r>
    <x v="558"/>
    <x v="1"/>
    <n v="1166"/>
    <n v="286"/>
    <n v="4429.03"/>
    <x v="1"/>
  </r>
  <r>
    <x v="559"/>
    <x v="0"/>
    <n v="1255"/>
    <n v="230"/>
    <n v="3795.4"/>
    <x v="0"/>
  </r>
  <r>
    <x v="559"/>
    <x v="1"/>
    <n v="1149"/>
    <n v="264"/>
    <n v="4569.54"/>
    <x v="1"/>
  </r>
  <r>
    <x v="560"/>
    <x v="0"/>
    <n v="1252"/>
    <n v="219"/>
    <n v="2861.99"/>
    <x v="0"/>
  </r>
  <r>
    <x v="560"/>
    <x v="1"/>
    <n v="1123"/>
    <n v="260"/>
    <n v="3879.94"/>
    <x v="1"/>
  </r>
  <r>
    <x v="561"/>
    <x v="0"/>
    <n v="1156"/>
    <n v="231"/>
    <n v="4043.67"/>
    <x v="0"/>
  </r>
  <r>
    <x v="561"/>
    <x v="1"/>
    <n v="1200"/>
    <n v="269"/>
    <n v="3884.89"/>
    <x v="1"/>
  </r>
  <r>
    <x v="562"/>
    <x v="0"/>
    <n v="1159"/>
    <n v="213"/>
    <n v="2625.92"/>
    <x v="0"/>
  </r>
  <r>
    <x v="562"/>
    <x v="1"/>
    <n v="1155"/>
    <n v="238"/>
    <n v="4152.6899999999996"/>
    <x v="1"/>
  </r>
  <r>
    <x v="563"/>
    <x v="0"/>
    <n v="1244"/>
    <n v="219"/>
    <n v="2640.93"/>
    <x v="0"/>
  </r>
  <r>
    <x v="563"/>
    <x v="1"/>
    <n v="1154"/>
    <n v="268"/>
    <n v="3611.16"/>
    <x v="1"/>
  </r>
  <r>
    <x v="564"/>
    <x v="0"/>
    <n v="1216"/>
    <n v="236"/>
    <n v="4282.8"/>
    <x v="0"/>
  </r>
  <r>
    <x v="564"/>
    <x v="1"/>
    <n v="1138"/>
    <n v="258"/>
    <n v="4363.6499999999996"/>
    <x v="1"/>
  </r>
  <r>
    <x v="565"/>
    <x v="0"/>
    <n v="1264"/>
    <n v="238"/>
    <n v="3978.36"/>
    <x v="0"/>
  </r>
  <r>
    <x v="565"/>
    <x v="1"/>
    <n v="1191"/>
    <n v="265"/>
    <n v="4533.3900000000003"/>
    <x v="1"/>
  </r>
  <r>
    <x v="566"/>
    <x v="0"/>
    <n v="1171"/>
    <n v="221"/>
    <n v="3194.59"/>
    <x v="0"/>
  </r>
  <r>
    <x v="566"/>
    <x v="1"/>
    <n v="1159"/>
    <n v="278"/>
    <n v="5133.95"/>
    <x v="1"/>
  </r>
  <r>
    <x v="567"/>
    <x v="0"/>
    <n v="1196"/>
    <n v="193"/>
    <n v="2981.19"/>
    <x v="0"/>
  </r>
  <r>
    <x v="567"/>
    <x v="1"/>
    <n v="1221"/>
    <n v="265"/>
    <n v="3604.85"/>
    <x v="1"/>
  </r>
  <r>
    <x v="568"/>
    <x v="0"/>
    <n v="1163"/>
    <n v="222"/>
    <n v="3418.09"/>
    <x v="0"/>
  </r>
  <r>
    <x v="568"/>
    <x v="1"/>
    <n v="1168"/>
    <n v="265"/>
    <n v="4235.13"/>
    <x v="1"/>
  </r>
  <r>
    <x v="569"/>
    <x v="0"/>
    <n v="1180"/>
    <n v="213"/>
    <n v="3304.13"/>
    <x v="0"/>
  </r>
  <r>
    <x v="569"/>
    <x v="1"/>
    <n v="1128"/>
    <n v="258"/>
    <n v="4743.75"/>
    <x v="1"/>
  </r>
  <r>
    <x v="570"/>
    <x v="0"/>
    <n v="1232"/>
    <n v="271"/>
    <n v="3876.82"/>
    <x v="0"/>
  </r>
  <r>
    <x v="570"/>
    <x v="1"/>
    <n v="1102"/>
    <n v="275"/>
    <n v="4823.9399999999996"/>
    <x v="1"/>
  </r>
  <r>
    <x v="571"/>
    <x v="0"/>
    <n v="1193"/>
    <n v="217"/>
    <n v="3135.74"/>
    <x v="0"/>
  </r>
  <r>
    <x v="571"/>
    <x v="1"/>
    <n v="1150"/>
    <n v="235"/>
    <n v="2725.42"/>
    <x v="1"/>
  </r>
  <r>
    <x v="572"/>
    <x v="0"/>
    <n v="1241"/>
    <n v="243"/>
    <n v="2851.84"/>
    <x v="0"/>
  </r>
  <r>
    <x v="572"/>
    <x v="1"/>
    <n v="1147"/>
    <n v="254"/>
    <n v="3604.29"/>
    <x v="1"/>
  </r>
  <r>
    <x v="573"/>
    <x v="0"/>
    <n v="1127"/>
    <n v="211"/>
    <n v="3740.28"/>
    <x v="0"/>
  </r>
  <r>
    <x v="573"/>
    <x v="1"/>
    <n v="1175"/>
    <n v="275"/>
    <n v="4233.01"/>
    <x v="1"/>
  </r>
  <r>
    <x v="574"/>
    <x v="0"/>
    <n v="1229"/>
    <n v="212"/>
    <n v="2715.2"/>
    <x v="0"/>
  </r>
  <r>
    <x v="574"/>
    <x v="1"/>
    <n v="1192"/>
    <n v="280"/>
    <n v="4441.99"/>
    <x v="1"/>
  </r>
  <r>
    <x v="575"/>
    <x v="0"/>
    <n v="1169"/>
    <n v="224"/>
    <n v="2952.87"/>
    <x v="0"/>
  </r>
  <r>
    <x v="575"/>
    <x v="1"/>
    <n v="1214"/>
    <n v="275"/>
    <n v="5326.49"/>
    <x v="1"/>
  </r>
  <r>
    <x v="576"/>
    <x v="0"/>
    <n v="1254"/>
    <n v="237"/>
    <n v="2924.25"/>
    <x v="0"/>
  </r>
  <r>
    <x v="576"/>
    <x v="1"/>
    <n v="1160"/>
    <n v="251"/>
    <n v="2922.66"/>
    <x v="1"/>
  </r>
  <r>
    <x v="577"/>
    <x v="0"/>
    <n v="1255"/>
    <n v="230"/>
    <n v="2800.91"/>
    <x v="0"/>
  </r>
  <r>
    <x v="577"/>
    <x v="1"/>
    <n v="1204"/>
    <n v="254"/>
    <n v="4472"/>
    <x v="1"/>
  </r>
  <r>
    <x v="578"/>
    <x v="0"/>
    <n v="1287"/>
    <n v="258"/>
    <n v="3257.11"/>
    <x v="0"/>
  </r>
  <r>
    <x v="578"/>
    <x v="1"/>
    <n v="1157"/>
    <n v="285"/>
    <n v="4333.53"/>
    <x v="1"/>
  </r>
  <r>
    <x v="579"/>
    <x v="0"/>
    <n v="1212"/>
    <n v="243"/>
    <n v="3389.11"/>
    <x v="0"/>
  </r>
  <r>
    <x v="579"/>
    <x v="1"/>
    <n v="1178"/>
    <n v="265"/>
    <n v="3962.5"/>
    <x v="1"/>
  </r>
  <r>
    <x v="580"/>
    <x v="0"/>
    <n v="1182"/>
    <n v="198"/>
    <n v="2744.16"/>
    <x v="0"/>
  </r>
  <r>
    <x v="580"/>
    <x v="1"/>
    <n v="1110"/>
    <n v="250"/>
    <n v="3410.45"/>
    <x v="1"/>
  </r>
  <r>
    <x v="581"/>
    <x v="0"/>
    <n v="1264"/>
    <n v="236"/>
    <n v="3175.99"/>
    <x v="0"/>
  </r>
  <r>
    <x v="581"/>
    <x v="1"/>
    <n v="1122"/>
    <n v="242"/>
    <n v="3013.4"/>
    <x v="1"/>
  </r>
  <r>
    <x v="582"/>
    <x v="0"/>
    <n v="1175"/>
    <n v="212"/>
    <n v="3155.81"/>
    <x v="0"/>
  </r>
  <r>
    <x v="582"/>
    <x v="1"/>
    <n v="1142"/>
    <n v="265"/>
    <n v="4867.51"/>
    <x v="1"/>
  </r>
  <r>
    <x v="583"/>
    <x v="0"/>
    <n v="1178"/>
    <n v="216"/>
    <n v="2656.9"/>
    <x v="0"/>
  </r>
  <r>
    <x v="583"/>
    <x v="1"/>
    <n v="1215"/>
    <n v="272"/>
    <n v="5313.88"/>
    <x v="1"/>
  </r>
  <r>
    <x v="584"/>
    <x v="0"/>
    <n v="1211"/>
    <n v="229"/>
    <n v="3882.03"/>
    <x v="0"/>
  </r>
  <r>
    <x v="584"/>
    <x v="1"/>
    <n v="1132"/>
    <n v="274"/>
    <n v="5150.92"/>
    <x v="1"/>
  </r>
  <r>
    <x v="585"/>
    <x v="0"/>
    <n v="1276"/>
    <n v="234"/>
    <n v="2589.29"/>
    <x v="0"/>
  </r>
  <r>
    <x v="585"/>
    <x v="1"/>
    <n v="1184"/>
    <n v="246"/>
    <n v="3925.55"/>
    <x v="1"/>
  </r>
  <r>
    <x v="586"/>
    <x v="0"/>
    <n v="1206"/>
    <n v="229"/>
    <n v="3357.21"/>
    <x v="0"/>
  </r>
  <r>
    <x v="586"/>
    <x v="1"/>
    <n v="1145"/>
    <n v="269"/>
    <n v="5184.57"/>
    <x v="1"/>
  </r>
  <r>
    <x v="587"/>
    <x v="0"/>
    <n v="1204"/>
    <n v="239"/>
    <n v="3649.13"/>
    <x v="0"/>
  </r>
  <r>
    <x v="587"/>
    <x v="1"/>
    <n v="1130"/>
    <n v="270"/>
    <n v="4551.3"/>
    <x v="1"/>
  </r>
  <r>
    <x v="588"/>
    <x v="0"/>
    <n v="1216"/>
    <n v="223"/>
    <n v="3287.67"/>
    <x v="0"/>
  </r>
  <r>
    <x v="588"/>
    <x v="1"/>
    <n v="1154"/>
    <n v="261"/>
    <n v="3835.83"/>
    <x v="1"/>
  </r>
  <r>
    <x v="589"/>
    <x v="0"/>
    <n v="1166"/>
    <n v="194"/>
    <n v="2722.36"/>
    <x v="0"/>
  </r>
  <r>
    <x v="589"/>
    <x v="1"/>
    <n v="1143"/>
    <n v="269"/>
    <n v="4756.88"/>
    <x v="1"/>
  </r>
  <r>
    <x v="590"/>
    <x v="0"/>
    <n v="1276"/>
    <n v="250"/>
    <n v="3817.78"/>
    <x v="0"/>
  </r>
  <r>
    <x v="590"/>
    <x v="1"/>
    <n v="1167"/>
    <n v="265"/>
    <n v="4626.1099999999997"/>
    <x v="1"/>
  </r>
  <r>
    <x v="591"/>
    <x v="0"/>
    <n v="1108"/>
    <n v="219"/>
    <n v="2742.07"/>
    <x v="0"/>
  </r>
  <r>
    <x v="591"/>
    <x v="1"/>
    <n v="1153"/>
    <n v="269"/>
    <n v="3495.46"/>
    <x v="1"/>
  </r>
  <r>
    <x v="592"/>
    <x v="0"/>
    <n v="1174"/>
    <n v="229"/>
    <n v="3947.33"/>
    <x v="0"/>
  </r>
  <r>
    <x v="592"/>
    <x v="1"/>
    <n v="1123"/>
    <n v="252"/>
    <n v="4038.57"/>
    <x v="1"/>
  </r>
  <r>
    <x v="593"/>
    <x v="0"/>
    <n v="1205"/>
    <n v="241"/>
    <n v="3106.18"/>
    <x v="0"/>
  </r>
  <r>
    <x v="593"/>
    <x v="1"/>
    <n v="1166"/>
    <n v="277"/>
    <n v="4236.0600000000004"/>
    <x v="1"/>
  </r>
  <r>
    <x v="594"/>
    <x v="0"/>
    <n v="1195"/>
    <n v="226"/>
    <n v="4310.21"/>
    <x v="0"/>
  </r>
  <r>
    <x v="594"/>
    <x v="1"/>
    <n v="1180"/>
    <n v="295"/>
    <n v="4996.7"/>
    <x v="1"/>
  </r>
  <r>
    <x v="595"/>
    <x v="0"/>
    <n v="1266"/>
    <n v="229"/>
    <n v="3405.88"/>
    <x v="0"/>
  </r>
  <r>
    <x v="595"/>
    <x v="1"/>
    <n v="1196"/>
    <n v="241"/>
    <n v="3156.65"/>
    <x v="1"/>
  </r>
  <r>
    <x v="596"/>
    <x v="0"/>
    <n v="1199"/>
    <n v="231"/>
    <n v="3479.55"/>
    <x v="0"/>
  </r>
  <r>
    <x v="596"/>
    <x v="1"/>
    <n v="1168"/>
    <n v="257"/>
    <n v="4466.7"/>
    <x v="1"/>
  </r>
  <r>
    <x v="597"/>
    <x v="0"/>
    <n v="1160"/>
    <n v="224"/>
    <n v="3060.67"/>
    <x v="0"/>
  </r>
  <r>
    <x v="597"/>
    <x v="1"/>
    <n v="1150"/>
    <n v="271"/>
    <n v="4440.8100000000004"/>
    <x v="1"/>
  </r>
  <r>
    <x v="598"/>
    <x v="0"/>
    <n v="1206"/>
    <n v="223"/>
    <n v="3057.62"/>
    <x v="0"/>
  </r>
  <r>
    <x v="598"/>
    <x v="1"/>
    <n v="1165"/>
    <n v="278"/>
    <n v="2925.04"/>
    <x v="1"/>
  </r>
  <r>
    <x v="599"/>
    <x v="0"/>
    <n v="1180"/>
    <n v="204"/>
    <n v="2752.42"/>
    <x v="0"/>
  </r>
  <r>
    <x v="599"/>
    <x v="1"/>
    <n v="1136"/>
    <n v="270"/>
    <n v="4526.63"/>
    <x v="1"/>
  </r>
  <r>
    <x v="600"/>
    <x v="0"/>
    <n v="1172"/>
    <n v="217"/>
    <n v="3304.21"/>
    <x v="0"/>
  </r>
  <r>
    <x v="600"/>
    <x v="1"/>
    <n v="1125"/>
    <n v="252"/>
    <n v="4263.33"/>
    <x v="1"/>
  </r>
  <r>
    <x v="601"/>
    <x v="0"/>
    <n v="1247"/>
    <n v="249"/>
    <n v="4182.54"/>
    <x v="0"/>
  </r>
  <r>
    <x v="601"/>
    <x v="1"/>
    <n v="1183"/>
    <n v="296"/>
    <n v="4758.32"/>
    <x v="1"/>
  </r>
  <r>
    <x v="602"/>
    <x v="0"/>
    <n v="1203"/>
    <n v="232"/>
    <n v="3401.87"/>
    <x v="0"/>
  </r>
  <r>
    <x v="602"/>
    <x v="1"/>
    <n v="1132"/>
    <n v="259"/>
    <n v="3975.13"/>
    <x v="1"/>
  </r>
  <r>
    <x v="603"/>
    <x v="0"/>
    <n v="1217"/>
    <n v="231"/>
    <n v="3616.45"/>
    <x v="0"/>
  </r>
  <r>
    <x v="603"/>
    <x v="1"/>
    <n v="1167"/>
    <n v="264"/>
    <n v="4726.91"/>
    <x v="1"/>
  </r>
  <r>
    <x v="604"/>
    <x v="0"/>
    <n v="1266"/>
    <n v="234"/>
    <n v="4485.6499999999996"/>
    <x v="0"/>
  </r>
  <r>
    <x v="604"/>
    <x v="1"/>
    <n v="1178"/>
    <n v="259"/>
    <n v="3621.9"/>
    <x v="1"/>
  </r>
  <r>
    <x v="605"/>
    <x v="0"/>
    <n v="1202"/>
    <n v="226"/>
    <n v="3115.38"/>
    <x v="0"/>
  </r>
  <r>
    <x v="605"/>
    <x v="1"/>
    <n v="1163"/>
    <n v="251"/>
    <n v="4803.2299999999996"/>
    <x v="1"/>
  </r>
  <r>
    <x v="606"/>
    <x v="0"/>
    <n v="1243"/>
    <n v="240"/>
    <n v="4084.93"/>
    <x v="0"/>
  </r>
  <r>
    <x v="606"/>
    <x v="1"/>
    <n v="1138"/>
    <n v="252"/>
    <n v="4009.64"/>
    <x v="1"/>
  </r>
  <r>
    <x v="607"/>
    <x v="0"/>
    <n v="1168"/>
    <n v="221"/>
    <n v="3621.71"/>
    <x v="0"/>
  </r>
  <r>
    <x v="607"/>
    <x v="1"/>
    <n v="1159"/>
    <n v="270"/>
    <n v="4706.96"/>
    <x v="1"/>
  </r>
  <r>
    <x v="608"/>
    <x v="0"/>
    <n v="1206"/>
    <n v="245"/>
    <n v="3763.01"/>
    <x v="0"/>
  </r>
  <r>
    <x v="608"/>
    <x v="1"/>
    <n v="1106"/>
    <n v="226"/>
    <n v="4224.01"/>
    <x v="1"/>
  </r>
  <r>
    <x v="609"/>
    <x v="0"/>
    <n v="1187"/>
    <n v="243"/>
    <n v="3370.8"/>
    <x v="0"/>
  </r>
  <r>
    <x v="609"/>
    <x v="1"/>
    <n v="1139"/>
    <n v="276"/>
    <n v="3591.29"/>
    <x v="1"/>
  </r>
  <r>
    <x v="610"/>
    <x v="0"/>
    <n v="1176"/>
    <n v="213"/>
    <n v="3923.9"/>
    <x v="0"/>
  </r>
  <r>
    <x v="610"/>
    <x v="1"/>
    <n v="1217"/>
    <n v="241"/>
    <n v="4108.55"/>
    <x v="1"/>
  </r>
  <r>
    <x v="611"/>
    <x v="0"/>
    <n v="1155"/>
    <n v="233"/>
    <n v="3446.09"/>
    <x v="0"/>
  </r>
  <r>
    <x v="611"/>
    <x v="1"/>
    <n v="1069"/>
    <n v="247"/>
    <n v="4254.72"/>
    <x v="1"/>
  </r>
  <r>
    <x v="612"/>
    <x v="0"/>
    <n v="1211"/>
    <n v="207"/>
    <n v="3141.02"/>
    <x v="0"/>
  </r>
  <r>
    <x v="612"/>
    <x v="1"/>
    <n v="1128"/>
    <n v="244"/>
    <n v="3398.36"/>
    <x v="1"/>
  </r>
  <r>
    <x v="613"/>
    <x v="0"/>
    <n v="1175"/>
    <n v="222"/>
    <n v="3137.36"/>
    <x v="0"/>
  </r>
  <r>
    <x v="613"/>
    <x v="1"/>
    <n v="1125"/>
    <n v="234"/>
    <n v="4549.97"/>
    <x v="1"/>
  </r>
  <r>
    <x v="614"/>
    <x v="0"/>
    <n v="1234"/>
    <n v="232"/>
    <n v="2455.36"/>
    <x v="0"/>
  </r>
  <r>
    <x v="614"/>
    <x v="1"/>
    <n v="1132"/>
    <n v="286"/>
    <n v="4444.1000000000004"/>
    <x v="1"/>
  </r>
  <r>
    <x v="615"/>
    <x v="0"/>
    <n v="1193"/>
    <n v="236"/>
    <n v="3813.45"/>
    <x v="0"/>
  </r>
  <r>
    <x v="615"/>
    <x v="1"/>
    <n v="1157"/>
    <n v="255"/>
    <n v="4800.13"/>
    <x v="1"/>
  </r>
  <r>
    <x v="616"/>
    <x v="0"/>
    <n v="1168"/>
    <n v="236"/>
    <n v="3358.81"/>
    <x v="0"/>
  </r>
  <r>
    <x v="616"/>
    <x v="1"/>
    <n v="1100"/>
    <n v="233"/>
    <n v="3822.26"/>
    <x v="1"/>
  </r>
  <r>
    <x v="617"/>
    <x v="0"/>
    <n v="1160"/>
    <n v="218"/>
    <n v="3184.64"/>
    <x v="0"/>
  </r>
  <r>
    <x v="617"/>
    <x v="1"/>
    <n v="1127"/>
    <n v="236"/>
    <n v="3284.05"/>
    <x v="1"/>
  </r>
  <r>
    <x v="618"/>
    <x v="0"/>
    <n v="1238"/>
    <n v="236"/>
    <n v="3553.89"/>
    <x v="0"/>
  </r>
  <r>
    <x v="618"/>
    <x v="1"/>
    <n v="1130"/>
    <n v="236"/>
    <n v="4019.86"/>
    <x v="1"/>
  </r>
  <r>
    <x v="619"/>
    <x v="0"/>
    <n v="1194"/>
    <n v="223"/>
    <n v="4187.24"/>
    <x v="0"/>
  </r>
  <r>
    <x v="619"/>
    <x v="1"/>
    <n v="1086"/>
    <n v="239"/>
    <n v="3745.49"/>
    <x v="1"/>
  </r>
  <r>
    <x v="620"/>
    <x v="0"/>
    <n v="1165"/>
    <n v="208"/>
    <n v="3132.14"/>
    <x v="0"/>
  </r>
  <r>
    <x v="620"/>
    <x v="1"/>
    <n v="1135"/>
    <n v="256"/>
    <n v="4453.3599999999997"/>
    <x v="1"/>
  </r>
  <r>
    <x v="621"/>
    <x v="0"/>
    <n v="1216"/>
    <n v="198"/>
    <n v="2927.64"/>
    <x v="0"/>
  </r>
  <r>
    <x v="621"/>
    <x v="1"/>
    <n v="1151"/>
    <n v="270"/>
    <n v="5368.81"/>
    <x v="1"/>
  </r>
  <r>
    <x v="622"/>
    <x v="0"/>
    <n v="1221"/>
    <n v="244"/>
    <n v="5171.97"/>
    <x v="0"/>
  </r>
  <r>
    <x v="622"/>
    <x v="1"/>
    <n v="1113"/>
    <n v="284"/>
    <n v="4397.3599999999997"/>
    <x v="1"/>
  </r>
  <r>
    <x v="623"/>
    <x v="0"/>
    <n v="1167"/>
    <n v="221"/>
    <n v="2296.54"/>
    <x v="0"/>
  </r>
  <r>
    <x v="623"/>
    <x v="1"/>
    <n v="1149"/>
    <n v="247"/>
    <n v="3773.66"/>
    <x v="1"/>
  </r>
  <r>
    <x v="624"/>
    <x v="0"/>
    <n v="1218"/>
    <n v="219"/>
    <n v="2218.33"/>
    <x v="0"/>
  </r>
  <r>
    <x v="624"/>
    <x v="1"/>
    <n v="1159"/>
    <n v="279"/>
    <n v="4845.76"/>
    <x v="1"/>
  </r>
  <r>
    <x v="625"/>
    <x v="0"/>
    <n v="1219"/>
    <n v="209"/>
    <n v="2885.5"/>
    <x v="0"/>
  </r>
  <r>
    <x v="625"/>
    <x v="1"/>
    <n v="1165"/>
    <n v="278"/>
    <n v="3516.99"/>
    <x v="1"/>
  </r>
  <r>
    <x v="626"/>
    <x v="0"/>
    <n v="1161"/>
    <n v="203"/>
    <n v="3119.83"/>
    <x v="0"/>
  </r>
  <r>
    <x v="626"/>
    <x v="1"/>
    <n v="1157"/>
    <n v="275"/>
    <n v="4168.9799999999996"/>
    <x v="1"/>
  </r>
  <r>
    <x v="627"/>
    <x v="0"/>
    <n v="1163"/>
    <n v="227"/>
    <n v="3732.33"/>
    <x v="0"/>
  </r>
  <r>
    <x v="627"/>
    <x v="1"/>
    <n v="1149"/>
    <n v="272"/>
    <n v="4055.42"/>
    <x v="1"/>
  </r>
  <r>
    <x v="628"/>
    <x v="0"/>
    <n v="1143"/>
    <n v="207"/>
    <n v="2533.02"/>
    <x v="0"/>
  </r>
  <r>
    <x v="628"/>
    <x v="1"/>
    <n v="1147"/>
    <n v="260"/>
    <n v="3224.93"/>
    <x v="1"/>
  </r>
  <r>
    <x v="629"/>
    <x v="0"/>
    <n v="1217"/>
    <n v="231"/>
    <n v="3203.18"/>
    <x v="0"/>
  </r>
  <r>
    <x v="629"/>
    <x v="1"/>
    <n v="1119"/>
    <n v="265"/>
    <n v="3922.09"/>
    <x v="1"/>
  </r>
  <r>
    <x v="630"/>
    <x v="0"/>
    <n v="1214"/>
    <n v="218"/>
    <n v="3824.18"/>
    <x v="0"/>
  </r>
  <r>
    <x v="630"/>
    <x v="1"/>
    <n v="1155"/>
    <n v="289"/>
    <n v="4057.52"/>
    <x v="1"/>
  </r>
  <r>
    <x v="631"/>
    <x v="0"/>
    <n v="1203"/>
    <n v="223"/>
    <n v="2685.47"/>
    <x v="0"/>
  </r>
  <r>
    <x v="631"/>
    <x v="1"/>
    <n v="1121"/>
    <n v="268"/>
    <n v="5184.33"/>
    <x v="1"/>
  </r>
  <r>
    <x v="632"/>
    <x v="0"/>
    <n v="1257"/>
    <n v="244"/>
    <n v="3880.07"/>
    <x v="0"/>
  </r>
  <r>
    <x v="632"/>
    <x v="1"/>
    <n v="1161"/>
    <n v="273"/>
    <n v="4917.67"/>
    <x v="1"/>
  </r>
  <r>
    <x v="633"/>
    <x v="0"/>
    <n v="1245"/>
    <n v="239"/>
    <n v="3512.36"/>
    <x v="0"/>
  </r>
  <r>
    <x v="633"/>
    <x v="1"/>
    <n v="1134"/>
    <n v="266"/>
    <n v="4820"/>
    <x v="1"/>
  </r>
  <r>
    <x v="634"/>
    <x v="0"/>
    <n v="1190"/>
    <n v="218"/>
    <n v="3818.32"/>
    <x v="0"/>
  </r>
  <r>
    <x v="634"/>
    <x v="1"/>
    <n v="1101"/>
    <n v="252"/>
    <n v="4236.6499999999996"/>
    <x v="1"/>
  </r>
  <r>
    <x v="635"/>
    <x v="0"/>
    <n v="1243"/>
    <n v="216"/>
    <n v="3519.02"/>
    <x v="0"/>
  </r>
  <r>
    <x v="635"/>
    <x v="1"/>
    <n v="1154"/>
    <n v="267"/>
    <n v="3685.11"/>
    <x v="1"/>
  </r>
  <r>
    <x v="636"/>
    <x v="0"/>
    <n v="1206"/>
    <n v="237"/>
    <n v="3873.71"/>
    <x v="0"/>
  </r>
  <r>
    <x v="636"/>
    <x v="1"/>
    <n v="1161"/>
    <n v="272"/>
    <n v="4442.66"/>
    <x v="1"/>
  </r>
  <r>
    <x v="637"/>
    <x v="0"/>
    <n v="1231"/>
    <n v="236"/>
    <n v="4329.8599999999997"/>
    <x v="0"/>
  </r>
  <r>
    <x v="637"/>
    <x v="1"/>
    <n v="1136"/>
    <n v="271"/>
    <n v="4575.43"/>
    <x v="1"/>
  </r>
  <r>
    <x v="638"/>
    <x v="0"/>
    <n v="1214"/>
    <n v="230"/>
    <n v="3450.51"/>
    <x v="0"/>
  </r>
  <r>
    <x v="638"/>
    <x v="1"/>
    <n v="1188"/>
    <n v="279"/>
    <n v="3602.21"/>
    <x v="1"/>
  </r>
  <r>
    <x v="639"/>
    <x v="0"/>
    <n v="1166"/>
    <n v="219"/>
    <n v="2971.14"/>
    <x v="0"/>
  </r>
  <r>
    <x v="639"/>
    <x v="1"/>
    <n v="1187"/>
    <n v="238"/>
    <n v="4193.37"/>
    <x v="1"/>
  </r>
  <r>
    <x v="640"/>
    <x v="0"/>
    <n v="1216"/>
    <n v="245"/>
    <n v="3692.1"/>
    <x v="0"/>
  </r>
  <r>
    <x v="640"/>
    <x v="1"/>
    <n v="1153"/>
    <n v="254"/>
    <n v="3365.24"/>
    <x v="1"/>
  </r>
  <r>
    <x v="641"/>
    <x v="0"/>
    <n v="1151"/>
    <n v="215"/>
    <n v="3519.92"/>
    <x v="0"/>
  </r>
  <r>
    <x v="641"/>
    <x v="1"/>
    <n v="1109"/>
    <n v="251"/>
    <n v="2934.83"/>
    <x v="1"/>
  </r>
  <r>
    <x v="642"/>
    <x v="0"/>
    <n v="1208"/>
    <n v="208"/>
    <n v="3948.41"/>
    <x v="0"/>
  </r>
  <r>
    <x v="642"/>
    <x v="1"/>
    <n v="1142"/>
    <n v="282"/>
    <n v="4733.6000000000004"/>
    <x v="1"/>
  </r>
  <r>
    <x v="643"/>
    <x v="0"/>
    <n v="1166"/>
    <n v="200"/>
    <n v="2600.6799999999998"/>
    <x v="0"/>
  </r>
  <r>
    <x v="643"/>
    <x v="1"/>
    <n v="1158"/>
    <n v="261"/>
    <n v="4446.8100000000004"/>
    <x v="1"/>
  </r>
  <r>
    <x v="644"/>
    <x v="0"/>
    <n v="1165"/>
    <n v="229"/>
    <n v="3003.54"/>
    <x v="0"/>
  </r>
  <r>
    <x v="644"/>
    <x v="1"/>
    <n v="1202"/>
    <n v="274"/>
    <n v="4083.7"/>
    <x v="1"/>
  </r>
  <r>
    <x v="645"/>
    <x v="0"/>
    <n v="1182"/>
    <n v="256"/>
    <n v="3942.2"/>
    <x v="0"/>
  </r>
  <r>
    <x v="645"/>
    <x v="1"/>
    <n v="1111"/>
    <n v="259"/>
    <n v="4710.79"/>
    <x v="1"/>
  </r>
  <r>
    <x v="646"/>
    <x v="0"/>
    <n v="1250"/>
    <n v="241"/>
    <n v="3461.84"/>
    <x v="0"/>
  </r>
  <r>
    <x v="646"/>
    <x v="1"/>
    <n v="1133"/>
    <n v="262"/>
    <n v="4253.09"/>
    <x v="1"/>
  </r>
  <r>
    <x v="647"/>
    <x v="0"/>
    <n v="1195"/>
    <n v="238"/>
    <n v="3809.19"/>
    <x v="0"/>
  </r>
  <r>
    <x v="647"/>
    <x v="1"/>
    <n v="1151"/>
    <n v="261"/>
    <n v="3711.03"/>
    <x v="1"/>
  </r>
  <r>
    <x v="648"/>
    <x v="0"/>
    <n v="1137"/>
    <n v="198"/>
    <n v="3294.81"/>
    <x v="0"/>
  </r>
  <r>
    <x v="648"/>
    <x v="1"/>
    <n v="1172"/>
    <n v="271"/>
    <n v="4778.9799999999996"/>
    <x v="1"/>
  </r>
  <r>
    <x v="649"/>
    <x v="0"/>
    <n v="1230"/>
    <n v="240"/>
    <n v="4261.05"/>
    <x v="0"/>
  </r>
  <r>
    <x v="649"/>
    <x v="1"/>
    <n v="1194"/>
    <n v="269"/>
    <n v="4852.78"/>
    <x v="1"/>
  </r>
  <r>
    <x v="650"/>
    <x v="0"/>
    <n v="1248"/>
    <n v="243"/>
    <n v="3668.97"/>
    <x v="0"/>
  </r>
  <r>
    <x v="650"/>
    <x v="1"/>
    <n v="1161"/>
    <n v="250"/>
    <n v="4361.22"/>
    <x v="1"/>
  </r>
  <r>
    <x v="651"/>
    <x v="0"/>
    <n v="1226"/>
    <n v="223"/>
    <n v="3602.1"/>
    <x v="0"/>
  </r>
  <r>
    <x v="651"/>
    <x v="1"/>
    <n v="1216"/>
    <n v="277"/>
    <n v="3596.26"/>
    <x v="1"/>
  </r>
  <r>
    <x v="652"/>
    <x v="0"/>
    <n v="1184"/>
    <n v="200"/>
    <n v="3619.46"/>
    <x v="0"/>
  </r>
  <r>
    <x v="652"/>
    <x v="1"/>
    <n v="1154"/>
    <n v="256"/>
    <n v="4259.95"/>
    <x v="1"/>
  </r>
  <r>
    <x v="653"/>
    <x v="0"/>
    <n v="1172"/>
    <n v="201"/>
    <n v="3121.23"/>
    <x v="0"/>
  </r>
  <r>
    <x v="653"/>
    <x v="1"/>
    <n v="1155"/>
    <n v="245"/>
    <n v="3900.24"/>
    <x v="1"/>
  </r>
  <r>
    <x v="654"/>
    <x v="0"/>
    <n v="1253"/>
    <n v="231"/>
    <n v="3498.33"/>
    <x v="0"/>
  </r>
  <r>
    <x v="654"/>
    <x v="1"/>
    <n v="1153"/>
    <n v="243"/>
    <n v="4246.78"/>
    <x v="1"/>
  </r>
  <r>
    <x v="655"/>
    <x v="0"/>
    <n v="1143"/>
    <n v="241"/>
    <n v="3331.65"/>
    <x v="0"/>
  </r>
  <r>
    <x v="655"/>
    <x v="1"/>
    <n v="1160"/>
    <n v="256"/>
    <n v="4214.07"/>
    <x v="1"/>
  </r>
  <r>
    <x v="656"/>
    <x v="0"/>
    <n v="1196"/>
    <n v="214"/>
    <n v="3655.53"/>
    <x v="0"/>
  </r>
  <r>
    <x v="656"/>
    <x v="1"/>
    <n v="1111"/>
    <n v="249"/>
    <n v="3353.9"/>
    <x v="1"/>
  </r>
  <r>
    <x v="657"/>
    <x v="0"/>
    <n v="1173"/>
    <n v="211"/>
    <n v="3116.69"/>
    <x v="0"/>
  </r>
  <r>
    <x v="657"/>
    <x v="1"/>
    <n v="1161"/>
    <n v="264"/>
    <n v="4302.0200000000004"/>
    <x v="1"/>
  </r>
  <r>
    <x v="658"/>
    <x v="0"/>
    <n v="1216"/>
    <n v="233"/>
    <n v="3635.71"/>
    <x v="0"/>
  </r>
  <r>
    <x v="658"/>
    <x v="1"/>
    <n v="1150"/>
    <n v="266"/>
    <n v="3964.78"/>
    <x v="1"/>
  </r>
  <r>
    <x v="659"/>
    <x v="0"/>
    <n v="1183"/>
    <n v="217"/>
    <n v="3274.02"/>
    <x v="0"/>
  </r>
  <r>
    <x v="659"/>
    <x v="1"/>
    <n v="1146"/>
    <n v="281"/>
    <n v="5033.16"/>
    <x v="1"/>
  </r>
  <r>
    <x v="660"/>
    <x v="0"/>
    <n v="1274"/>
    <n v="231"/>
    <n v="3494.41"/>
    <x v="0"/>
  </r>
  <r>
    <x v="660"/>
    <x v="1"/>
    <n v="1155"/>
    <n v="265"/>
    <n v="4042.96"/>
    <x v="1"/>
  </r>
  <r>
    <x v="661"/>
    <x v="0"/>
    <n v="1224"/>
    <n v="193"/>
    <n v="2596.61"/>
    <x v="0"/>
  </r>
  <r>
    <x v="661"/>
    <x v="1"/>
    <n v="1059"/>
    <n v="278"/>
    <n v="3963.88"/>
    <x v="1"/>
  </r>
  <r>
    <x v="662"/>
    <x v="0"/>
    <n v="1152"/>
    <n v="229"/>
    <n v="3362.39"/>
    <x v="0"/>
  </r>
  <r>
    <x v="662"/>
    <x v="1"/>
    <n v="1122"/>
    <n v="243"/>
    <n v="3441.84"/>
    <x v="1"/>
  </r>
  <r>
    <x v="663"/>
    <x v="0"/>
    <n v="1254"/>
    <n v="242"/>
    <n v="4394.45"/>
    <x v="0"/>
  </r>
  <r>
    <x v="663"/>
    <x v="1"/>
    <n v="1145"/>
    <n v="228"/>
    <n v="3369.04"/>
    <x v="1"/>
  </r>
  <r>
    <x v="664"/>
    <x v="0"/>
    <n v="1206"/>
    <n v="226"/>
    <n v="3542.54"/>
    <x v="0"/>
  </r>
  <r>
    <x v="664"/>
    <x v="1"/>
    <n v="1111"/>
    <n v="261"/>
    <n v="4038.55"/>
    <x v="1"/>
  </r>
  <r>
    <x v="665"/>
    <x v="0"/>
    <n v="1188"/>
    <n v="236"/>
    <n v="3511.16"/>
    <x v="0"/>
  </r>
  <r>
    <x v="665"/>
    <x v="1"/>
    <n v="1185"/>
    <n v="280"/>
    <n v="4060.67"/>
    <x v="1"/>
  </r>
  <r>
    <x v="666"/>
    <x v="0"/>
    <n v="1152"/>
    <n v="213"/>
    <n v="2907.97"/>
    <x v="0"/>
  </r>
  <r>
    <x v="666"/>
    <x v="1"/>
    <n v="1150"/>
    <n v="275"/>
    <n v="4926.6499999999996"/>
    <x v="1"/>
  </r>
  <r>
    <x v="667"/>
    <x v="0"/>
    <n v="1156"/>
    <n v="216"/>
    <n v="3001.42"/>
    <x v="0"/>
  </r>
  <r>
    <x v="667"/>
    <x v="1"/>
    <n v="1136"/>
    <n v="271"/>
    <n v="3741.35"/>
    <x v="1"/>
  </r>
  <r>
    <x v="668"/>
    <x v="0"/>
    <n v="1270"/>
    <n v="249"/>
    <n v="3156.29"/>
    <x v="0"/>
  </r>
  <r>
    <x v="668"/>
    <x v="1"/>
    <n v="1164"/>
    <n v="257"/>
    <n v="4925.21"/>
    <x v="1"/>
  </r>
  <r>
    <x v="669"/>
    <x v="0"/>
    <n v="1205"/>
    <n v="212"/>
    <n v="2977.94"/>
    <x v="0"/>
  </r>
  <r>
    <x v="669"/>
    <x v="1"/>
    <n v="1132"/>
    <n v="252"/>
    <n v="3374.49"/>
    <x v="1"/>
  </r>
  <r>
    <x v="670"/>
    <x v="0"/>
    <n v="1233"/>
    <n v="232"/>
    <n v="3439.59"/>
    <x v="0"/>
  </r>
  <r>
    <x v="670"/>
    <x v="1"/>
    <n v="1125"/>
    <n v="276"/>
    <n v="5453.69"/>
    <x v="1"/>
  </r>
  <r>
    <x v="671"/>
    <x v="0"/>
    <n v="1176"/>
    <n v="199"/>
    <n v="3100.9"/>
    <x v="0"/>
  </r>
  <r>
    <x v="671"/>
    <x v="1"/>
    <n v="1140"/>
    <n v="280"/>
    <n v="4276.3999999999996"/>
    <x v="1"/>
  </r>
  <r>
    <x v="672"/>
    <x v="0"/>
    <n v="1204"/>
    <n v="222"/>
    <n v="2994.36"/>
    <x v="0"/>
  </r>
  <r>
    <x v="672"/>
    <x v="1"/>
    <n v="1102"/>
    <n v="261"/>
    <n v="4364.1499999999996"/>
    <x v="1"/>
  </r>
  <r>
    <x v="673"/>
    <x v="0"/>
    <n v="1164"/>
    <n v="186"/>
    <n v="2564.9699999999998"/>
    <x v="0"/>
  </r>
  <r>
    <x v="673"/>
    <x v="1"/>
    <n v="1185"/>
    <n v="288"/>
    <n v="4894.7299999999996"/>
    <x v="1"/>
  </r>
  <r>
    <x v="674"/>
    <x v="0"/>
    <n v="1175"/>
    <n v="228"/>
    <n v="3243.84"/>
    <x v="0"/>
  </r>
  <r>
    <x v="674"/>
    <x v="1"/>
    <n v="1137"/>
    <n v="283"/>
    <n v="3279.8"/>
    <x v="1"/>
  </r>
  <r>
    <x v="675"/>
    <x v="0"/>
    <n v="1188"/>
    <n v="231"/>
    <n v="3392.08"/>
    <x v="0"/>
  </r>
  <r>
    <x v="675"/>
    <x v="1"/>
    <n v="1227"/>
    <n v="306"/>
    <n v="5084.67"/>
    <x v="1"/>
  </r>
  <r>
    <x v="676"/>
    <x v="0"/>
    <n v="1251"/>
    <n v="242"/>
    <n v="3454.62"/>
    <x v="0"/>
  </r>
  <r>
    <x v="676"/>
    <x v="1"/>
    <n v="1106"/>
    <n v="278"/>
    <n v="4860.45"/>
    <x v="1"/>
  </r>
  <r>
    <x v="677"/>
    <x v="0"/>
    <n v="1176"/>
    <n v="217"/>
    <n v="2730.21"/>
    <x v="0"/>
  </r>
  <r>
    <x v="677"/>
    <x v="1"/>
    <n v="1209"/>
    <n v="281"/>
    <n v="4527.8900000000003"/>
    <x v="1"/>
  </r>
  <r>
    <x v="678"/>
    <x v="0"/>
    <n v="1219"/>
    <n v="228"/>
    <n v="3309.91"/>
    <x v="0"/>
  </r>
  <r>
    <x v="678"/>
    <x v="1"/>
    <n v="1181"/>
    <n v="293"/>
    <n v="5547.53"/>
    <x v="1"/>
  </r>
  <r>
    <x v="679"/>
    <x v="0"/>
    <n v="1176"/>
    <n v="221"/>
    <n v="3217.05"/>
    <x v="0"/>
  </r>
  <r>
    <x v="679"/>
    <x v="1"/>
    <n v="1204"/>
    <n v="255"/>
    <n v="3345.1"/>
    <x v="1"/>
  </r>
  <r>
    <x v="680"/>
    <x v="0"/>
    <n v="1207"/>
    <n v="224"/>
    <n v="3329.34"/>
    <x v="0"/>
  </r>
  <r>
    <x v="680"/>
    <x v="1"/>
    <n v="1188"/>
    <n v="294"/>
    <n v="4720.92"/>
    <x v="1"/>
  </r>
  <r>
    <x v="681"/>
    <x v="0"/>
    <n v="1218"/>
    <n v="234"/>
    <n v="3958.02"/>
    <x v="0"/>
  </r>
  <r>
    <x v="681"/>
    <x v="1"/>
    <n v="1150"/>
    <n v="262"/>
    <n v="4136.41"/>
    <x v="1"/>
  </r>
  <r>
    <x v="682"/>
    <x v="0"/>
    <n v="1237"/>
    <n v="235"/>
    <n v="4144.55"/>
    <x v="0"/>
  </r>
  <r>
    <x v="682"/>
    <x v="1"/>
    <n v="1124"/>
    <n v="259"/>
    <n v="3440.47"/>
    <x v="1"/>
  </r>
  <r>
    <x v="683"/>
    <x v="0"/>
    <n v="1176"/>
    <n v="212"/>
    <n v="2787.42"/>
    <x v="0"/>
  </r>
  <r>
    <x v="683"/>
    <x v="1"/>
    <n v="1171"/>
    <n v="285"/>
    <n v="4495.21"/>
    <x v="1"/>
  </r>
  <r>
    <x v="684"/>
    <x v="0"/>
    <n v="1154"/>
    <n v="247"/>
    <n v="3491.45"/>
    <x v="0"/>
  </r>
  <r>
    <x v="684"/>
    <x v="1"/>
    <n v="1134"/>
    <n v="266"/>
    <n v="4933.08"/>
    <x v="1"/>
  </r>
  <r>
    <x v="685"/>
    <x v="0"/>
    <n v="1213"/>
    <n v="241"/>
    <n v="4649.29"/>
    <x v="0"/>
  </r>
  <r>
    <x v="685"/>
    <x v="1"/>
    <n v="1144"/>
    <n v="272"/>
    <n v="3511.55"/>
    <x v="1"/>
  </r>
  <r>
    <x v="686"/>
    <x v="0"/>
    <n v="1211"/>
    <n v="232"/>
    <n v="3099.11"/>
    <x v="0"/>
  </r>
  <r>
    <x v="686"/>
    <x v="1"/>
    <n v="1120"/>
    <n v="235"/>
    <n v="3559.4"/>
    <x v="1"/>
  </r>
  <r>
    <x v="687"/>
    <x v="0"/>
    <n v="1243"/>
    <n v="234"/>
    <n v="3934.26"/>
    <x v="0"/>
  </r>
  <r>
    <x v="687"/>
    <x v="1"/>
    <n v="1093"/>
    <n v="253"/>
    <n v="4084.56"/>
    <x v="1"/>
  </r>
  <r>
    <x v="688"/>
    <x v="0"/>
    <n v="1189"/>
    <n v="221"/>
    <n v="3687.39"/>
    <x v="0"/>
  </r>
  <r>
    <x v="688"/>
    <x v="1"/>
    <n v="1150"/>
    <n v="295"/>
    <n v="5165.43"/>
    <x v="1"/>
  </r>
  <r>
    <x v="689"/>
    <x v="0"/>
    <n v="1191"/>
    <n v="217"/>
    <n v="3305.7"/>
    <x v="0"/>
  </r>
  <r>
    <x v="689"/>
    <x v="1"/>
    <n v="1129"/>
    <n v="246"/>
    <n v="3303.49"/>
    <x v="1"/>
  </r>
  <r>
    <x v="690"/>
    <x v="0"/>
    <n v="1177"/>
    <n v="204"/>
    <n v="2910.8"/>
    <x v="0"/>
  </r>
  <r>
    <x v="690"/>
    <x v="1"/>
    <n v="1179"/>
    <n v="307"/>
    <n v="5221.62"/>
    <x v="1"/>
  </r>
  <r>
    <x v="691"/>
    <x v="0"/>
    <n v="1218"/>
    <n v="222"/>
    <n v="2529.13"/>
    <x v="0"/>
  </r>
  <r>
    <x v="691"/>
    <x v="1"/>
    <n v="1104"/>
    <n v="271"/>
    <n v="4515.66"/>
    <x v="1"/>
  </r>
  <r>
    <x v="692"/>
    <x v="0"/>
    <n v="1279"/>
    <n v="231"/>
    <n v="2939.69"/>
    <x v="0"/>
  </r>
  <r>
    <x v="692"/>
    <x v="1"/>
    <n v="1153"/>
    <n v="243"/>
    <n v="3488.6"/>
    <x v="1"/>
  </r>
  <r>
    <x v="693"/>
    <x v="0"/>
    <n v="1232"/>
    <n v="220"/>
    <n v="3895.23"/>
    <x v="0"/>
  </r>
  <r>
    <x v="693"/>
    <x v="1"/>
    <n v="1242"/>
    <n v="290"/>
    <n v="4369.3900000000003"/>
    <x v="1"/>
  </r>
  <r>
    <x v="694"/>
    <x v="0"/>
    <n v="1188"/>
    <n v="210"/>
    <n v="2584.96"/>
    <x v="0"/>
  </r>
  <r>
    <x v="694"/>
    <x v="1"/>
    <n v="1185"/>
    <n v="285"/>
    <n v="4399.74"/>
    <x v="1"/>
  </r>
  <r>
    <x v="695"/>
    <x v="0"/>
    <n v="1214"/>
    <n v="220"/>
    <n v="2962.94"/>
    <x v="0"/>
  </r>
  <r>
    <x v="695"/>
    <x v="1"/>
    <n v="1152"/>
    <n v="282"/>
    <n v="4251.8500000000004"/>
    <x v="1"/>
  </r>
  <r>
    <x v="696"/>
    <x v="0"/>
    <n v="1183"/>
    <n v="231"/>
    <n v="2918.92"/>
    <x v="0"/>
  </r>
  <r>
    <x v="696"/>
    <x v="1"/>
    <n v="1157"/>
    <n v="263"/>
    <n v="4731.88"/>
    <x v="1"/>
  </r>
  <r>
    <x v="697"/>
    <x v="0"/>
    <n v="1268"/>
    <n v="218"/>
    <n v="2899.52"/>
    <x v="0"/>
  </r>
  <r>
    <x v="697"/>
    <x v="1"/>
    <n v="1114"/>
    <n v="241"/>
    <n v="3623.2"/>
    <x v="1"/>
  </r>
  <r>
    <x v="698"/>
    <x v="0"/>
    <n v="1188"/>
    <n v="239"/>
    <n v="4080.77"/>
    <x v="0"/>
  </r>
  <r>
    <x v="698"/>
    <x v="1"/>
    <n v="1194"/>
    <n v="253"/>
    <n v="3587.29"/>
    <x v="1"/>
  </r>
  <r>
    <x v="699"/>
    <x v="0"/>
    <n v="1185"/>
    <n v="236"/>
    <n v="3871.88"/>
    <x v="0"/>
  </r>
  <r>
    <x v="699"/>
    <x v="1"/>
    <n v="1118"/>
    <n v="246"/>
    <n v="5165.2299999999996"/>
    <x v="1"/>
  </r>
  <r>
    <x v="700"/>
    <x v="0"/>
    <n v="1221"/>
    <n v="254"/>
    <n v="4316.6099999999997"/>
    <x v="0"/>
  </r>
  <r>
    <x v="700"/>
    <x v="1"/>
    <n v="1133"/>
    <n v="253"/>
    <n v="4646.04"/>
    <x v="1"/>
  </r>
  <r>
    <x v="701"/>
    <x v="0"/>
    <n v="1257"/>
    <n v="223"/>
    <n v="3820.16"/>
    <x v="0"/>
  </r>
  <r>
    <x v="701"/>
    <x v="1"/>
    <n v="1161"/>
    <n v="266"/>
    <n v="4118.72"/>
    <x v="1"/>
  </r>
  <r>
    <x v="702"/>
    <x v="0"/>
    <n v="1227"/>
    <n v="239"/>
    <n v="3000.3"/>
    <x v="0"/>
  </r>
  <r>
    <x v="702"/>
    <x v="1"/>
    <n v="1161"/>
    <n v="278"/>
    <n v="5240.09"/>
    <x v="1"/>
  </r>
  <r>
    <x v="703"/>
    <x v="0"/>
    <n v="1135"/>
    <n v="217"/>
    <n v="2081.75"/>
    <x v="0"/>
  </r>
  <r>
    <x v="703"/>
    <x v="1"/>
    <n v="1140"/>
    <n v="249"/>
    <n v="4153"/>
    <x v="1"/>
  </r>
  <r>
    <x v="704"/>
    <x v="0"/>
    <n v="1246"/>
    <n v="238"/>
    <n v="3408.49"/>
    <x v="0"/>
  </r>
  <r>
    <x v="704"/>
    <x v="1"/>
    <n v="1089"/>
    <n v="279"/>
    <n v="4440.93"/>
    <x v="1"/>
  </r>
  <r>
    <x v="705"/>
    <x v="0"/>
    <n v="1136"/>
    <n v="224"/>
    <n v="3052.82"/>
    <x v="0"/>
  </r>
  <r>
    <x v="705"/>
    <x v="1"/>
    <n v="1171"/>
    <n v="265"/>
    <n v="4674.76"/>
    <x v="1"/>
  </r>
  <r>
    <x v="706"/>
    <x v="0"/>
    <n v="1164"/>
    <n v="225"/>
    <n v="2587.06"/>
    <x v="0"/>
  </r>
  <r>
    <x v="706"/>
    <x v="1"/>
    <n v="1140"/>
    <n v="276"/>
    <n v="4318.0200000000004"/>
    <x v="1"/>
  </r>
  <r>
    <x v="707"/>
    <x v="0"/>
    <n v="1155"/>
    <n v="216"/>
    <n v="3193.28"/>
    <x v="0"/>
  </r>
  <r>
    <x v="707"/>
    <x v="1"/>
    <n v="1175"/>
    <n v="236"/>
    <n v="4300.91"/>
    <x v="1"/>
  </r>
  <r>
    <x v="708"/>
    <x v="0"/>
    <n v="1196"/>
    <n v="234"/>
    <n v="3447.75"/>
    <x v="0"/>
  </r>
  <r>
    <x v="708"/>
    <x v="1"/>
    <n v="1184"/>
    <n v="274"/>
    <n v="3660.15"/>
    <x v="1"/>
  </r>
  <r>
    <x v="709"/>
    <x v="0"/>
    <n v="1237"/>
    <n v="248"/>
    <n v="3418.19"/>
    <x v="0"/>
  </r>
  <r>
    <x v="709"/>
    <x v="1"/>
    <n v="1128"/>
    <n v="257"/>
    <n v="3593.96"/>
    <x v="1"/>
  </r>
  <r>
    <x v="710"/>
    <x v="0"/>
    <n v="1235"/>
    <n v="232"/>
    <n v="4219.7"/>
    <x v="0"/>
  </r>
  <r>
    <x v="710"/>
    <x v="1"/>
    <n v="1145"/>
    <n v="286"/>
    <n v="4635.22"/>
    <x v="1"/>
  </r>
  <r>
    <x v="711"/>
    <x v="0"/>
    <n v="1160"/>
    <n v="217"/>
    <n v="2456.3200000000002"/>
    <x v="0"/>
  </r>
  <r>
    <x v="711"/>
    <x v="1"/>
    <n v="1113"/>
    <n v="269"/>
    <n v="5018.55"/>
    <x v="1"/>
  </r>
  <r>
    <x v="712"/>
    <x v="0"/>
    <n v="1201"/>
    <n v="226"/>
    <n v="3024"/>
    <x v="0"/>
  </r>
  <r>
    <x v="712"/>
    <x v="1"/>
    <n v="1160"/>
    <n v="279"/>
    <n v="4568.79"/>
    <x v="1"/>
  </r>
  <r>
    <x v="713"/>
    <x v="0"/>
    <n v="1200"/>
    <n v="238"/>
    <n v="2885.17"/>
    <x v="0"/>
  </r>
  <r>
    <x v="713"/>
    <x v="1"/>
    <n v="1151"/>
    <n v="256"/>
    <n v="3980.67"/>
    <x v="1"/>
  </r>
  <r>
    <x v="714"/>
    <x v="0"/>
    <n v="1185"/>
    <n v="229"/>
    <n v="3606.08"/>
    <x v="0"/>
  </r>
  <r>
    <x v="714"/>
    <x v="1"/>
    <n v="1177"/>
    <n v="288"/>
    <n v="5446.33"/>
    <x v="1"/>
  </r>
  <r>
    <x v="715"/>
    <x v="0"/>
    <n v="1171"/>
    <n v="219"/>
    <n v="2951.96"/>
    <x v="0"/>
  </r>
  <r>
    <x v="715"/>
    <x v="1"/>
    <n v="1118"/>
    <n v="236"/>
    <n v="3590.22"/>
    <x v="1"/>
  </r>
  <r>
    <x v="716"/>
    <x v="0"/>
    <n v="1292"/>
    <n v="263"/>
    <n v="3366.91"/>
    <x v="0"/>
  </r>
  <r>
    <x v="716"/>
    <x v="1"/>
    <n v="1126"/>
    <n v="275"/>
    <n v="5388.17"/>
    <x v="1"/>
  </r>
  <r>
    <x v="717"/>
    <x v="0"/>
    <n v="1164"/>
    <n v="222"/>
    <n v="3444.22"/>
    <x v="0"/>
  </r>
  <r>
    <x v="717"/>
    <x v="1"/>
    <n v="1167"/>
    <n v="285"/>
    <n v="4363.6499999999996"/>
    <x v="1"/>
  </r>
  <r>
    <x v="718"/>
    <x v="0"/>
    <n v="1286"/>
    <n v="272"/>
    <n v="4533.24"/>
    <x v="0"/>
  </r>
  <r>
    <x v="718"/>
    <x v="1"/>
    <n v="1144"/>
    <n v="275"/>
    <n v="4053.36"/>
    <x v="1"/>
  </r>
  <r>
    <x v="719"/>
    <x v="0"/>
    <n v="1170"/>
    <n v="235"/>
    <n v="3706.3"/>
    <x v="0"/>
  </r>
  <r>
    <x v="719"/>
    <x v="1"/>
    <n v="1094"/>
    <n v="244"/>
    <n v="4246.8999999999996"/>
    <x v="1"/>
  </r>
  <r>
    <x v="720"/>
    <x v="0"/>
    <n v="1263"/>
    <n v="230"/>
    <n v="3149.64"/>
    <x v="0"/>
  </r>
  <r>
    <x v="720"/>
    <x v="1"/>
    <n v="1184"/>
    <n v="266"/>
    <n v="3963.51"/>
    <x v="1"/>
  </r>
  <r>
    <x v="721"/>
    <x v="0"/>
    <n v="1162"/>
    <n v="229"/>
    <n v="3651.7"/>
    <x v="0"/>
  </r>
  <r>
    <x v="721"/>
    <x v="1"/>
    <n v="1207"/>
    <n v="266"/>
    <n v="3882.05"/>
    <x v="1"/>
  </r>
  <r>
    <x v="722"/>
    <x v="0"/>
    <n v="1222"/>
    <n v="238"/>
    <n v="4136.96"/>
    <x v="0"/>
  </r>
  <r>
    <x v="722"/>
    <x v="1"/>
    <n v="1145"/>
    <n v="258"/>
    <n v="4052.22"/>
    <x v="1"/>
  </r>
  <r>
    <x v="723"/>
    <x v="0"/>
    <n v="1204"/>
    <n v="226"/>
    <n v="3874.79"/>
    <x v="0"/>
  </r>
  <r>
    <x v="723"/>
    <x v="1"/>
    <n v="1204"/>
    <n v="279"/>
    <n v="5261.25"/>
    <x v="1"/>
  </r>
  <r>
    <x v="724"/>
    <x v="0"/>
    <n v="1204"/>
    <n v="210"/>
    <n v="3590.33"/>
    <x v="0"/>
  </r>
  <r>
    <x v="724"/>
    <x v="1"/>
    <n v="1158"/>
    <n v="269"/>
    <n v="4260.3900000000003"/>
    <x v="1"/>
  </r>
  <r>
    <x v="725"/>
    <x v="0"/>
    <n v="1233"/>
    <n v="247"/>
    <n v="3188.85"/>
    <x v="0"/>
  </r>
  <r>
    <x v="725"/>
    <x v="1"/>
    <n v="1141"/>
    <n v="248"/>
    <n v="4852.83"/>
    <x v="1"/>
  </r>
  <r>
    <x v="726"/>
    <x v="0"/>
    <n v="1229"/>
    <n v="216"/>
    <n v="3590.66"/>
    <x v="0"/>
  </r>
  <r>
    <x v="726"/>
    <x v="1"/>
    <n v="1149"/>
    <n v="275"/>
    <n v="4582.5600000000004"/>
    <x v="1"/>
  </r>
  <r>
    <x v="727"/>
    <x v="0"/>
    <n v="1189"/>
    <n v="231"/>
    <n v="3023.97"/>
    <x v="0"/>
  </r>
  <r>
    <x v="727"/>
    <x v="1"/>
    <n v="1135"/>
    <n v="251"/>
    <n v="4276.1499999999996"/>
    <x v="1"/>
  </r>
  <r>
    <x v="728"/>
    <x v="0"/>
    <n v="1248"/>
    <n v="244"/>
    <n v="3828.91"/>
    <x v="0"/>
  </r>
  <r>
    <x v="728"/>
    <x v="1"/>
    <n v="1151"/>
    <n v="275"/>
    <n v="4670.6099999999997"/>
    <x v="1"/>
  </r>
  <r>
    <x v="729"/>
    <x v="0"/>
    <n v="1190"/>
    <n v="219"/>
    <n v="2354.69"/>
    <x v="0"/>
  </r>
  <r>
    <x v="729"/>
    <x v="1"/>
    <n v="1152"/>
    <n v="263"/>
    <n v="4425.5600000000004"/>
    <x v="1"/>
  </r>
  <r>
    <x v="730"/>
    <x v="0"/>
    <n v="1243"/>
    <n v="244"/>
    <n v="3124.72"/>
    <x v="0"/>
  </r>
  <r>
    <x v="730"/>
    <x v="1"/>
    <n v="1164"/>
    <n v="259"/>
    <n v="4569.83"/>
    <x v="1"/>
  </r>
  <r>
    <x v="731"/>
    <x v="0"/>
    <n v="1288"/>
    <n v="240"/>
    <n v="4176.93"/>
    <x v="0"/>
  </r>
  <r>
    <x v="731"/>
    <x v="1"/>
    <n v="1127"/>
    <n v="252"/>
    <n v="4036.43"/>
    <x v="1"/>
  </r>
  <r>
    <x v="732"/>
    <x v="0"/>
    <n v="1218"/>
    <n v="222"/>
    <n v="3725.19"/>
    <x v="0"/>
  </r>
  <r>
    <x v="732"/>
    <x v="1"/>
    <n v="1182"/>
    <n v="281"/>
    <n v="4154.72"/>
    <x v="1"/>
  </r>
  <r>
    <x v="733"/>
    <x v="0"/>
    <n v="1237"/>
    <n v="239"/>
    <n v="2461.48"/>
    <x v="0"/>
  </r>
  <r>
    <x v="733"/>
    <x v="1"/>
    <n v="1144"/>
    <n v="248"/>
    <n v="4797.74"/>
    <x v="1"/>
  </r>
  <r>
    <x v="734"/>
    <x v="0"/>
    <n v="1167"/>
    <n v="215"/>
    <n v="2864.92"/>
    <x v="0"/>
  </r>
  <r>
    <x v="734"/>
    <x v="1"/>
    <n v="1153"/>
    <n v="247"/>
    <n v="2911.2"/>
    <x v="1"/>
  </r>
  <r>
    <x v="735"/>
    <x v="0"/>
    <n v="1193"/>
    <n v="214"/>
    <n v="4062.59"/>
    <x v="0"/>
  </r>
  <r>
    <x v="735"/>
    <x v="1"/>
    <n v="1171"/>
    <n v="257"/>
    <n v="5054.62"/>
    <x v="1"/>
  </r>
  <r>
    <x v="736"/>
    <x v="0"/>
    <n v="1276"/>
    <n v="257"/>
    <n v="3766.16"/>
    <x v="0"/>
  </r>
  <r>
    <x v="736"/>
    <x v="1"/>
    <n v="1109"/>
    <n v="273"/>
    <n v="4130.07"/>
    <x v="1"/>
  </r>
  <r>
    <x v="737"/>
    <x v="0"/>
    <n v="1163"/>
    <n v="220"/>
    <n v="3045.63"/>
    <x v="0"/>
  </r>
  <r>
    <x v="737"/>
    <x v="1"/>
    <n v="1121"/>
    <n v="258"/>
    <n v="3994.87"/>
    <x v="1"/>
  </r>
  <r>
    <x v="738"/>
    <x v="0"/>
    <n v="1175"/>
    <n v="228"/>
    <n v="3461.98"/>
    <x v="0"/>
  </r>
  <r>
    <x v="738"/>
    <x v="1"/>
    <n v="1147"/>
    <n v="235"/>
    <n v="3983.83"/>
    <x v="1"/>
  </r>
  <r>
    <x v="739"/>
    <x v="0"/>
    <n v="1182"/>
    <n v="222"/>
    <n v="3339.92"/>
    <x v="0"/>
  </r>
  <r>
    <x v="739"/>
    <x v="1"/>
    <n v="1086"/>
    <n v="254"/>
    <n v="4924.32"/>
    <x v="1"/>
  </r>
  <r>
    <x v="740"/>
    <x v="0"/>
    <n v="1217"/>
    <n v="234"/>
    <n v="3504.61"/>
    <x v="0"/>
  </r>
  <r>
    <x v="740"/>
    <x v="1"/>
    <n v="1131"/>
    <n v="259"/>
    <n v="4677.88"/>
    <x v="1"/>
  </r>
  <r>
    <x v="741"/>
    <x v="0"/>
    <n v="1244"/>
    <n v="247"/>
    <n v="3039.46"/>
    <x v="0"/>
  </r>
  <r>
    <x v="741"/>
    <x v="1"/>
    <n v="1114"/>
    <n v="254"/>
    <n v="3607.41"/>
    <x v="1"/>
  </r>
  <r>
    <x v="742"/>
    <x v="0"/>
    <n v="1189"/>
    <n v="240"/>
    <n v="3686.54"/>
    <x v="0"/>
  </r>
  <r>
    <x v="742"/>
    <x v="1"/>
    <n v="1160"/>
    <n v="284"/>
    <n v="4081.15"/>
    <x v="1"/>
  </r>
  <r>
    <x v="743"/>
    <x v="0"/>
    <n v="1202"/>
    <n v="231"/>
    <n v="2890.05"/>
    <x v="0"/>
  </r>
  <r>
    <x v="743"/>
    <x v="1"/>
    <n v="1124"/>
    <n v="259"/>
    <n v="4377.01"/>
    <x v="1"/>
  </r>
  <r>
    <x v="744"/>
    <x v="0"/>
    <n v="1168"/>
    <n v="206"/>
    <n v="3480.08"/>
    <x v="0"/>
  </r>
  <r>
    <x v="744"/>
    <x v="1"/>
    <n v="1112"/>
    <n v="267"/>
    <n v="4301.37"/>
    <x v="1"/>
  </r>
  <r>
    <x v="745"/>
    <x v="0"/>
    <n v="1174"/>
    <n v="235"/>
    <n v="3202.33"/>
    <x v="0"/>
  </r>
  <r>
    <x v="745"/>
    <x v="1"/>
    <n v="1109"/>
    <n v="250"/>
    <n v="4581.6899999999996"/>
    <x v="1"/>
  </r>
  <r>
    <x v="746"/>
    <x v="0"/>
    <n v="1206"/>
    <n v="230"/>
    <n v="3568.39"/>
    <x v="0"/>
  </r>
  <r>
    <x v="746"/>
    <x v="1"/>
    <n v="1200"/>
    <n v="262"/>
    <n v="3861.44"/>
    <x v="1"/>
  </r>
  <r>
    <x v="747"/>
    <x v="0"/>
    <n v="1194"/>
    <n v="219"/>
    <n v="3255.53"/>
    <x v="0"/>
  </r>
  <r>
    <x v="747"/>
    <x v="1"/>
    <n v="1177"/>
    <n v="263"/>
    <n v="3642.73"/>
    <x v="1"/>
  </r>
  <r>
    <x v="748"/>
    <x v="0"/>
    <n v="1219"/>
    <n v="228"/>
    <n v="3224.09"/>
    <x v="0"/>
  </r>
  <r>
    <x v="748"/>
    <x v="1"/>
    <n v="1189"/>
    <n v="281"/>
    <n v="3764.78"/>
    <x v="1"/>
  </r>
  <r>
    <x v="749"/>
    <x v="0"/>
    <n v="1208"/>
    <n v="244"/>
    <n v="3480.52"/>
    <x v="0"/>
  </r>
  <r>
    <x v="749"/>
    <x v="1"/>
    <n v="1165"/>
    <n v="277"/>
    <n v="4821.2"/>
    <x v="1"/>
  </r>
  <r>
    <x v="750"/>
    <x v="0"/>
    <n v="1184"/>
    <n v="214"/>
    <n v="4351.4399999999996"/>
    <x v="0"/>
  </r>
  <r>
    <x v="750"/>
    <x v="1"/>
    <n v="1208"/>
    <n v="278"/>
    <n v="4502.0200000000004"/>
    <x v="1"/>
  </r>
  <r>
    <x v="751"/>
    <x v="0"/>
    <n v="1173"/>
    <n v="205"/>
    <n v="3154.98"/>
    <x v="0"/>
  </r>
  <r>
    <x v="751"/>
    <x v="1"/>
    <n v="1144"/>
    <n v="289"/>
    <n v="4934.66"/>
    <x v="1"/>
  </r>
  <r>
    <x v="752"/>
    <x v="0"/>
    <n v="1198"/>
    <n v="234"/>
    <n v="4404.82"/>
    <x v="0"/>
  </r>
  <r>
    <x v="752"/>
    <x v="1"/>
    <n v="1150"/>
    <n v="278"/>
    <n v="5095.22"/>
    <x v="1"/>
  </r>
  <r>
    <x v="753"/>
    <x v="0"/>
    <n v="1192"/>
    <n v="200"/>
    <n v="2889.24"/>
    <x v="0"/>
  </r>
  <r>
    <x v="753"/>
    <x v="1"/>
    <n v="1138"/>
    <n v="273"/>
    <n v="4001.24"/>
    <x v="1"/>
  </r>
  <r>
    <x v="754"/>
    <x v="0"/>
    <n v="1234"/>
    <n v="244"/>
    <n v="4035.29"/>
    <x v="0"/>
  </r>
  <r>
    <x v="754"/>
    <x v="1"/>
    <n v="1132"/>
    <n v="237"/>
    <n v="3542.02"/>
    <x v="1"/>
  </r>
  <r>
    <x v="755"/>
    <x v="0"/>
    <n v="1186"/>
    <n v="233"/>
    <n v="4122.5"/>
    <x v="0"/>
  </r>
  <r>
    <x v="755"/>
    <x v="1"/>
    <n v="1155"/>
    <n v="282"/>
    <n v="5326.23"/>
    <x v="1"/>
  </r>
  <r>
    <x v="756"/>
    <x v="0"/>
    <n v="1142"/>
    <n v="216"/>
    <n v="4125.04"/>
    <x v="0"/>
  </r>
  <r>
    <x v="756"/>
    <x v="1"/>
    <n v="1153"/>
    <n v="268"/>
    <n v="3416.74"/>
    <x v="1"/>
  </r>
  <r>
    <x v="757"/>
    <x v="0"/>
    <n v="1160"/>
    <n v="239"/>
    <n v="2932.96"/>
    <x v="0"/>
  </r>
  <r>
    <x v="757"/>
    <x v="1"/>
    <n v="1113"/>
    <n v="264"/>
    <n v="3943.17"/>
    <x v="1"/>
  </r>
  <r>
    <x v="758"/>
    <x v="0"/>
    <n v="1143"/>
    <n v="225"/>
    <n v="2346.4"/>
    <x v="0"/>
  </r>
  <r>
    <x v="758"/>
    <x v="1"/>
    <n v="1130"/>
    <n v="254"/>
    <n v="3666.44"/>
    <x v="1"/>
  </r>
  <r>
    <x v="759"/>
    <x v="0"/>
    <n v="1176"/>
    <n v="209"/>
    <n v="2603.4899999999998"/>
    <x v="0"/>
  </r>
  <r>
    <x v="759"/>
    <x v="1"/>
    <n v="1164"/>
    <n v="269"/>
    <n v="3683.64"/>
    <x v="1"/>
  </r>
  <r>
    <x v="760"/>
    <x v="0"/>
    <n v="1175"/>
    <n v="241"/>
    <n v="4556.3999999999996"/>
    <x v="0"/>
  </r>
  <r>
    <x v="760"/>
    <x v="1"/>
    <n v="1159"/>
    <n v="288"/>
    <n v="5003.6899999999996"/>
    <x v="1"/>
  </r>
  <r>
    <x v="761"/>
    <x v="0"/>
    <n v="1152"/>
    <n v="228"/>
    <n v="4152.16"/>
    <x v="0"/>
  </r>
  <r>
    <x v="761"/>
    <x v="1"/>
    <n v="1133"/>
    <n v="278"/>
    <n v="3291.11"/>
    <x v="1"/>
  </r>
  <r>
    <x v="762"/>
    <x v="0"/>
    <n v="1227"/>
    <n v="245"/>
    <n v="3948.77"/>
    <x v="0"/>
  </r>
  <r>
    <x v="762"/>
    <x v="1"/>
    <n v="1185"/>
    <n v="277"/>
    <n v="4345.3100000000004"/>
    <x v="1"/>
  </r>
  <r>
    <x v="763"/>
    <x v="0"/>
    <n v="1184"/>
    <n v="224"/>
    <n v="3383.77"/>
    <x v="0"/>
  </r>
  <r>
    <x v="763"/>
    <x v="1"/>
    <n v="1173"/>
    <n v="288"/>
    <n v="5106.41"/>
    <x v="1"/>
  </r>
  <r>
    <x v="764"/>
    <x v="0"/>
    <n v="1179"/>
    <n v="229"/>
    <n v="3033.11"/>
    <x v="0"/>
  </r>
  <r>
    <x v="764"/>
    <x v="1"/>
    <n v="1093"/>
    <n v="259"/>
    <n v="3415.13"/>
    <x v="1"/>
  </r>
  <r>
    <x v="765"/>
    <x v="0"/>
    <n v="1148"/>
    <n v="203"/>
    <n v="3302.09"/>
    <x v="0"/>
  </r>
  <r>
    <x v="765"/>
    <x v="1"/>
    <n v="1148"/>
    <n v="275"/>
    <n v="4186.8"/>
    <x v="1"/>
  </r>
  <r>
    <x v="766"/>
    <x v="0"/>
    <n v="1206"/>
    <n v="224"/>
    <n v="3835.44"/>
    <x v="0"/>
  </r>
  <r>
    <x v="766"/>
    <x v="1"/>
    <n v="1146"/>
    <n v="244"/>
    <n v="3692.51"/>
    <x v="1"/>
  </r>
  <r>
    <x v="767"/>
    <x v="0"/>
    <n v="1225"/>
    <n v="230"/>
    <n v="3230.19"/>
    <x v="0"/>
  </r>
  <r>
    <x v="767"/>
    <x v="1"/>
    <n v="1140"/>
    <n v="268"/>
    <n v="4264.09"/>
    <x v="1"/>
  </r>
  <r>
    <x v="768"/>
    <x v="0"/>
    <n v="1111"/>
    <n v="210"/>
    <n v="2986.03"/>
    <x v="0"/>
  </r>
  <r>
    <x v="768"/>
    <x v="1"/>
    <n v="1120"/>
    <n v="254"/>
    <n v="4326.2"/>
    <x v="1"/>
  </r>
  <r>
    <x v="769"/>
    <x v="0"/>
    <n v="1200"/>
    <n v="225"/>
    <n v="3514.38"/>
    <x v="0"/>
  </r>
  <r>
    <x v="769"/>
    <x v="1"/>
    <n v="1142"/>
    <n v="257"/>
    <n v="4356.54"/>
    <x v="1"/>
  </r>
  <r>
    <x v="770"/>
    <x v="0"/>
    <n v="1231"/>
    <n v="222"/>
    <n v="3158.84"/>
    <x v="0"/>
  </r>
  <r>
    <x v="770"/>
    <x v="1"/>
    <n v="1133"/>
    <n v="270"/>
    <n v="3201.46"/>
    <x v="1"/>
  </r>
  <r>
    <x v="771"/>
    <x v="0"/>
    <n v="1190"/>
    <n v="219"/>
    <n v="2959.83"/>
    <x v="0"/>
  </r>
  <r>
    <x v="771"/>
    <x v="1"/>
    <n v="1149"/>
    <n v="262"/>
    <n v="4131.22"/>
    <x v="1"/>
  </r>
  <r>
    <x v="772"/>
    <x v="0"/>
    <n v="1178"/>
    <n v="192"/>
    <n v="3407.85"/>
    <x v="0"/>
  </r>
  <r>
    <x v="772"/>
    <x v="1"/>
    <n v="1132"/>
    <n v="258"/>
    <n v="4313.6000000000004"/>
    <x v="1"/>
  </r>
  <r>
    <x v="773"/>
    <x v="0"/>
    <n v="1158"/>
    <n v="211"/>
    <n v="3183.16"/>
    <x v="0"/>
  </r>
  <r>
    <x v="773"/>
    <x v="1"/>
    <n v="1154"/>
    <n v="266"/>
    <n v="4621.41"/>
    <x v="1"/>
  </r>
  <r>
    <x v="774"/>
    <x v="0"/>
    <n v="1210"/>
    <n v="202"/>
    <n v="2996.91"/>
    <x v="0"/>
  </r>
  <r>
    <x v="774"/>
    <x v="1"/>
    <n v="1166"/>
    <n v="258"/>
    <n v="4639.45"/>
    <x v="1"/>
  </r>
  <r>
    <x v="775"/>
    <x v="0"/>
    <n v="1192"/>
    <n v="216"/>
    <n v="2486.73"/>
    <x v="0"/>
  </r>
  <r>
    <x v="775"/>
    <x v="1"/>
    <n v="1179"/>
    <n v="243"/>
    <n v="3964.22"/>
    <x v="1"/>
  </r>
  <r>
    <x v="776"/>
    <x v="0"/>
    <n v="1198"/>
    <n v="238"/>
    <n v="3576.67"/>
    <x v="0"/>
  </r>
  <r>
    <x v="776"/>
    <x v="1"/>
    <n v="1174"/>
    <n v="274"/>
    <n v="4692.96"/>
    <x v="1"/>
  </r>
  <r>
    <x v="777"/>
    <x v="0"/>
    <n v="1191"/>
    <n v="235"/>
    <n v="3519.34"/>
    <x v="0"/>
  </r>
  <r>
    <x v="777"/>
    <x v="1"/>
    <n v="1113"/>
    <n v="225"/>
    <n v="3095.65"/>
    <x v="1"/>
  </r>
  <r>
    <x v="778"/>
    <x v="0"/>
    <n v="1216"/>
    <n v="228"/>
    <n v="3302.78"/>
    <x v="0"/>
  </r>
  <r>
    <x v="778"/>
    <x v="1"/>
    <n v="1127"/>
    <n v="247"/>
    <n v="4089.11"/>
    <x v="1"/>
  </r>
  <r>
    <x v="779"/>
    <x v="0"/>
    <n v="1096"/>
    <n v="214"/>
    <n v="3509.15"/>
    <x v="0"/>
  </r>
  <r>
    <x v="779"/>
    <x v="1"/>
    <n v="1156"/>
    <n v="273"/>
    <n v="4024.55"/>
    <x v="1"/>
  </r>
  <r>
    <x v="780"/>
    <x v="0"/>
    <n v="1151"/>
    <n v="209"/>
    <n v="3435.61"/>
    <x v="0"/>
  </r>
  <r>
    <x v="780"/>
    <x v="1"/>
    <n v="1223"/>
    <n v="293"/>
    <n v="5754.39"/>
    <x v="1"/>
  </r>
  <r>
    <x v="781"/>
    <x v="0"/>
    <n v="1266"/>
    <n v="242"/>
    <n v="3817.11"/>
    <x v="0"/>
  </r>
  <r>
    <x v="781"/>
    <x v="1"/>
    <n v="1204"/>
    <n v="268"/>
    <n v="5016.58"/>
    <x v="1"/>
  </r>
  <r>
    <x v="782"/>
    <x v="0"/>
    <n v="1204"/>
    <n v="240"/>
    <n v="3687.84"/>
    <x v="0"/>
  </r>
  <r>
    <x v="782"/>
    <x v="1"/>
    <n v="1153"/>
    <n v="257"/>
    <n v="3683.18"/>
    <x v="1"/>
  </r>
  <r>
    <x v="783"/>
    <x v="0"/>
    <n v="1188"/>
    <n v="241"/>
    <n v="3575.19"/>
    <x v="0"/>
  </r>
  <r>
    <x v="783"/>
    <x v="1"/>
    <n v="1174"/>
    <n v="268"/>
    <n v="4700.7"/>
    <x v="1"/>
  </r>
  <r>
    <x v="784"/>
    <x v="0"/>
    <n v="1200"/>
    <n v="223"/>
    <n v="3824.55"/>
    <x v="0"/>
  </r>
  <r>
    <x v="784"/>
    <x v="1"/>
    <n v="1149"/>
    <n v="272"/>
    <n v="4921.72"/>
    <x v="1"/>
  </r>
  <r>
    <x v="785"/>
    <x v="0"/>
    <n v="1167"/>
    <n v="207"/>
    <n v="2763.61"/>
    <x v="0"/>
  </r>
  <r>
    <x v="785"/>
    <x v="1"/>
    <n v="1178"/>
    <n v="277"/>
    <n v="3845.42"/>
    <x v="1"/>
  </r>
  <r>
    <x v="786"/>
    <x v="0"/>
    <n v="1230"/>
    <n v="238"/>
    <n v="4056.3"/>
    <x v="0"/>
  </r>
  <r>
    <x v="786"/>
    <x v="1"/>
    <n v="1184"/>
    <n v="277"/>
    <n v="5227.75"/>
    <x v="1"/>
  </r>
  <r>
    <x v="787"/>
    <x v="0"/>
    <n v="1158"/>
    <n v="219"/>
    <n v="2795.35"/>
    <x v="0"/>
  </r>
  <r>
    <x v="787"/>
    <x v="1"/>
    <n v="1172"/>
    <n v="266"/>
    <n v="5074.8500000000004"/>
    <x v="1"/>
  </r>
  <r>
    <x v="788"/>
    <x v="0"/>
    <n v="1192"/>
    <n v="214"/>
    <n v="3413.14"/>
    <x v="0"/>
  </r>
  <r>
    <x v="788"/>
    <x v="1"/>
    <n v="1161"/>
    <n v="278"/>
    <n v="4841.42"/>
    <x v="1"/>
  </r>
  <r>
    <x v="789"/>
    <x v="0"/>
    <n v="1201"/>
    <n v="235"/>
    <n v="3638.65"/>
    <x v="0"/>
  </r>
  <r>
    <x v="789"/>
    <x v="1"/>
    <n v="1221"/>
    <n v="278"/>
    <n v="4615.58"/>
    <x v="1"/>
  </r>
  <r>
    <x v="790"/>
    <x v="0"/>
    <n v="1240"/>
    <n v="228"/>
    <n v="3808.33"/>
    <x v="0"/>
  </r>
  <r>
    <x v="790"/>
    <x v="1"/>
    <n v="1112"/>
    <n v="257"/>
    <n v="3644.42"/>
    <x v="1"/>
  </r>
  <r>
    <x v="791"/>
    <x v="0"/>
    <n v="1221"/>
    <n v="252"/>
    <n v="3526.55"/>
    <x v="0"/>
  </r>
  <r>
    <x v="791"/>
    <x v="1"/>
    <n v="1165"/>
    <n v="252"/>
    <n v="4626.1499999999996"/>
    <x v="1"/>
  </r>
  <r>
    <x v="792"/>
    <x v="0"/>
    <n v="1212"/>
    <n v="213"/>
    <n v="2871.38"/>
    <x v="0"/>
  </r>
  <r>
    <x v="792"/>
    <x v="1"/>
    <n v="1134"/>
    <n v="260"/>
    <n v="4505.1000000000004"/>
    <x v="1"/>
  </r>
  <r>
    <x v="793"/>
    <x v="0"/>
    <n v="1189"/>
    <n v="226"/>
    <n v="3212.17"/>
    <x v="0"/>
  </r>
  <r>
    <x v="793"/>
    <x v="1"/>
    <n v="1167"/>
    <n v="242"/>
    <n v="2947.95"/>
    <x v="1"/>
  </r>
  <r>
    <x v="794"/>
    <x v="0"/>
    <n v="1227"/>
    <n v="228"/>
    <n v="3306.47"/>
    <x v="0"/>
  </r>
  <r>
    <x v="794"/>
    <x v="1"/>
    <n v="1091"/>
    <n v="260"/>
    <n v="4323.3500000000004"/>
    <x v="1"/>
  </r>
  <r>
    <x v="795"/>
    <x v="0"/>
    <n v="1242"/>
    <n v="235"/>
    <n v="2910.35"/>
    <x v="0"/>
  </r>
  <r>
    <x v="795"/>
    <x v="1"/>
    <n v="1128"/>
    <n v="259"/>
    <n v="3965.24"/>
    <x v="1"/>
  </r>
  <r>
    <x v="796"/>
    <x v="0"/>
    <n v="1232"/>
    <n v="213"/>
    <n v="3148.2"/>
    <x v="0"/>
  </r>
  <r>
    <x v="796"/>
    <x v="1"/>
    <n v="1170"/>
    <n v="286"/>
    <n v="4470.7"/>
    <x v="1"/>
  </r>
  <r>
    <x v="797"/>
    <x v="0"/>
    <n v="1208"/>
    <n v="228"/>
    <n v="3316.51"/>
    <x v="0"/>
  </r>
  <r>
    <x v="797"/>
    <x v="1"/>
    <n v="1146"/>
    <n v="253"/>
    <n v="4250.3999999999996"/>
    <x v="1"/>
  </r>
  <r>
    <x v="798"/>
    <x v="0"/>
    <n v="1188"/>
    <n v="214"/>
    <n v="3026.68"/>
    <x v="0"/>
  </r>
  <r>
    <x v="798"/>
    <x v="1"/>
    <n v="1169"/>
    <n v="285"/>
    <n v="4554.03"/>
    <x v="1"/>
  </r>
  <r>
    <x v="799"/>
    <x v="0"/>
    <n v="1162"/>
    <n v="216"/>
    <n v="3257.16"/>
    <x v="0"/>
  </r>
  <r>
    <x v="799"/>
    <x v="1"/>
    <n v="1111"/>
    <n v="248"/>
    <n v="3262.25"/>
    <x v="1"/>
  </r>
  <r>
    <x v="800"/>
    <x v="0"/>
    <n v="1197"/>
    <n v="245"/>
    <n v="4539.8100000000004"/>
    <x v="0"/>
  </r>
  <r>
    <x v="800"/>
    <x v="1"/>
    <n v="1210"/>
    <n v="292"/>
    <n v="6302.65"/>
    <x v="1"/>
  </r>
  <r>
    <x v="801"/>
    <x v="0"/>
    <n v="1277"/>
    <n v="231"/>
    <n v="4036.58"/>
    <x v="0"/>
  </r>
  <r>
    <x v="801"/>
    <x v="1"/>
    <n v="1186"/>
    <n v="253"/>
    <n v="3919.24"/>
    <x v="1"/>
  </r>
  <r>
    <x v="802"/>
    <x v="0"/>
    <n v="1179"/>
    <n v="214"/>
    <n v="2946.02"/>
    <x v="0"/>
  </r>
  <r>
    <x v="802"/>
    <x v="1"/>
    <n v="1148"/>
    <n v="294"/>
    <n v="3911.38"/>
    <x v="1"/>
  </r>
  <r>
    <x v="803"/>
    <x v="0"/>
    <n v="1182"/>
    <n v="226"/>
    <n v="3243.98"/>
    <x v="0"/>
  </r>
  <r>
    <x v="803"/>
    <x v="1"/>
    <n v="1192"/>
    <n v="266"/>
    <n v="4060.63"/>
    <x v="1"/>
  </r>
  <r>
    <x v="804"/>
    <x v="0"/>
    <n v="1216"/>
    <n v="212"/>
    <n v="3139.58"/>
    <x v="0"/>
  </r>
  <r>
    <x v="804"/>
    <x v="1"/>
    <n v="1211"/>
    <n v="290"/>
    <n v="5643.59"/>
    <x v="1"/>
  </r>
  <r>
    <x v="805"/>
    <x v="0"/>
    <n v="1197"/>
    <n v="246"/>
    <n v="3415.07"/>
    <x v="0"/>
  </r>
  <r>
    <x v="805"/>
    <x v="1"/>
    <n v="1102"/>
    <n v="257"/>
    <n v="3951.6"/>
    <x v="1"/>
  </r>
  <r>
    <x v="806"/>
    <x v="0"/>
    <n v="1252"/>
    <n v="233"/>
    <n v="3371.81"/>
    <x v="0"/>
  </r>
  <r>
    <x v="806"/>
    <x v="1"/>
    <n v="1150"/>
    <n v="274"/>
    <n v="3959.74"/>
    <x v="1"/>
  </r>
  <r>
    <x v="807"/>
    <x v="0"/>
    <n v="1215"/>
    <n v="240"/>
    <n v="4428.33"/>
    <x v="0"/>
  </r>
  <r>
    <x v="807"/>
    <x v="1"/>
    <n v="1155"/>
    <n v="268"/>
    <n v="4353.3100000000004"/>
    <x v="1"/>
  </r>
  <r>
    <x v="808"/>
    <x v="0"/>
    <n v="1144"/>
    <n v="224"/>
    <n v="4141.7"/>
    <x v="0"/>
  </r>
  <r>
    <x v="808"/>
    <x v="1"/>
    <n v="1090"/>
    <n v="270"/>
    <n v="5618.61"/>
    <x v="1"/>
  </r>
  <r>
    <x v="809"/>
    <x v="0"/>
    <n v="1197"/>
    <n v="238"/>
    <n v="4039.05"/>
    <x v="0"/>
  </r>
  <r>
    <x v="809"/>
    <x v="1"/>
    <n v="1218"/>
    <n v="270"/>
    <n v="3463.64"/>
    <x v="1"/>
  </r>
  <r>
    <x v="810"/>
    <x v="0"/>
    <n v="1250"/>
    <n v="264"/>
    <n v="4496.41"/>
    <x v="0"/>
  </r>
  <r>
    <x v="810"/>
    <x v="1"/>
    <n v="1142"/>
    <n v="267"/>
    <n v="4056.6"/>
    <x v="1"/>
  </r>
  <r>
    <x v="811"/>
    <x v="0"/>
    <n v="1165"/>
    <n v="223"/>
    <n v="3016.72"/>
    <x v="0"/>
  </r>
  <r>
    <x v="811"/>
    <x v="1"/>
    <n v="1109"/>
    <n v="249"/>
    <n v="3829.15"/>
    <x v="1"/>
  </r>
  <r>
    <x v="812"/>
    <x v="0"/>
    <n v="1152"/>
    <n v="210"/>
    <n v="3594.43"/>
    <x v="0"/>
  </r>
  <r>
    <x v="812"/>
    <x v="1"/>
    <n v="1100"/>
    <n v="261"/>
    <n v="4421.6099999999997"/>
    <x v="1"/>
  </r>
  <r>
    <x v="813"/>
    <x v="0"/>
    <n v="1219"/>
    <n v="238"/>
    <n v="3977.08"/>
    <x v="0"/>
  </r>
  <r>
    <x v="813"/>
    <x v="1"/>
    <n v="1150"/>
    <n v="278"/>
    <n v="4594.95"/>
    <x v="1"/>
  </r>
  <r>
    <x v="814"/>
    <x v="0"/>
    <n v="1131"/>
    <n v="222"/>
    <n v="3761.77"/>
    <x v="0"/>
  </r>
  <r>
    <x v="814"/>
    <x v="1"/>
    <n v="1074"/>
    <n v="244"/>
    <n v="4329.92"/>
    <x v="1"/>
  </r>
  <r>
    <x v="815"/>
    <x v="0"/>
    <n v="1158"/>
    <n v="193"/>
    <n v="2756.66"/>
    <x v="0"/>
  </r>
  <r>
    <x v="815"/>
    <x v="1"/>
    <n v="1136"/>
    <n v="279"/>
    <n v="3780.45"/>
    <x v="1"/>
  </r>
  <r>
    <x v="816"/>
    <x v="0"/>
    <n v="1225"/>
    <n v="233"/>
    <n v="2491.7399999999998"/>
    <x v="0"/>
  </r>
  <r>
    <x v="816"/>
    <x v="1"/>
    <n v="1123"/>
    <n v="238"/>
    <n v="3793.35"/>
    <x v="1"/>
  </r>
  <r>
    <x v="817"/>
    <x v="0"/>
    <n v="1163"/>
    <n v="227"/>
    <n v="3705.79"/>
    <x v="0"/>
  </r>
  <r>
    <x v="817"/>
    <x v="1"/>
    <n v="1170"/>
    <n v="292"/>
    <n v="4191.45"/>
    <x v="1"/>
  </r>
  <r>
    <x v="818"/>
    <x v="0"/>
    <n v="1219"/>
    <n v="219"/>
    <n v="2954.09"/>
    <x v="0"/>
  </r>
  <r>
    <x v="818"/>
    <x v="1"/>
    <n v="1139"/>
    <n v="269"/>
    <n v="4249.13"/>
    <x v="1"/>
  </r>
  <r>
    <x v="819"/>
    <x v="0"/>
    <n v="1209"/>
    <n v="221"/>
    <n v="3529.53"/>
    <x v="0"/>
  </r>
  <r>
    <x v="819"/>
    <x v="1"/>
    <n v="1100"/>
    <n v="260"/>
    <n v="3718.47"/>
    <x v="1"/>
  </r>
  <r>
    <x v="820"/>
    <x v="0"/>
    <n v="1268"/>
    <n v="258"/>
    <n v="3991.5"/>
    <x v="0"/>
  </r>
  <r>
    <x v="820"/>
    <x v="1"/>
    <n v="1132"/>
    <n v="257"/>
    <n v="2216.1799999999998"/>
    <x v="1"/>
  </r>
  <r>
    <x v="821"/>
    <x v="0"/>
    <n v="1230"/>
    <n v="252"/>
    <n v="3375.65"/>
    <x v="0"/>
  </r>
  <r>
    <x v="821"/>
    <x v="1"/>
    <n v="1124"/>
    <n v="264"/>
    <n v="3957.55"/>
    <x v="1"/>
  </r>
  <r>
    <x v="822"/>
    <x v="0"/>
    <n v="1274"/>
    <n v="247"/>
    <n v="2911.51"/>
    <x v="0"/>
  </r>
  <r>
    <x v="822"/>
    <x v="1"/>
    <n v="1126"/>
    <n v="251"/>
    <n v="4214.2700000000004"/>
    <x v="1"/>
  </r>
  <r>
    <x v="823"/>
    <x v="0"/>
    <n v="1119"/>
    <n v="212"/>
    <n v="2714.61"/>
    <x v="0"/>
  </r>
  <r>
    <x v="823"/>
    <x v="1"/>
    <n v="1140"/>
    <n v="274"/>
    <n v="4185.83"/>
    <x v="1"/>
  </r>
  <r>
    <x v="824"/>
    <x v="0"/>
    <n v="1201"/>
    <n v="219"/>
    <n v="2464.62"/>
    <x v="0"/>
  </r>
  <r>
    <x v="824"/>
    <x v="1"/>
    <n v="1128"/>
    <n v="252"/>
    <n v="5062.42"/>
    <x v="1"/>
  </r>
  <r>
    <x v="825"/>
    <x v="0"/>
    <n v="1189"/>
    <n v="229"/>
    <n v="3782.98"/>
    <x v="0"/>
  </r>
  <r>
    <x v="825"/>
    <x v="1"/>
    <n v="1153"/>
    <n v="263"/>
    <n v="3766.41"/>
    <x v="1"/>
  </r>
  <r>
    <x v="826"/>
    <x v="0"/>
    <n v="1222"/>
    <n v="242"/>
    <n v="3628.03"/>
    <x v="0"/>
  </r>
  <r>
    <x v="826"/>
    <x v="1"/>
    <n v="1135"/>
    <n v="245"/>
    <n v="3899.78"/>
    <x v="1"/>
  </r>
  <r>
    <x v="827"/>
    <x v="0"/>
    <n v="1174"/>
    <n v="229"/>
    <n v="3113.81"/>
    <x v="0"/>
  </r>
  <r>
    <x v="827"/>
    <x v="1"/>
    <n v="1113"/>
    <n v="252"/>
    <n v="3590.59"/>
    <x v="1"/>
  </r>
  <r>
    <x v="828"/>
    <x v="0"/>
    <n v="1222"/>
    <n v="212"/>
    <n v="2968.05"/>
    <x v="0"/>
  </r>
  <r>
    <x v="828"/>
    <x v="1"/>
    <n v="1116"/>
    <n v="241"/>
    <n v="4117.74"/>
    <x v="1"/>
  </r>
  <r>
    <x v="829"/>
    <x v="0"/>
    <n v="1197"/>
    <n v="220"/>
    <n v="3753.93"/>
    <x v="0"/>
  </r>
  <r>
    <x v="829"/>
    <x v="1"/>
    <n v="1190"/>
    <n v="265"/>
    <n v="3493.27"/>
    <x v="1"/>
  </r>
  <r>
    <x v="830"/>
    <x v="0"/>
    <n v="1232"/>
    <n v="211"/>
    <n v="2843.54"/>
    <x v="0"/>
  </r>
  <r>
    <x v="830"/>
    <x v="1"/>
    <n v="1149"/>
    <n v="266"/>
    <n v="4096.5600000000004"/>
    <x v="1"/>
  </r>
  <r>
    <x v="831"/>
    <x v="0"/>
    <n v="1167"/>
    <n v="183"/>
    <n v="2654.48"/>
    <x v="0"/>
  </r>
  <r>
    <x v="831"/>
    <x v="1"/>
    <n v="1163"/>
    <n v="262"/>
    <n v="4366.6099999999997"/>
    <x v="1"/>
  </r>
  <r>
    <x v="832"/>
    <x v="0"/>
    <n v="1163"/>
    <n v="217"/>
    <n v="3965.55"/>
    <x v="0"/>
  </r>
  <r>
    <x v="832"/>
    <x v="1"/>
    <n v="1137"/>
    <n v="263"/>
    <n v="3455.11"/>
    <x v="1"/>
  </r>
  <r>
    <x v="833"/>
    <x v="0"/>
    <n v="1144"/>
    <n v="237"/>
    <n v="3610.79"/>
    <x v="0"/>
  </r>
  <r>
    <x v="833"/>
    <x v="1"/>
    <n v="1151"/>
    <n v="291"/>
    <n v="3683.03"/>
    <x v="1"/>
  </r>
  <r>
    <x v="834"/>
    <x v="0"/>
    <n v="1191"/>
    <n v="214"/>
    <n v="3817.35"/>
    <x v="0"/>
  </r>
  <r>
    <x v="834"/>
    <x v="1"/>
    <n v="1174"/>
    <n v="303"/>
    <n v="5025.7700000000004"/>
    <x v="1"/>
  </r>
  <r>
    <x v="835"/>
    <x v="0"/>
    <n v="1151"/>
    <n v="208"/>
    <n v="3142.49"/>
    <x v="0"/>
  </r>
  <r>
    <x v="835"/>
    <x v="1"/>
    <n v="1159"/>
    <n v="272"/>
    <n v="4420.3"/>
    <x v="1"/>
  </r>
  <r>
    <x v="836"/>
    <x v="0"/>
    <n v="1214"/>
    <n v="210"/>
    <n v="3766.5"/>
    <x v="0"/>
  </r>
  <r>
    <x v="836"/>
    <x v="1"/>
    <n v="1148"/>
    <n v="257"/>
    <n v="4096.4399999999996"/>
    <x v="1"/>
  </r>
  <r>
    <x v="837"/>
    <x v="0"/>
    <n v="1152"/>
    <n v="239"/>
    <n v="3974.93"/>
    <x v="0"/>
  </r>
  <r>
    <x v="837"/>
    <x v="1"/>
    <n v="1129"/>
    <n v="253"/>
    <n v="4352.8500000000004"/>
    <x v="1"/>
  </r>
  <r>
    <x v="838"/>
    <x v="0"/>
    <n v="1241"/>
    <n v="246"/>
    <n v="3785.16"/>
    <x v="0"/>
  </r>
  <r>
    <x v="838"/>
    <x v="1"/>
    <n v="1078"/>
    <n v="236"/>
    <n v="3804.17"/>
    <x v="1"/>
  </r>
  <r>
    <x v="839"/>
    <x v="0"/>
    <n v="1183"/>
    <n v="236"/>
    <n v="2907.29"/>
    <x v="0"/>
  </r>
  <r>
    <x v="839"/>
    <x v="1"/>
    <n v="1205"/>
    <n v="275"/>
    <n v="4224.1000000000004"/>
    <x v="1"/>
  </r>
  <r>
    <x v="840"/>
    <x v="0"/>
    <n v="1175"/>
    <n v="245"/>
    <n v="3596.33"/>
    <x v="0"/>
  </r>
  <r>
    <x v="840"/>
    <x v="1"/>
    <n v="1172"/>
    <n v="271"/>
    <n v="4035.03"/>
    <x v="1"/>
  </r>
  <r>
    <x v="841"/>
    <x v="0"/>
    <n v="1186"/>
    <n v="210"/>
    <n v="3199.39"/>
    <x v="0"/>
  </r>
  <r>
    <x v="841"/>
    <x v="1"/>
    <n v="1115"/>
    <n v="241"/>
    <n v="3928.98"/>
    <x v="1"/>
  </r>
  <r>
    <x v="842"/>
    <x v="0"/>
    <n v="1235"/>
    <n v="224"/>
    <n v="3791.2"/>
    <x v="0"/>
  </r>
  <r>
    <x v="842"/>
    <x v="1"/>
    <n v="1187"/>
    <n v="263"/>
    <n v="4821.1000000000004"/>
    <x v="1"/>
  </r>
  <r>
    <x v="843"/>
    <x v="0"/>
    <n v="1159"/>
    <n v="245"/>
    <n v="3989.55"/>
    <x v="0"/>
  </r>
  <r>
    <x v="843"/>
    <x v="1"/>
    <n v="1098"/>
    <n v="245"/>
    <n v="3787.57"/>
    <x v="1"/>
  </r>
  <r>
    <x v="844"/>
    <x v="0"/>
    <n v="1153"/>
    <n v="209"/>
    <n v="3410.1"/>
    <x v="0"/>
  </r>
  <r>
    <x v="844"/>
    <x v="1"/>
    <n v="1160"/>
    <n v="287"/>
    <n v="4365.1099999999997"/>
    <x v="1"/>
  </r>
  <r>
    <x v="845"/>
    <x v="0"/>
    <n v="1238"/>
    <n v="242"/>
    <n v="3315.08"/>
    <x v="0"/>
  </r>
  <r>
    <x v="845"/>
    <x v="1"/>
    <n v="1147"/>
    <n v="246"/>
    <n v="3775.29"/>
    <x v="1"/>
  </r>
  <r>
    <x v="846"/>
    <x v="0"/>
    <n v="1178"/>
    <n v="230"/>
    <n v="2138.9899999999998"/>
    <x v="0"/>
  </r>
  <r>
    <x v="846"/>
    <x v="1"/>
    <n v="1151"/>
    <n v="273"/>
    <n v="4665.34"/>
    <x v="1"/>
  </r>
  <r>
    <x v="847"/>
    <x v="0"/>
    <n v="1162"/>
    <n v="200"/>
    <n v="3610.73"/>
    <x v="0"/>
  </r>
  <r>
    <x v="847"/>
    <x v="1"/>
    <n v="1148"/>
    <n v="269"/>
    <n v="5327.58"/>
    <x v="1"/>
  </r>
  <r>
    <x v="848"/>
    <x v="0"/>
    <n v="1222"/>
    <n v="225"/>
    <n v="2780.97"/>
    <x v="0"/>
  </r>
  <r>
    <x v="848"/>
    <x v="1"/>
    <n v="1149"/>
    <n v="262"/>
    <n v="4066.89"/>
    <x v="1"/>
  </r>
  <r>
    <x v="849"/>
    <x v="0"/>
    <n v="1181"/>
    <n v="240"/>
    <n v="3026.79"/>
    <x v="0"/>
  </r>
  <r>
    <x v="849"/>
    <x v="1"/>
    <n v="1145"/>
    <n v="260"/>
    <n v="3633.42"/>
    <x v="1"/>
  </r>
  <r>
    <x v="850"/>
    <x v="0"/>
    <n v="1154"/>
    <n v="229"/>
    <n v="2753.56"/>
    <x v="0"/>
  </r>
  <r>
    <x v="850"/>
    <x v="1"/>
    <n v="1114"/>
    <n v="252"/>
    <n v="3464.91"/>
    <x v="1"/>
  </r>
  <r>
    <x v="851"/>
    <x v="0"/>
    <n v="1228"/>
    <n v="199"/>
    <n v="2850.52"/>
    <x v="0"/>
  </r>
  <r>
    <x v="851"/>
    <x v="1"/>
    <n v="1099"/>
    <n v="260"/>
    <n v="4161.16"/>
    <x v="1"/>
  </r>
  <r>
    <x v="852"/>
    <x v="0"/>
    <n v="1256"/>
    <n v="229"/>
    <n v="4035.26"/>
    <x v="0"/>
  </r>
  <r>
    <x v="852"/>
    <x v="1"/>
    <n v="1196"/>
    <n v="294"/>
    <n v="5392.61"/>
    <x v="1"/>
  </r>
  <r>
    <x v="853"/>
    <x v="0"/>
    <n v="1251"/>
    <n v="257"/>
    <n v="4016.25"/>
    <x v="0"/>
  </r>
  <r>
    <x v="853"/>
    <x v="1"/>
    <n v="1178"/>
    <n v="281"/>
    <n v="3661.65"/>
    <x v="1"/>
  </r>
  <r>
    <x v="854"/>
    <x v="0"/>
    <n v="1234"/>
    <n v="257"/>
    <n v="2714.66"/>
    <x v="0"/>
  </r>
  <r>
    <x v="854"/>
    <x v="1"/>
    <n v="1145"/>
    <n v="276"/>
    <n v="5751.17"/>
    <x v="1"/>
  </r>
  <r>
    <x v="855"/>
    <x v="0"/>
    <n v="1174"/>
    <n v="240"/>
    <n v="3797.55"/>
    <x v="0"/>
  </r>
  <r>
    <x v="855"/>
    <x v="1"/>
    <n v="1168"/>
    <n v="264"/>
    <n v="3726.94"/>
    <x v="1"/>
  </r>
  <r>
    <x v="856"/>
    <x v="0"/>
    <n v="1268"/>
    <n v="259"/>
    <n v="3744.95"/>
    <x v="0"/>
  </r>
  <r>
    <x v="856"/>
    <x v="1"/>
    <n v="1158"/>
    <n v="239"/>
    <n v="3159.69"/>
    <x v="1"/>
  </r>
  <r>
    <x v="857"/>
    <x v="0"/>
    <n v="1222"/>
    <n v="227"/>
    <n v="3151.14"/>
    <x v="0"/>
  </r>
  <r>
    <x v="857"/>
    <x v="1"/>
    <n v="1137"/>
    <n v="268"/>
    <n v="4041.28"/>
    <x v="1"/>
  </r>
  <r>
    <x v="858"/>
    <x v="0"/>
    <n v="1209"/>
    <n v="234"/>
    <n v="3547.4"/>
    <x v="0"/>
  </r>
  <r>
    <x v="858"/>
    <x v="1"/>
    <n v="1170"/>
    <n v="266"/>
    <n v="4426.7299999999996"/>
    <x v="1"/>
  </r>
  <r>
    <x v="859"/>
    <x v="0"/>
    <n v="1182"/>
    <n v="234"/>
    <n v="3475.9"/>
    <x v="0"/>
  </r>
  <r>
    <x v="859"/>
    <x v="1"/>
    <n v="1097"/>
    <n v="239"/>
    <n v="4727.08"/>
    <x v="1"/>
  </r>
  <r>
    <x v="860"/>
    <x v="0"/>
    <n v="1146"/>
    <n v="211"/>
    <n v="3302.05"/>
    <x v="0"/>
  </r>
  <r>
    <x v="860"/>
    <x v="1"/>
    <n v="1088"/>
    <n v="248"/>
    <n v="4255.96"/>
    <x v="1"/>
  </r>
  <r>
    <x v="861"/>
    <x v="0"/>
    <n v="1210"/>
    <n v="243"/>
    <n v="3803.92"/>
    <x v="0"/>
  </r>
  <r>
    <x v="861"/>
    <x v="1"/>
    <n v="1156"/>
    <n v="254"/>
    <n v="3639.76"/>
    <x v="1"/>
  </r>
  <r>
    <x v="862"/>
    <x v="0"/>
    <n v="1262"/>
    <n v="244"/>
    <n v="3709.64"/>
    <x v="0"/>
  </r>
  <r>
    <x v="862"/>
    <x v="1"/>
    <n v="1192"/>
    <n v="294"/>
    <n v="5584.83"/>
    <x v="1"/>
  </r>
  <r>
    <x v="863"/>
    <x v="0"/>
    <n v="1177"/>
    <n v="226"/>
    <n v="4348.6899999999996"/>
    <x v="0"/>
  </r>
  <r>
    <x v="863"/>
    <x v="1"/>
    <n v="1147"/>
    <n v="289"/>
    <n v="5189.2"/>
    <x v="1"/>
  </r>
  <r>
    <x v="864"/>
    <x v="0"/>
    <n v="1192"/>
    <n v="234"/>
    <n v="2975.57"/>
    <x v="0"/>
  </r>
  <r>
    <x v="864"/>
    <x v="1"/>
    <n v="1151"/>
    <n v="270"/>
    <n v="4352.3500000000004"/>
    <x v="1"/>
  </r>
  <r>
    <x v="865"/>
    <x v="0"/>
    <n v="1228"/>
    <n v="239"/>
    <n v="3428.88"/>
    <x v="0"/>
  </r>
  <r>
    <x v="865"/>
    <x v="1"/>
    <n v="1139"/>
    <n v="275"/>
    <n v="5491.96"/>
    <x v="1"/>
  </r>
  <r>
    <x v="866"/>
    <x v="0"/>
    <n v="1241"/>
    <n v="238"/>
    <n v="2883.65"/>
    <x v="0"/>
  </r>
  <r>
    <x v="866"/>
    <x v="1"/>
    <n v="1172"/>
    <n v="271"/>
    <n v="4848.6899999999996"/>
    <x v="1"/>
  </r>
  <r>
    <x v="867"/>
    <x v="0"/>
    <n v="1202"/>
    <n v="232"/>
    <n v="3283.41"/>
    <x v="0"/>
  </r>
  <r>
    <x v="867"/>
    <x v="1"/>
    <n v="1181"/>
    <n v="254"/>
    <n v="3815.51"/>
    <x v="1"/>
  </r>
  <r>
    <x v="868"/>
    <x v="0"/>
    <n v="1152"/>
    <n v="236"/>
    <n v="3123.96"/>
    <x v="0"/>
  </r>
  <r>
    <x v="868"/>
    <x v="1"/>
    <n v="1168"/>
    <n v="307"/>
    <n v="4967.45"/>
    <x v="1"/>
  </r>
  <r>
    <x v="869"/>
    <x v="0"/>
    <n v="1221"/>
    <n v="233"/>
    <n v="2529.2800000000002"/>
    <x v="0"/>
  </r>
  <r>
    <x v="869"/>
    <x v="1"/>
    <n v="1192"/>
    <n v="270"/>
    <n v="4403.18"/>
    <x v="1"/>
  </r>
  <r>
    <x v="870"/>
    <x v="0"/>
    <n v="1238"/>
    <n v="252"/>
    <n v="2779.72"/>
    <x v="0"/>
  </r>
  <r>
    <x v="870"/>
    <x v="1"/>
    <n v="1112"/>
    <n v="237"/>
    <n v="3665.38"/>
    <x v="1"/>
  </r>
  <r>
    <x v="871"/>
    <x v="0"/>
    <n v="1111"/>
    <n v="221"/>
    <n v="3824.85"/>
    <x v="0"/>
  </r>
  <r>
    <x v="871"/>
    <x v="1"/>
    <n v="1167"/>
    <n v="274"/>
    <n v="5021.09"/>
    <x v="1"/>
  </r>
  <r>
    <x v="872"/>
    <x v="0"/>
    <n v="1197"/>
    <n v="228"/>
    <n v="2892.22"/>
    <x v="0"/>
  </r>
  <r>
    <x v="872"/>
    <x v="1"/>
    <n v="1209"/>
    <n v="281"/>
    <n v="3382.77"/>
    <x v="1"/>
  </r>
  <r>
    <x v="873"/>
    <x v="0"/>
    <n v="1186"/>
    <n v="232"/>
    <n v="3067.57"/>
    <x v="0"/>
  </r>
  <r>
    <x v="873"/>
    <x v="1"/>
    <n v="1162"/>
    <n v="289"/>
    <n v="4531.67"/>
    <x v="1"/>
  </r>
  <r>
    <x v="874"/>
    <x v="0"/>
    <n v="1181"/>
    <n v="218"/>
    <n v="3124.6"/>
    <x v="0"/>
  </r>
  <r>
    <x v="874"/>
    <x v="1"/>
    <n v="1205"/>
    <n v="254"/>
    <n v="4513.71"/>
    <x v="1"/>
  </r>
  <r>
    <x v="875"/>
    <x v="0"/>
    <n v="1175"/>
    <n v="246"/>
    <n v="3555.68"/>
    <x v="0"/>
  </r>
  <r>
    <x v="875"/>
    <x v="1"/>
    <n v="1230"/>
    <n v="265"/>
    <n v="4550.0600000000004"/>
    <x v="1"/>
  </r>
  <r>
    <x v="876"/>
    <x v="0"/>
    <n v="1198"/>
    <n v="212"/>
    <n v="2494.3200000000002"/>
    <x v="0"/>
  </r>
  <r>
    <x v="876"/>
    <x v="1"/>
    <n v="1232"/>
    <n v="285"/>
    <n v="4757.3999999999996"/>
    <x v="1"/>
  </r>
  <r>
    <x v="877"/>
    <x v="0"/>
    <n v="1191"/>
    <n v="223"/>
    <n v="3624.95"/>
    <x v="0"/>
  </r>
  <r>
    <x v="877"/>
    <x v="1"/>
    <n v="1095"/>
    <n v="237"/>
    <n v="4581.04"/>
    <x v="1"/>
  </r>
  <r>
    <x v="878"/>
    <x v="0"/>
    <n v="1174"/>
    <n v="215"/>
    <n v="3303.3"/>
    <x v="0"/>
  </r>
  <r>
    <x v="878"/>
    <x v="1"/>
    <n v="1108"/>
    <n v="250"/>
    <n v="3482.02"/>
    <x v="1"/>
  </r>
  <r>
    <x v="879"/>
    <x v="0"/>
    <n v="1202"/>
    <n v="234"/>
    <n v="3157.5"/>
    <x v="0"/>
  </r>
  <r>
    <x v="879"/>
    <x v="1"/>
    <n v="1180"/>
    <n v="257"/>
    <n v="4053.61"/>
    <x v="1"/>
  </r>
  <r>
    <x v="880"/>
    <x v="0"/>
    <n v="1247"/>
    <n v="227"/>
    <n v="3191.28"/>
    <x v="0"/>
  </r>
  <r>
    <x v="880"/>
    <x v="1"/>
    <n v="1160"/>
    <n v="257"/>
    <n v="4688.29"/>
    <x v="1"/>
  </r>
  <r>
    <x v="881"/>
    <x v="0"/>
    <n v="1200"/>
    <n v="222"/>
    <n v="3577.49"/>
    <x v="0"/>
  </r>
  <r>
    <x v="881"/>
    <x v="1"/>
    <n v="1181"/>
    <n v="257"/>
    <n v="4436.96"/>
    <x v="1"/>
  </r>
  <r>
    <x v="882"/>
    <x v="0"/>
    <n v="1251"/>
    <n v="217"/>
    <n v="3301.74"/>
    <x v="0"/>
  </r>
  <r>
    <x v="882"/>
    <x v="1"/>
    <n v="1164"/>
    <n v="249"/>
    <n v="4481.1099999999997"/>
    <x v="1"/>
  </r>
  <r>
    <x v="883"/>
    <x v="0"/>
    <n v="1200"/>
    <n v="236"/>
    <n v="3284.94"/>
    <x v="0"/>
  </r>
  <r>
    <x v="883"/>
    <x v="1"/>
    <n v="1111"/>
    <n v="297"/>
    <n v="4275.92"/>
    <x v="1"/>
  </r>
  <r>
    <x v="884"/>
    <x v="0"/>
    <n v="1176"/>
    <n v="243"/>
    <n v="3947.75"/>
    <x v="0"/>
  </r>
  <r>
    <x v="884"/>
    <x v="1"/>
    <n v="1123"/>
    <n v="229"/>
    <n v="3957.83"/>
    <x v="1"/>
  </r>
  <r>
    <x v="885"/>
    <x v="0"/>
    <n v="1220"/>
    <n v="233"/>
    <n v="3392.14"/>
    <x v="0"/>
  </r>
  <r>
    <x v="885"/>
    <x v="1"/>
    <n v="1160"/>
    <n v="258"/>
    <n v="3440.34"/>
    <x v="1"/>
  </r>
  <r>
    <x v="886"/>
    <x v="0"/>
    <n v="1148"/>
    <n v="222"/>
    <n v="3137.91"/>
    <x v="0"/>
  </r>
  <r>
    <x v="886"/>
    <x v="1"/>
    <n v="1204"/>
    <n v="275"/>
    <n v="5602.15"/>
    <x v="1"/>
  </r>
  <r>
    <x v="887"/>
    <x v="0"/>
    <n v="1196"/>
    <n v="219"/>
    <n v="3992.75"/>
    <x v="0"/>
  </r>
  <r>
    <x v="887"/>
    <x v="1"/>
    <n v="1187"/>
    <n v="277"/>
    <n v="3897.45"/>
    <x v="1"/>
  </r>
  <r>
    <x v="888"/>
    <x v="0"/>
    <n v="1174"/>
    <n v="210"/>
    <n v="4568.5"/>
    <x v="0"/>
  </r>
  <r>
    <x v="888"/>
    <x v="1"/>
    <n v="1112"/>
    <n v="263"/>
    <n v="4563.84"/>
    <x v="1"/>
  </r>
  <r>
    <x v="889"/>
    <x v="0"/>
    <n v="1233"/>
    <n v="235"/>
    <n v="3373.11"/>
    <x v="0"/>
  </r>
  <r>
    <x v="889"/>
    <x v="1"/>
    <n v="1172"/>
    <n v="280"/>
    <n v="4630.53"/>
    <x v="1"/>
  </r>
  <r>
    <x v="890"/>
    <x v="0"/>
    <n v="1199"/>
    <n v="220"/>
    <n v="2969.68"/>
    <x v="0"/>
  </r>
  <r>
    <x v="890"/>
    <x v="1"/>
    <n v="1162"/>
    <n v="277"/>
    <n v="4871.16"/>
    <x v="1"/>
  </r>
  <r>
    <x v="891"/>
    <x v="0"/>
    <n v="1172"/>
    <n v="242"/>
    <n v="4820.58"/>
    <x v="0"/>
  </r>
  <r>
    <x v="891"/>
    <x v="1"/>
    <n v="1130"/>
    <n v="261"/>
    <n v="4583.9399999999996"/>
    <x v="1"/>
  </r>
  <r>
    <x v="892"/>
    <x v="0"/>
    <n v="1225"/>
    <n v="237"/>
    <n v="3079.07"/>
    <x v="0"/>
  </r>
  <r>
    <x v="892"/>
    <x v="1"/>
    <n v="1104"/>
    <n v="256"/>
    <n v="4579.53"/>
    <x v="1"/>
  </r>
  <r>
    <x v="893"/>
    <x v="0"/>
    <n v="1215"/>
    <n v="242"/>
    <n v="4057.08"/>
    <x v="0"/>
  </r>
  <r>
    <x v="893"/>
    <x v="1"/>
    <n v="1153"/>
    <n v="282"/>
    <n v="5091.5"/>
    <x v="1"/>
  </r>
  <r>
    <x v="894"/>
    <x v="0"/>
    <n v="1191"/>
    <n v="247"/>
    <n v="4115.76"/>
    <x v="0"/>
  </r>
  <r>
    <x v="894"/>
    <x v="1"/>
    <n v="1230"/>
    <n v="297"/>
    <n v="5226.07"/>
    <x v="1"/>
  </r>
  <r>
    <x v="895"/>
    <x v="0"/>
    <n v="1183"/>
    <n v="234"/>
    <n v="3623.29"/>
    <x v="0"/>
  </r>
  <r>
    <x v="895"/>
    <x v="1"/>
    <n v="1174"/>
    <n v="293"/>
    <n v="4189.33"/>
    <x v="1"/>
  </r>
  <r>
    <x v="896"/>
    <x v="0"/>
    <n v="1179"/>
    <n v="231"/>
    <n v="4300.13"/>
    <x v="0"/>
  </r>
  <r>
    <x v="896"/>
    <x v="1"/>
    <n v="1176"/>
    <n v="250"/>
    <n v="4820.71"/>
    <x v="1"/>
  </r>
  <r>
    <x v="897"/>
    <x v="0"/>
    <n v="1144"/>
    <n v="201"/>
    <n v="2928.49"/>
    <x v="0"/>
  </r>
  <r>
    <x v="897"/>
    <x v="1"/>
    <n v="1212"/>
    <n v="281"/>
    <n v="5138.59"/>
    <x v="1"/>
  </r>
  <r>
    <x v="898"/>
    <x v="0"/>
    <n v="1179"/>
    <n v="250"/>
    <n v="3824.39"/>
    <x v="0"/>
  </r>
  <r>
    <x v="898"/>
    <x v="1"/>
    <n v="1141"/>
    <n v="267"/>
    <n v="4180.55"/>
    <x v="1"/>
  </r>
  <r>
    <x v="899"/>
    <x v="0"/>
    <n v="1203"/>
    <n v="207"/>
    <n v="2949.16"/>
    <x v="0"/>
  </r>
  <r>
    <x v="899"/>
    <x v="1"/>
    <n v="1179"/>
    <n v="281"/>
    <n v="4673.63"/>
    <x v="1"/>
  </r>
  <r>
    <x v="900"/>
    <x v="0"/>
    <n v="1243"/>
    <n v="242"/>
    <n v="3602.51"/>
    <x v="0"/>
  </r>
  <r>
    <x v="900"/>
    <x v="1"/>
    <n v="1117"/>
    <n v="268"/>
    <n v="3810.73"/>
    <x v="1"/>
  </r>
  <r>
    <x v="901"/>
    <x v="0"/>
    <n v="1215"/>
    <n v="233"/>
    <n v="3315.11"/>
    <x v="0"/>
  </r>
  <r>
    <x v="901"/>
    <x v="1"/>
    <n v="1139"/>
    <n v="234"/>
    <n v="3315.43"/>
    <x v="1"/>
  </r>
  <r>
    <x v="902"/>
    <x v="0"/>
    <n v="1156"/>
    <n v="226"/>
    <n v="3755.97"/>
    <x v="0"/>
  </r>
  <r>
    <x v="902"/>
    <x v="1"/>
    <n v="1188"/>
    <n v="267"/>
    <n v="4395.2"/>
    <x v="1"/>
  </r>
  <r>
    <x v="903"/>
    <x v="0"/>
    <n v="1205"/>
    <n v="228"/>
    <n v="3600.54"/>
    <x v="0"/>
  </r>
  <r>
    <x v="903"/>
    <x v="1"/>
    <n v="1145"/>
    <n v="255"/>
    <n v="4020.24"/>
    <x v="1"/>
  </r>
  <r>
    <x v="904"/>
    <x v="0"/>
    <n v="1207"/>
    <n v="223"/>
    <n v="3449.3"/>
    <x v="0"/>
  </r>
  <r>
    <x v="904"/>
    <x v="1"/>
    <n v="1138"/>
    <n v="264"/>
    <n v="4839.12"/>
    <x v="1"/>
  </r>
  <r>
    <x v="905"/>
    <x v="0"/>
    <n v="1195"/>
    <n v="245"/>
    <n v="3603.22"/>
    <x v="0"/>
  </r>
  <r>
    <x v="905"/>
    <x v="1"/>
    <n v="1159"/>
    <n v="259"/>
    <n v="4665.32"/>
    <x v="1"/>
  </r>
  <r>
    <x v="906"/>
    <x v="0"/>
    <n v="1221"/>
    <n v="255"/>
    <n v="3544.54"/>
    <x v="0"/>
  </r>
  <r>
    <x v="906"/>
    <x v="1"/>
    <n v="1195"/>
    <n v="275"/>
    <n v="4119.46"/>
    <x v="1"/>
  </r>
  <r>
    <x v="907"/>
    <x v="0"/>
    <n v="1198"/>
    <n v="218"/>
    <n v="2494.16"/>
    <x v="0"/>
  </r>
  <r>
    <x v="907"/>
    <x v="1"/>
    <n v="1146"/>
    <n v="265"/>
    <n v="3957.51"/>
    <x v="1"/>
  </r>
  <r>
    <x v="908"/>
    <x v="0"/>
    <n v="1223"/>
    <n v="264"/>
    <n v="3539.89"/>
    <x v="0"/>
  </r>
  <r>
    <x v="908"/>
    <x v="1"/>
    <n v="1115"/>
    <n v="236"/>
    <n v="4436.53"/>
    <x v="1"/>
  </r>
  <r>
    <x v="909"/>
    <x v="0"/>
    <n v="1146"/>
    <n v="228"/>
    <n v="3061.32"/>
    <x v="0"/>
  </r>
  <r>
    <x v="909"/>
    <x v="1"/>
    <n v="1155"/>
    <n v="236"/>
    <n v="3932.88"/>
    <x v="1"/>
  </r>
  <r>
    <x v="910"/>
    <x v="0"/>
    <n v="1315"/>
    <n v="257"/>
    <n v="3288.94"/>
    <x v="0"/>
  </r>
  <r>
    <x v="910"/>
    <x v="1"/>
    <n v="1151"/>
    <n v="267"/>
    <n v="4662.97"/>
    <x v="1"/>
  </r>
  <r>
    <x v="911"/>
    <x v="0"/>
    <n v="1164"/>
    <n v="214"/>
    <n v="3468.39"/>
    <x v="0"/>
  </r>
  <r>
    <x v="911"/>
    <x v="1"/>
    <n v="1137"/>
    <n v="265"/>
    <n v="4982.8"/>
    <x v="1"/>
  </r>
  <r>
    <x v="912"/>
    <x v="0"/>
    <n v="1162"/>
    <n v="216"/>
    <n v="4196.59"/>
    <x v="0"/>
  </r>
  <r>
    <x v="912"/>
    <x v="1"/>
    <n v="1196"/>
    <n v="294"/>
    <n v="3911.55"/>
    <x v="1"/>
  </r>
  <r>
    <x v="913"/>
    <x v="0"/>
    <n v="1193"/>
    <n v="232"/>
    <n v="3673.53"/>
    <x v="0"/>
  </r>
  <r>
    <x v="913"/>
    <x v="1"/>
    <n v="1115"/>
    <n v="251"/>
    <n v="3521.71"/>
    <x v="1"/>
  </r>
  <r>
    <x v="914"/>
    <x v="0"/>
    <n v="1119"/>
    <n v="198"/>
    <n v="3182.04"/>
    <x v="0"/>
  </r>
  <r>
    <x v="914"/>
    <x v="1"/>
    <n v="1158"/>
    <n v="270"/>
    <n v="4972.87"/>
    <x v="1"/>
  </r>
  <r>
    <x v="915"/>
    <x v="0"/>
    <n v="1197"/>
    <n v="239"/>
    <n v="4086.04"/>
    <x v="0"/>
  </r>
  <r>
    <x v="915"/>
    <x v="1"/>
    <n v="1181"/>
    <n v="256"/>
    <n v="3666.85"/>
    <x v="1"/>
  </r>
  <r>
    <x v="916"/>
    <x v="0"/>
    <n v="1170"/>
    <n v="210"/>
    <n v="2883.6"/>
    <x v="0"/>
  </r>
  <r>
    <x v="916"/>
    <x v="1"/>
    <n v="1185"/>
    <n v="270"/>
    <n v="4929.58"/>
    <x v="1"/>
  </r>
  <r>
    <x v="917"/>
    <x v="0"/>
    <n v="1191"/>
    <n v="223"/>
    <n v="3795.63"/>
    <x v="0"/>
  </r>
  <r>
    <x v="917"/>
    <x v="1"/>
    <n v="1129"/>
    <n v="265"/>
    <n v="4003.75"/>
    <x v="1"/>
  </r>
  <r>
    <x v="918"/>
    <x v="0"/>
    <n v="1152"/>
    <n v="216"/>
    <n v="2944.58"/>
    <x v="0"/>
  </r>
  <r>
    <x v="918"/>
    <x v="1"/>
    <n v="1231"/>
    <n v="258"/>
    <n v="4123.2700000000004"/>
    <x v="1"/>
  </r>
  <r>
    <x v="919"/>
    <x v="0"/>
    <n v="1241"/>
    <n v="241"/>
    <n v="2974.42"/>
    <x v="0"/>
  </r>
  <r>
    <x v="919"/>
    <x v="1"/>
    <n v="1151"/>
    <n v="264"/>
    <n v="3832.05"/>
    <x v="1"/>
  </r>
  <r>
    <x v="920"/>
    <x v="0"/>
    <n v="1215"/>
    <n v="244"/>
    <n v="3464.21"/>
    <x v="0"/>
  </r>
  <r>
    <x v="920"/>
    <x v="1"/>
    <n v="1106"/>
    <n v="254"/>
    <n v="4424.4799999999996"/>
    <x v="1"/>
  </r>
  <r>
    <x v="921"/>
    <x v="0"/>
    <n v="1269"/>
    <n v="252"/>
    <n v="4400.1499999999996"/>
    <x v="0"/>
  </r>
  <r>
    <x v="921"/>
    <x v="1"/>
    <n v="1128"/>
    <n v="242"/>
    <n v="4127.3"/>
    <x v="1"/>
  </r>
  <r>
    <x v="922"/>
    <x v="0"/>
    <n v="1235"/>
    <n v="225"/>
    <n v="2359.89"/>
    <x v="0"/>
  </r>
  <r>
    <x v="922"/>
    <x v="1"/>
    <n v="1085"/>
    <n v="265"/>
    <n v="4468.4399999999996"/>
    <x v="1"/>
  </r>
  <r>
    <x v="923"/>
    <x v="0"/>
    <n v="1256"/>
    <n v="242"/>
    <n v="3291.39"/>
    <x v="0"/>
  </r>
  <r>
    <x v="923"/>
    <x v="1"/>
    <n v="1139"/>
    <n v="264"/>
    <n v="4113.45"/>
    <x v="1"/>
  </r>
  <r>
    <x v="924"/>
    <x v="0"/>
    <n v="1126"/>
    <n v="221"/>
    <n v="3122.17"/>
    <x v="0"/>
  </r>
  <r>
    <x v="924"/>
    <x v="1"/>
    <n v="1161"/>
    <n v="264"/>
    <n v="4777.41"/>
    <x v="1"/>
  </r>
  <r>
    <x v="925"/>
    <x v="0"/>
    <n v="1155"/>
    <n v="225"/>
    <n v="3650.97"/>
    <x v="0"/>
  </r>
  <r>
    <x v="925"/>
    <x v="1"/>
    <n v="1161"/>
    <n v="275"/>
    <n v="5025.78"/>
    <x v="1"/>
  </r>
  <r>
    <x v="926"/>
    <x v="0"/>
    <n v="1240"/>
    <n v="218"/>
    <n v="3365.36"/>
    <x v="0"/>
  </r>
  <r>
    <x v="926"/>
    <x v="1"/>
    <n v="1192"/>
    <n v="264"/>
    <n v="4135.92"/>
    <x v="1"/>
  </r>
  <r>
    <x v="927"/>
    <x v="0"/>
    <n v="1211"/>
    <n v="243"/>
    <n v="3261.05"/>
    <x v="0"/>
  </r>
  <r>
    <x v="927"/>
    <x v="1"/>
    <n v="1187"/>
    <n v="273"/>
    <n v="4746.28"/>
    <x v="1"/>
  </r>
  <r>
    <x v="928"/>
    <x v="0"/>
    <n v="1244"/>
    <n v="224"/>
    <n v="2765.15"/>
    <x v="0"/>
  </r>
  <r>
    <x v="928"/>
    <x v="1"/>
    <n v="1203"/>
    <n v="277"/>
    <n v="4272.1499999999996"/>
    <x v="1"/>
  </r>
  <r>
    <x v="929"/>
    <x v="0"/>
    <n v="1212"/>
    <n v="234"/>
    <n v="4106.55"/>
    <x v="0"/>
  </r>
  <r>
    <x v="929"/>
    <x v="1"/>
    <n v="1113"/>
    <n v="263"/>
    <n v="3610.66"/>
    <x v="1"/>
  </r>
  <r>
    <x v="930"/>
    <x v="0"/>
    <n v="1246"/>
    <n v="234"/>
    <n v="4045.09"/>
    <x v="0"/>
  </r>
  <r>
    <x v="930"/>
    <x v="1"/>
    <n v="1131"/>
    <n v="271"/>
    <n v="4436.1899999999996"/>
    <x v="1"/>
  </r>
  <r>
    <x v="931"/>
    <x v="0"/>
    <n v="1250"/>
    <n v="228"/>
    <n v="2923.56"/>
    <x v="0"/>
  </r>
  <r>
    <x v="931"/>
    <x v="1"/>
    <n v="1139"/>
    <n v="254"/>
    <n v="4349.2299999999996"/>
    <x v="1"/>
  </r>
  <r>
    <x v="932"/>
    <x v="0"/>
    <n v="1225"/>
    <n v="203"/>
    <n v="3981.21"/>
    <x v="0"/>
  </r>
  <r>
    <x v="932"/>
    <x v="1"/>
    <n v="1169"/>
    <n v="276"/>
    <n v="3643.56"/>
    <x v="1"/>
  </r>
  <r>
    <x v="933"/>
    <x v="0"/>
    <n v="1107"/>
    <n v="223"/>
    <n v="3192.33"/>
    <x v="0"/>
  </r>
  <r>
    <x v="933"/>
    <x v="1"/>
    <n v="1211"/>
    <n v="273"/>
    <n v="4860.54"/>
    <x v="1"/>
  </r>
  <r>
    <x v="934"/>
    <x v="0"/>
    <n v="1203"/>
    <n v="244"/>
    <n v="4085.32"/>
    <x v="0"/>
  </r>
  <r>
    <x v="934"/>
    <x v="1"/>
    <n v="1167"/>
    <n v="271"/>
    <n v="4513.33"/>
    <x v="1"/>
  </r>
  <r>
    <x v="935"/>
    <x v="0"/>
    <n v="1290"/>
    <n v="236"/>
    <n v="3523.69"/>
    <x v="0"/>
  </r>
  <r>
    <x v="935"/>
    <x v="1"/>
    <n v="1146"/>
    <n v="256"/>
    <n v="4559.7299999999996"/>
    <x v="1"/>
  </r>
  <r>
    <x v="936"/>
    <x v="0"/>
    <n v="1238"/>
    <n v="246"/>
    <n v="4473.28"/>
    <x v="0"/>
  </r>
  <r>
    <x v="936"/>
    <x v="1"/>
    <n v="1161"/>
    <n v="272"/>
    <n v="4032.27"/>
    <x v="1"/>
  </r>
  <r>
    <x v="937"/>
    <x v="0"/>
    <n v="1262"/>
    <n v="235"/>
    <n v="3472.43"/>
    <x v="0"/>
  </r>
  <r>
    <x v="937"/>
    <x v="1"/>
    <n v="1141"/>
    <n v="259"/>
    <n v="3909.51"/>
    <x v="1"/>
  </r>
  <r>
    <x v="938"/>
    <x v="0"/>
    <n v="1216"/>
    <n v="231"/>
    <n v="3706.78"/>
    <x v="0"/>
  </r>
  <r>
    <x v="938"/>
    <x v="1"/>
    <n v="1176"/>
    <n v="269"/>
    <n v="3873.28"/>
    <x v="1"/>
  </r>
  <r>
    <x v="939"/>
    <x v="0"/>
    <n v="1121"/>
    <n v="220"/>
    <n v="3481.78"/>
    <x v="0"/>
  </r>
  <r>
    <x v="939"/>
    <x v="1"/>
    <n v="1137"/>
    <n v="259"/>
    <n v="4023.2"/>
    <x v="1"/>
  </r>
  <r>
    <x v="940"/>
    <x v="0"/>
    <n v="1191"/>
    <n v="210"/>
    <n v="3770.81"/>
    <x v="0"/>
  </r>
  <r>
    <x v="940"/>
    <x v="1"/>
    <n v="1172"/>
    <n v="270"/>
    <n v="3519.51"/>
    <x v="1"/>
  </r>
  <r>
    <x v="941"/>
    <x v="0"/>
    <n v="1110"/>
    <n v="221"/>
    <n v="3704.43"/>
    <x v="0"/>
  </r>
  <r>
    <x v="941"/>
    <x v="1"/>
    <n v="1127"/>
    <n v="254"/>
    <n v="4338.62"/>
    <x v="1"/>
  </r>
  <r>
    <x v="942"/>
    <x v="0"/>
    <n v="1224"/>
    <n v="227"/>
    <n v="2865.85"/>
    <x v="0"/>
  </r>
  <r>
    <x v="942"/>
    <x v="1"/>
    <n v="1157"/>
    <n v="234"/>
    <n v="4014.93"/>
    <x v="1"/>
  </r>
  <r>
    <x v="943"/>
    <x v="0"/>
    <n v="1227"/>
    <n v="226"/>
    <n v="4038.09"/>
    <x v="0"/>
  </r>
  <r>
    <x v="943"/>
    <x v="1"/>
    <n v="1188"/>
    <n v="268"/>
    <n v="3549.77"/>
    <x v="1"/>
  </r>
  <r>
    <x v="944"/>
    <x v="0"/>
    <n v="1230"/>
    <n v="228"/>
    <n v="2871.02"/>
    <x v="0"/>
  </r>
  <r>
    <x v="944"/>
    <x v="1"/>
    <n v="1131"/>
    <n v="248"/>
    <n v="4079.73"/>
    <x v="1"/>
  </r>
  <r>
    <x v="945"/>
    <x v="0"/>
    <n v="1197"/>
    <n v="212"/>
    <n v="2688.75"/>
    <x v="0"/>
  </r>
  <r>
    <x v="945"/>
    <x v="1"/>
    <n v="1187"/>
    <n v="232"/>
    <n v="2869.54"/>
    <x v="1"/>
  </r>
  <r>
    <x v="946"/>
    <x v="0"/>
    <n v="1216"/>
    <n v="233"/>
    <n v="3726.43"/>
    <x v="0"/>
  </r>
  <r>
    <x v="946"/>
    <x v="1"/>
    <n v="1133"/>
    <n v="257"/>
    <n v="4438.4399999999996"/>
    <x v="1"/>
  </r>
  <r>
    <x v="947"/>
    <x v="0"/>
    <n v="1199"/>
    <n v="199"/>
    <n v="3018.78"/>
    <x v="0"/>
  </r>
  <r>
    <x v="947"/>
    <x v="1"/>
    <n v="1160"/>
    <n v="293"/>
    <n v="5089.7700000000004"/>
    <x v="1"/>
  </r>
  <r>
    <x v="948"/>
    <x v="0"/>
    <n v="1223"/>
    <n v="218"/>
    <n v="3655.25"/>
    <x v="0"/>
  </r>
  <r>
    <x v="948"/>
    <x v="1"/>
    <n v="1160"/>
    <n v="259"/>
    <n v="3436.31"/>
    <x v="1"/>
  </r>
  <r>
    <x v="949"/>
    <x v="0"/>
    <n v="1155"/>
    <n v="229"/>
    <n v="3758.58"/>
    <x v="0"/>
  </r>
  <r>
    <x v="949"/>
    <x v="1"/>
    <n v="1121"/>
    <n v="263"/>
    <n v="4197.9399999999996"/>
    <x v="1"/>
  </r>
  <r>
    <x v="950"/>
    <x v="0"/>
    <n v="1253"/>
    <n v="236"/>
    <n v="3506.85"/>
    <x v="0"/>
  </r>
  <r>
    <x v="950"/>
    <x v="1"/>
    <n v="1108"/>
    <n v="229"/>
    <n v="3532.5"/>
    <x v="1"/>
  </r>
  <r>
    <x v="951"/>
    <x v="0"/>
    <n v="1239"/>
    <n v="235"/>
    <n v="2742.39"/>
    <x v="0"/>
  </r>
  <r>
    <x v="951"/>
    <x v="1"/>
    <n v="1085"/>
    <n v="255"/>
    <n v="3059.11"/>
    <x v="1"/>
  </r>
  <r>
    <x v="952"/>
    <x v="0"/>
    <n v="1221"/>
    <n v="231"/>
    <n v="3682.78"/>
    <x v="0"/>
  </r>
  <r>
    <x v="952"/>
    <x v="1"/>
    <n v="1101"/>
    <n v="247"/>
    <n v="4580.32"/>
    <x v="1"/>
  </r>
  <r>
    <x v="953"/>
    <x v="0"/>
    <n v="1203"/>
    <n v="240"/>
    <n v="3822.38"/>
    <x v="0"/>
  </r>
  <r>
    <x v="953"/>
    <x v="1"/>
    <n v="1113"/>
    <n v="243"/>
    <n v="3726.14"/>
    <x v="1"/>
  </r>
  <r>
    <x v="954"/>
    <x v="0"/>
    <n v="1197"/>
    <n v="219"/>
    <n v="4046.24"/>
    <x v="0"/>
  </r>
  <r>
    <x v="954"/>
    <x v="1"/>
    <n v="1201"/>
    <n v="263"/>
    <n v="4433.6400000000003"/>
    <x v="1"/>
  </r>
  <r>
    <x v="955"/>
    <x v="0"/>
    <n v="1251"/>
    <n v="240"/>
    <n v="3060.87"/>
    <x v="0"/>
  </r>
  <r>
    <x v="955"/>
    <x v="1"/>
    <n v="1173"/>
    <n v="245"/>
    <n v="4922.37"/>
    <x v="1"/>
  </r>
  <r>
    <x v="956"/>
    <x v="0"/>
    <n v="1266"/>
    <n v="244"/>
    <n v="3183.41"/>
    <x v="0"/>
  </r>
  <r>
    <x v="956"/>
    <x v="1"/>
    <n v="1108"/>
    <n v="250"/>
    <n v="4080.13"/>
    <x v="1"/>
  </r>
  <r>
    <x v="957"/>
    <x v="0"/>
    <n v="1235"/>
    <n v="238"/>
    <n v="3463.84"/>
    <x v="0"/>
  </r>
  <r>
    <x v="957"/>
    <x v="1"/>
    <n v="1224"/>
    <n v="280"/>
    <n v="4637.9399999999996"/>
    <x v="1"/>
  </r>
  <r>
    <x v="958"/>
    <x v="0"/>
    <n v="1209"/>
    <n v="232"/>
    <n v="2975.28"/>
    <x v="0"/>
  </r>
  <r>
    <x v="958"/>
    <x v="1"/>
    <n v="1166"/>
    <n v="281"/>
    <n v="4426.37"/>
    <x v="1"/>
  </r>
  <r>
    <x v="959"/>
    <x v="0"/>
    <n v="1205"/>
    <n v="229"/>
    <n v="3267.22"/>
    <x v="0"/>
  </r>
  <r>
    <x v="959"/>
    <x v="1"/>
    <n v="1101"/>
    <n v="246"/>
    <n v="4022.97"/>
    <x v="1"/>
  </r>
  <r>
    <x v="960"/>
    <x v="0"/>
    <n v="1274"/>
    <n v="255"/>
    <n v="4067.98"/>
    <x v="0"/>
  </r>
  <r>
    <x v="960"/>
    <x v="1"/>
    <n v="1160"/>
    <n v="275"/>
    <n v="4315.71"/>
    <x v="1"/>
  </r>
  <r>
    <x v="961"/>
    <x v="0"/>
    <n v="1274"/>
    <n v="258"/>
    <n v="3767.28"/>
    <x v="0"/>
  </r>
  <r>
    <x v="961"/>
    <x v="1"/>
    <n v="1198"/>
    <n v="266"/>
    <n v="4354.33"/>
    <x v="1"/>
  </r>
  <r>
    <x v="962"/>
    <x v="0"/>
    <n v="1181"/>
    <n v="238"/>
    <n v="3016.44"/>
    <x v="0"/>
  </r>
  <r>
    <x v="962"/>
    <x v="1"/>
    <n v="1139"/>
    <n v="251"/>
    <n v="3836.58"/>
    <x v="1"/>
  </r>
  <r>
    <x v="963"/>
    <x v="0"/>
    <n v="1275"/>
    <n v="226"/>
    <n v="3691.51"/>
    <x v="0"/>
  </r>
  <r>
    <x v="963"/>
    <x v="1"/>
    <n v="1182"/>
    <n v="250"/>
    <n v="3227.47"/>
    <x v="1"/>
  </r>
  <r>
    <x v="964"/>
    <x v="0"/>
    <n v="1226"/>
    <n v="230"/>
    <n v="3146.85"/>
    <x v="0"/>
  </r>
  <r>
    <x v="964"/>
    <x v="1"/>
    <n v="1123"/>
    <n v="249"/>
    <n v="4645.67"/>
    <x v="1"/>
  </r>
  <r>
    <x v="965"/>
    <x v="0"/>
    <n v="1185"/>
    <n v="190"/>
    <n v="2733.25"/>
    <x v="0"/>
  </r>
  <r>
    <x v="965"/>
    <x v="1"/>
    <n v="1207"/>
    <n v="266"/>
    <n v="4984.3599999999997"/>
    <x v="1"/>
  </r>
  <r>
    <x v="966"/>
    <x v="0"/>
    <n v="1171"/>
    <n v="220"/>
    <n v="4004.47"/>
    <x v="0"/>
  </r>
  <r>
    <x v="966"/>
    <x v="1"/>
    <n v="1128"/>
    <n v="238"/>
    <n v="4232.5200000000004"/>
    <x v="1"/>
  </r>
  <r>
    <x v="967"/>
    <x v="0"/>
    <n v="1215"/>
    <n v="230"/>
    <n v="3378.51"/>
    <x v="0"/>
  </r>
  <r>
    <x v="967"/>
    <x v="1"/>
    <n v="1196"/>
    <n v="267"/>
    <n v="3654.85"/>
    <x v="1"/>
  </r>
  <r>
    <x v="968"/>
    <x v="0"/>
    <n v="1201"/>
    <n v="222"/>
    <n v="2574.92"/>
    <x v="0"/>
  </r>
  <r>
    <x v="968"/>
    <x v="1"/>
    <n v="1211"/>
    <n v="270"/>
    <n v="3923.24"/>
    <x v="1"/>
  </r>
  <r>
    <x v="969"/>
    <x v="0"/>
    <n v="1221"/>
    <n v="201"/>
    <n v="2839.52"/>
    <x v="0"/>
  </r>
  <r>
    <x v="969"/>
    <x v="1"/>
    <n v="1099"/>
    <n v="240"/>
    <n v="4354.41"/>
    <x v="1"/>
  </r>
  <r>
    <x v="970"/>
    <x v="0"/>
    <n v="1166"/>
    <n v="252"/>
    <n v="3796.64"/>
    <x v="0"/>
  </r>
  <r>
    <x v="970"/>
    <x v="1"/>
    <n v="1150"/>
    <n v="261"/>
    <n v="4879.1000000000004"/>
    <x v="1"/>
  </r>
  <r>
    <x v="971"/>
    <x v="0"/>
    <n v="1170"/>
    <n v="220"/>
    <n v="3214.93"/>
    <x v="0"/>
  </r>
  <r>
    <x v="971"/>
    <x v="1"/>
    <n v="1114"/>
    <n v="246"/>
    <n v="4377.22"/>
    <x v="1"/>
  </r>
  <r>
    <x v="972"/>
    <x v="0"/>
    <n v="1192"/>
    <n v="234"/>
    <n v="2816.32"/>
    <x v="0"/>
  </r>
  <r>
    <x v="972"/>
    <x v="1"/>
    <n v="1167"/>
    <n v="254"/>
    <n v="4649.05"/>
    <x v="1"/>
  </r>
  <r>
    <x v="973"/>
    <x v="0"/>
    <n v="1169"/>
    <n v="219"/>
    <n v="2892.3"/>
    <x v="0"/>
  </r>
  <r>
    <x v="973"/>
    <x v="1"/>
    <n v="1161"/>
    <n v="257"/>
    <n v="4406.75"/>
    <x v="1"/>
  </r>
  <r>
    <x v="974"/>
    <x v="0"/>
    <n v="1210"/>
    <n v="238"/>
    <n v="3410.17"/>
    <x v="0"/>
  </r>
  <r>
    <x v="974"/>
    <x v="1"/>
    <n v="1134"/>
    <n v="255"/>
    <n v="3491.14"/>
    <x v="1"/>
  </r>
  <r>
    <x v="975"/>
    <x v="0"/>
    <n v="1271"/>
    <n v="237"/>
    <n v="4519.84"/>
    <x v="0"/>
  </r>
  <r>
    <x v="975"/>
    <x v="1"/>
    <n v="1076"/>
    <n v="232"/>
    <n v="4636.33"/>
    <x v="1"/>
  </r>
  <r>
    <x v="976"/>
    <x v="0"/>
    <n v="1180"/>
    <n v="205"/>
    <n v="3573.74"/>
    <x v="0"/>
  </r>
  <r>
    <x v="976"/>
    <x v="1"/>
    <n v="1197"/>
    <n v="280"/>
    <n v="4567.09"/>
    <x v="1"/>
  </r>
  <r>
    <x v="977"/>
    <x v="0"/>
    <n v="1242"/>
    <n v="227"/>
    <n v="2955.26"/>
    <x v="0"/>
  </r>
  <r>
    <x v="977"/>
    <x v="1"/>
    <n v="1171"/>
    <n v="246"/>
    <n v="3767.15"/>
    <x v="1"/>
  </r>
  <r>
    <x v="978"/>
    <x v="0"/>
    <n v="1169"/>
    <n v="225"/>
    <n v="4206.6499999999996"/>
    <x v="0"/>
  </r>
  <r>
    <x v="978"/>
    <x v="1"/>
    <n v="1260"/>
    <n v="313"/>
    <n v="5346.05"/>
    <x v="1"/>
  </r>
  <r>
    <x v="979"/>
    <x v="0"/>
    <n v="1189"/>
    <n v="249"/>
    <n v="4538.26"/>
    <x v="0"/>
  </r>
  <r>
    <x v="979"/>
    <x v="1"/>
    <n v="1187"/>
    <n v="280"/>
    <n v="4888.37"/>
    <x v="1"/>
  </r>
  <r>
    <x v="980"/>
    <x v="0"/>
    <n v="1201"/>
    <n v="225"/>
    <n v="3631.93"/>
    <x v="0"/>
  </r>
  <r>
    <x v="980"/>
    <x v="1"/>
    <n v="1184"/>
    <n v="282"/>
    <n v="4052.68"/>
    <x v="1"/>
  </r>
  <r>
    <x v="981"/>
    <x v="0"/>
    <n v="1243"/>
    <n v="219"/>
    <n v="2617.85"/>
    <x v="0"/>
  </r>
  <r>
    <x v="981"/>
    <x v="1"/>
    <n v="1194"/>
    <n v="277"/>
    <n v="4137.6000000000004"/>
    <x v="1"/>
  </r>
  <r>
    <x v="982"/>
    <x v="0"/>
    <n v="1147"/>
    <n v="218"/>
    <n v="3161.89"/>
    <x v="0"/>
  </r>
  <r>
    <x v="982"/>
    <x v="1"/>
    <n v="1180"/>
    <n v="273"/>
    <n v="4105.9399999999996"/>
    <x v="1"/>
  </r>
  <r>
    <x v="983"/>
    <x v="0"/>
    <n v="1218"/>
    <n v="229"/>
    <n v="3578.27"/>
    <x v="0"/>
  </r>
  <r>
    <x v="983"/>
    <x v="1"/>
    <n v="1164"/>
    <n v="283"/>
    <n v="4852.75"/>
    <x v="1"/>
  </r>
  <r>
    <x v="984"/>
    <x v="0"/>
    <n v="1231"/>
    <n v="230"/>
    <n v="2873.15"/>
    <x v="0"/>
  </r>
  <r>
    <x v="984"/>
    <x v="1"/>
    <n v="1195"/>
    <n v="294"/>
    <n v="4116.63"/>
    <x v="1"/>
  </r>
  <r>
    <x v="985"/>
    <x v="0"/>
    <n v="1169"/>
    <n v="216"/>
    <n v="3783.29"/>
    <x v="0"/>
  </r>
  <r>
    <x v="985"/>
    <x v="1"/>
    <n v="1135"/>
    <n v="252"/>
    <n v="3763.14"/>
    <x v="1"/>
  </r>
  <r>
    <x v="986"/>
    <x v="0"/>
    <n v="1254"/>
    <n v="221"/>
    <n v="3239.34"/>
    <x v="0"/>
  </r>
  <r>
    <x v="986"/>
    <x v="1"/>
    <n v="1207"/>
    <n v="293"/>
    <n v="4649.26"/>
    <x v="1"/>
  </r>
  <r>
    <x v="987"/>
    <x v="0"/>
    <n v="1133"/>
    <n v="218"/>
    <n v="3231.11"/>
    <x v="0"/>
  </r>
  <r>
    <x v="987"/>
    <x v="1"/>
    <n v="1134"/>
    <n v="233"/>
    <n v="4478.3999999999996"/>
    <x v="1"/>
  </r>
  <r>
    <x v="988"/>
    <x v="0"/>
    <n v="1222"/>
    <n v="235"/>
    <n v="4247.58"/>
    <x v="0"/>
  </r>
  <r>
    <x v="988"/>
    <x v="1"/>
    <n v="1148"/>
    <n v="293"/>
    <n v="5516.67"/>
    <x v="1"/>
  </r>
  <r>
    <x v="989"/>
    <x v="0"/>
    <n v="1194"/>
    <n v="235"/>
    <n v="2998.18"/>
    <x v="0"/>
  </r>
  <r>
    <x v="989"/>
    <x v="1"/>
    <n v="1136"/>
    <n v="259"/>
    <n v="3260.93"/>
    <x v="1"/>
  </r>
  <r>
    <x v="990"/>
    <x v="0"/>
    <n v="1250"/>
    <n v="244"/>
    <n v="4252.03"/>
    <x v="0"/>
  </r>
  <r>
    <x v="990"/>
    <x v="1"/>
    <n v="1180"/>
    <n v="272"/>
    <n v="4641.8900000000003"/>
    <x v="1"/>
  </r>
  <r>
    <x v="991"/>
    <x v="0"/>
    <n v="1219"/>
    <n v="241"/>
    <n v="3753.04"/>
    <x v="0"/>
  </r>
  <r>
    <x v="991"/>
    <x v="1"/>
    <n v="1057"/>
    <n v="239"/>
    <n v="3733.85"/>
    <x v="1"/>
  </r>
  <r>
    <x v="992"/>
    <x v="0"/>
    <n v="1203"/>
    <n v="228"/>
    <n v="2613.77"/>
    <x v="0"/>
  </r>
  <r>
    <x v="992"/>
    <x v="1"/>
    <n v="1225"/>
    <n v="263"/>
    <n v="4218.28"/>
    <x v="1"/>
  </r>
  <r>
    <x v="993"/>
    <x v="0"/>
    <n v="1183"/>
    <n v="221"/>
    <n v="2944.44"/>
    <x v="0"/>
  </r>
  <r>
    <x v="993"/>
    <x v="1"/>
    <n v="1147"/>
    <n v="286"/>
    <n v="3882.36"/>
    <x v="1"/>
  </r>
  <r>
    <x v="994"/>
    <x v="0"/>
    <n v="1155"/>
    <n v="214"/>
    <n v="3374.12"/>
    <x v="0"/>
  </r>
  <r>
    <x v="994"/>
    <x v="1"/>
    <n v="1138"/>
    <n v="274"/>
    <n v="3840.88"/>
    <x v="1"/>
  </r>
  <r>
    <x v="995"/>
    <x v="0"/>
    <n v="1219"/>
    <n v="229"/>
    <n v="3535.33"/>
    <x v="0"/>
  </r>
  <r>
    <x v="995"/>
    <x v="1"/>
    <n v="1124"/>
    <n v="239"/>
    <n v="3596.76"/>
    <x v="1"/>
  </r>
  <r>
    <x v="996"/>
    <x v="0"/>
    <n v="1199"/>
    <n v="241"/>
    <n v="3909.54"/>
    <x v="0"/>
  </r>
  <r>
    <x v="996"/>
    <x v="1"/>
    <n v="1105"/>
    <n v="238"/>
    <n v="3443.16"/>
    <x v="1"/>
  </r>
  <r>
    <x v="997"/>
    <x v="0"/>
    <n v="1180"/>
    <n v="224"/>
    <n v="4030.02"/>
    <x v="0"/>
  </r>
  <r>
    <x v="997"/>
    <x v="1"/>
    <n v="1172"/>
    <n v="270"/>
    <n v="5010.3500000000004"/>
    <x v="1"/>
  </r>
  <r>
    <x v="998"/>
    <x v="0"/>
    <n v="1235"/>
    <n v="233"/>
    <n v="3279.36"/>
    <x v="0"/>
  </r>
  <r>
    <x v="998"/>
    <x v="1"/>
    <n v="1153"/>
    <n v="254"/>
    <n v="3908.02"/>
    <x v="1"/>
  </r>
  <r>
    <x v="999"/>
    <x v="0"/>
    <n v="1190"/>
    <n v="250"/>
    <n v="3413.8"/>
    <x v="0"/>
  </r>
  <r>
    <x v="999"/>
    <x v="1"/>
    <n v="1156"/>
    <n v="267"/>
    <n v="4451.6899999999996"/>
    <x v="1"/>
  </r>
  <r>
    <x v="1000"/>
    <x v="0"/>
    <n v="1174"/>
    <n v="223"/>
    <n v="3006.13"/>
    <x v="0"/>
  </r>
  <r>
    <x v="1000"/>
    <x v="1"/>
    <n v="1105"/>
    <n v="251"/>
    <n v="3659.57"/>
    <x v="1"/>
  </r>
  <r>
    <x v="1001"/>
    <x v="0"/>
    <n v="1222"/>
    <n v="233"/>
    <n v="3997.41"/>
    <x v="0"/>
  </r>
  <r>
    <x v="1001"/>
    <x v="1"/>
    <n v="1121"/>
    <n v="253"/>
    <n v="4004.37"/>
    <x v="1"/>
  </r>
  <r>
    <x v="1002"/>
    <x v="0"/>
    <n v="1164"/>
    <n v="211"/>
    <n v="2975.56"/>
    <x v="0"/>
  </r>
  <r>
    <x v="1002"/>
    <x v="1"/>
    <n v="1123"/>
    <n v="276"/>
    <n v="4191.83"/>
    <x v="1"/>
  </r>
  <r>
    <x v="1003"/>
    <x v="0"/>
    <n v="1227"/>
    <n v="259"/>
    <n v="4615.74"/>
    <x v="0"/>
  </r>
  <r>
    <x v="1003"/>
    <x v="1"/>
    <n v="1185"/>
    <n v="260"/>
    <n v="3998.95"/>
    <x v="1"/>
  </r>
  <r>
    <x v="1004"/>
    <x v="0"/>
    <n v="1162"/>
    <n v="218"/>
    <n v="3284.29"/>
    <x v="0"/>
  </r>
  <r>
    <x v="1004"/>
    <x v="1"/>
    <n v="1153"/>
    <n v="268"/>
    <n v="4299.38"/>
    <x v="1"/>
  </r>
  <r>
    <x v="1005"/>
    <x v="0"/>
    <n v="1145"/>
    <n v="202"/>
    <n v="3163.67"/>
    <x v="0"/>
  </r>
  <r>
    <x v="1005"/>
    <x v="1"/>
    <n v="1202"/>
    <n v="262"/>
    <n v="4584.88"/>
    <x v="1"/>
  </r>
  <r>
    <x v="1006"/>
    <x v="0"/>
    <n v="1178"/>
    <n v="243"/>
    <n v="2594.61"/>
    <x v="0"/>
  </r>
  <r>
    <x v="1006"/>
    <x v="1"/>
    <n v="1181"/>
    <n v="295"/>
    <n v="5004.6899999999996"/>
    <x v="1"/>
  </r>
  <r>
    <x v="1007"/>
    <x v="0"/>
    <n v="1231"/>
    <n v="237"/>
    <n v="4229.95"/>
    <x v="0"/>
  </r>
  <r>
    <x v="1007"/>
    <x v="1"/>
    <n v="1133"/>
    <n v="263"/>
    <n v="4951.6400000000003"/>
    <x v="1"/>
  </r>
  <r>
    <x v="1008"/>
    <x v="0"/>
    <n v="1199"/>
    <n v="235"/>
    <n v="3247.74"/>
    <x v="0"/>
  </r>
  <r>
    <x v="1008"/>
    <x v="1"/>
    <n v="1123"/>
    <n v="271"/>
    <n v="4515.42"/>
    <x v="1"/>
  </r>
  <r>
    <x v="1009"/>
    <x v="0"/>
    <n v="1218"/>
    <n v="223"/>
    <n v="2783.46"/>
    <x v="0"/>
  </r>
  <r>
    <x v="1009"/>
    <x v="1"/>
    <n v="1085"/>
    <n v="231"/>
    <n v="3231.54"/>
    <x v="1"/>
  </r>
  <r>
    <x v="1010"/>
    <x v="0"/>
    <n v="1218"/>
    <n v="248"/>
    <n v="3804.31"/>
    <x v="0"/>
  </r>
  <r>
    <x v="1010"/>
    <x v="1"/>
    <n v="1118"/>
    <n v="244"/>
    <n v="4246.49"/>
    <x v="1"/>
  </r>
  <r>
    <x v="1011"/>
    <x v="0"/>
    <n v="1236"/>
    <n v="213"/>
    <n v="3499.69"/>
    <x v="0"/>
  </r>
  <r>
    <x v="1011"/>
    <x v="1"/>
    <n v="1147"/>
    <n v="244"/>
    <n v="3712.04"/>
    <x v="1"/>
  </r>
  <r>
    <x v="1012"/>
    <x v="0"/>
    <n v="1139"/>
    <n v="227"/>
    <n v="3228.21"/>
    <x v="0"/>
  </r>
  <r>
    <x v="1012"/>
    <x v="1"/>
    <n v="1096"/>
    <n v="252"/>
    <n v="4715.33"/>
    <x v="1"/>
  </r>
  <r>
    <x v="1013"/>
    <x v="0"/>
    <n v="1172"/>
    <n v="195"/>
    <n v="2447.4899999999998"/>
    <x v="0"/>
  </r>
  <r>
    <x v="1013"/>
    <x v="1"/>
    <n v="1155"/>
    <n v="248"/>
    <n v="3525.18"/>
    <x v="1"/>
  </r>
  <r>
    <x v="1014"/>
    <x v="0"/>
    <n v="1238"/>
    <n v="232"/>
    <n v="3026.24"/>
    <x v="0"/>
  </r>
  <r>
    <x v="1014"/>
    <x v="1"/>
    <n v="1155"/>
    <n v="283"/>
    <n v="4181.37"/>
    <x v="1"/>
  </r>
  <r>
    <x v="1015"/>
    <x v="0"/>
    <n v="1174"/>
    <n v="219"/>
    <n v="3960.64"/>
    <x v="0"/>
  </r>
  <r>
    <x v="1015"/>
    <x v="1"/>
    <n v="1111"/>
    <n v="249"/>
    <n v="3276.9"/>
    <x v="1"/>
  </r>
  <r>
    <x v="1016"/>
    <x v="0"/>
    <n v="1197"/>
    <n v="233"/>
    <n v="3041.97"/>
    <x v="0"/>
  </r>
  <r>
    <x v="1016"/>
    <x v="1"/>
    <n v="1139"/>
    <n v="269"/>
    <n v="4346.8100000000004"/>
    <x v="1"/>
  </r>
  <r>
    <x v="1017"/>
    <x v="0"/>
    <n v="1148"/>
    <n v="267"/>
    <n v="3801.21"/>
    <x v="0"/>
  </r>
  <r>
    <x v="1017"/>
    <x v="1"/>
    <n v="1218"/>
    <n v="306"/>
    <n v="5348.96"/>
    <x v="1"/>
  </r>
  <r>
    <x v="1018"/>
    <x v="0"/>
    <n v="1173"/>
    <n v="220"/>
    <n v="3760"/>
    <x v="0"/>
  </r>
  <r>
    <x v="1018"/>
    <x v="1"/>
    <n v="1145"/>
    <n v="255"/>
    <n v="3977.28"/>
    <x v="1"/>
  </r>
  <r>
    <x v="1019"/>
    <x v="0"/>
    <n v="1137"/>
    <n v="221"/>
    <n v="3948.67"/>
    <x v="0"/>
  </r>
  <r>
    <x v="1019"/>
    <x v="1"/>
    <n v="1144"/>
    <n v="255"/>
    <n v="3131.57"/>
    <x v="1"/>
  </r>
  <r>
    <x v="1020"/>
    <x v="0"/>
    <n v="1195"/>
    <n v="239"/>
    <n v="3714.86"/>
    <x v="0"/>
  </r>
  <r>
    <x v="1020"/>
    <x v="1"/>
    <n v="1195"/>
    <n v="261"/>
    <n v="5006.3999999999996"/>
    <x v="1"/>
  </r>
  <r>
    <x v="1021"/>
    <x v="0"/>
    <n v="1206"/>
    <n v="245"/>
    <n v="3595.59"/>
    <x v="0"/>
  </r>
  <r>
    <x v="1021"/>
    <x v="1"/>
    <n v="1173"/>
    <n v="259"/>
    <n v="4763.1000000000004"/>
    <x v="1"/>
  </r>
  <r>
    <x v="1022"/>
    <x v="0"/>
    <n v="1234"/>
    <n v="237"/>
    <n v="4144.1000000000004"/>
    <x v="0"/>
  </r>
  <r>
    <x v="1022"/>
    <x v="1"/>
    <n v="1176"/>
    <n v="273"/>
    <n v="4765.03"/>
    <x v="1"/>
  </r>
  <r>
    <x v="1023"/>
    <x v="0"/>
    <n v="1154"/>
    <n v="226"/>
    <n v="3335.3"/>
    <x v="0"/>
  </r>
  <r>
    <x v="1023"/>
    <x v="1"/>
    <n v="1193"/>
    <n v="282"/>
    <n v="4922.12"/>
    <x v="1"/>
  </r>
  <r>
    <x v="1024"/>
    <x v="0"/>
    <n v="1190"/>
    <n v="220"/>
    <n v="4113.0600000000004"/>
    <x v="0"/>
  </r>
  <r>
    <x v="1024"/>
    <x v="1"/>
    <n v="1075"/>
    <n v="242"/>
    <n v="4448.22"/>
    <x v="1"/>
  </r>
  <r>
    <x v="1025"/>
    <x v="0"/>
    <n v="1213"/>
    <n v="241"/>
    <n v="3170.43"/>
    <x v="0"/>
  </r>
  <r>
    <x v="1025"/>
    <x v="1"/>
    <n v="1107"/>
    <n v="275"/>
    <n v="3949.34"/>
    <x v="1"/>
  </r>
  <r>
    <x v="1026"/>
    <x v="0"/>
    <n v="1164"/>
    <n v="231"/>
    <n v="3843.91"/>
    <x v="0"/>
  </r>
  <r>
    <x v="1026"/>
    <x v="1"/>
    <n v="1177"/>
    <n v="283"/>
    <n v="4263.26"/>
    <x v="1"/>
  </r>
  <r>
    <x v="1027"/>
    <x v="0"/>
    <n v="1150"/>
    <n v="208"/>
    <n v="3705.99"/>
    <x v="0"/>
  </r>
  <r>
    <x v="1027"/>
    <x v="1"/>
    <n v="1181"/>
    <n v="273"/>
    <n v="4299.34"/>
    <x v="1"/>
  </r>
  <r>
    <x v="1028"/>
    <x v="0"/>
    <n v="1209"/>
    <n v="218"/>
    <n v="3082.33"/>
    <x v="0"/>
  </r>
  <r>
    <x v="1028"/>
    <x v="1"/>
    <n v="1161"/>
    <n v="275"/>
    <n v="5504.66"/>
    <x v="1"/>
  </r>
  <r>
    <x v="1029"/>
    <x v="0"/>
    <n v="1151"/>
    <n v="200"/>
    <n v="3188.01"/>
    <x v="0"/>
  </r>
  <r>
    <x v="1029"/>
    <x v="1"/>
    <n v="1167"/>
    <n v="270"/>
    <n v="4375.83"/>
    <x v="1"/>
  </r>
  <r>
    <x v="1030"/>
    <x v="0"/>
    <n v="1087"/>
    <n v="205"/>
    <n v="2874.34"/>
    <x v="0"/>
  </r>
  <r>
    <x v="1030"/>
    <x v="1"/>
    <n v="1108"/>
    <n v="272"/>
    <n v="2858.56"/>
    <x v="1"/>
  </r>
  <r>
    <x v="1031"/>
    <x v="0"/>
    <n v="1189"/>
    <n v="225"/>
    <n v="2685.33"/>
    <x v="0"/>
  </r>
  <r>
    <x v="1031"/>
    <x v="1"/>
    <n v="1134"/>
    <n v="274"/>
    <n v="4531.58"/>
    <x v="1"/>
  </r>
  <r>
    <x v="1032"/>
    <x v="0"/>
    <n v="1186"/>
    <n v="201"/>
    <n v="3518.44"/>
    <x v="0"/>
  </r>
  <r>
    <x v="1032"/>
    <x v="1"/>
    <n v="1148"/>
    <n v="251"/>
    <n v="4586.5"/>
    <x v="1"/>
  </r>
  <r>
    <x v="1033"/>
    <x v="0"/>
    <n v="1205"/>
    <n v="213"/>
    <n v="3560.15"/>
    <x v="0"/>
  </r>
  <r>
    <x v="1033"/>
    <x v="1"/>
    <n v="1151"/>
    <n v="282"/>
    <n v="5371.9"/>
    <x v="1"/>
  </r>
  <r>
    <x v="1034"/>
    <x v="0"/>
    <n v="1271"/>
    <n v="242"/>
    <n v="3412.02"/>
    <x v="0"/>
  </r>
  <r>
    <x v="1034"/>
    <x v="1"/>
    <n v="1129"/>
    <n v="250"/>
    <n v="4203.42"/>
    <x v="1"/>
  </r>
  <r>
    <x v="1035"/>
    <x v="0"/>
    <n v="1155"/>
    <n v="221"/>
    <n v="3395.52"/>
    <x v="0"/>
  </r>
  <r>
    <x v="1035"/>
    <x v="1"/>
    <n v="1135"/>
    <n v="273"/>
    <n v="4854.97"/>
    <x v="1"/>
  </r>
  <r>
    <x v="1036"/>
    <x v="0"/>
    <n v="1213"/>
    <n v="232"/>
    <n v="3341.66"/>
    <x v="0"/>
  </r>
  <r>
    <x v="1036"/>
    <x v="1"/>
    <n v="1089"/>
    <n v="245"/>
    <n v="3580.89"/>
    <x v="1"/>
  </r>
  <r>
    <x v="1037"/>
    <x v="0"/>
    <n v="1231"/>
    <n v="246"/>
    <n v="2853.04"/>
    <x v="0"/>
  </r>
  <r>
    <x v="1037"/>
    <x v="1"/>
    <n v="1161"/>
    <n v="266"/>
    <n v="4455"/>
    <x v="1"/>
  </r>
  <r>
    <x v="1038"/>
    <x v="0"/>
    <n v="1197"/>
    <n v="214"/>
    <n v="3690.83"/>
    <x v="0"/>
  </r>
  <r>
    <x v="1038"/>
    <x v="1"/>
    <n v="1179"/>
    <n v="269"/>
    <n v="4668.22"/>
    <x v="1"/>
  </r>
  <r>
    <x v="1039"/>
    <x v="0"/>
    <n v="1203"/>
    <n v="261"/>
    <n v="3734.92"/>
    <x v="0"/>
  </r>
  <r>
    <x v="1039"/>
    <x v="1"/>
    <n v="1179"/>
    <n v="262"/>
    <n v="4310.96"/>
    <x v="1"/>
  </r>
  <r>
    <x v="1040"/>
    <x v="0"/>
    <n v="1211"/>
    <n v="256"/>
    <n v="3935.8"/>
    <x v="0"/>
  </r>
  <r>
    <x v="1040"/>
    <x v="1"/>
    <n v="1133"/>
    <n v="250"/>
    <n v="4194.21"/>
    <x v="1"/>
  </r>
  <r>
    <x v="1041"/>
    <x v="0"/>
    <n v="1217"/>
    <n v="225"/>
    <n v="3196.1"/>
    <x v="0"/>
  </r>
  <r>
    <x v="1041"/>
    <x v="1"/>
    <n v="1129"/>
    <n v="254"/>
    <n v="3360.66"/>
    <x v="1"/>
  </r>
  <r>
    <x v="1042"/>
    <x v="0"/>
    <n v="1141"/>
    <n v="223"/>
    <n v="3336.91"/>
    <x v="0"/>
  </r>
  <r>
    <x v="1042"/>
    <x v="1"/>
    <n v="1125"/>
    <n v="262"/>
    <n v="4345.68"/>
    <x v="1"/>
  </r>
  <r>
    <x v="1043"/>
    <x v="0"/>
    <n v="1146"/>
    <n v="188"/>
    <n v="3272.55"/>
    <x v="0"/>
  </r>
  <r>
    <x v="1043"/>
    <x v="1"/>
    <n v="1205"/>
    <n v="272"/>
    <n v="3541.83"/>
    <x v="1"/>
  </r>
  <r>
    <x v="1044"/>
    <x v="0"/>
    <n v="1163"/>
    <n v="228"/>
    <n v="2806.71"/>
    <x v="0"/>
  </r>
  <r>
    <x v="1044"/>
    <x v="1"/>
    <n v="1168"/>
    <n v="281"/>
    <n v="3891.79"/>
    <x v="1"/>
  </r>
  <r>
    <x v="1045"/>
    <x v="0"/>
    <n v="1193"/>
    <n v="216"/>
    <n v="3496.98"/>
    <x v="0"/>
  </r>
  <r>
    <x v="1045"/>
    <x v="1"/>
    <n v="1180"/>
    <n v="296"/>
    <n v="4372.9799999999996"/>
    <x v="1"/>
  </r>
  <r>
    <x v="1046"/>
    <x v="0"/>
    <n v="1211"/>
    <n v="241"/>
    <n v="3616.05"/>
    <x v="0"/>
  </r>
  <r>
    <x v="1046"/>
    <x v="1"/>
    <n v="1181"/>
    <n v="243"/>
    <n v="3219.71"/>
    <x v="1"/>
  </r>
  <r>
    <x v="1047"/>
    <x v="0"/>
    <n v="1184"/>
    <n v="223"/>
    <n v="3531.66"/>
    <x v="0"/>
  </r>
  <r>
    <x v="1047"/>
    <x v="1"/>
    <n v="1084"/>
    <n v="251"/>
    <n v="3766.68"/>
    <x v="1"/>
  </r>
  <r>
    <x v="1048"/>
    <x v="0"/>
    <n v="1204"/>
    <n v="222"/>
    <n v="3027.16"/>
    <x v="0"/>
  </r>
  <r>
    <x v="1048"/>
    <x v="1"/>
    <n v="1163"/>
    <n v="288"/>
    <n v="5271.75"/>
    <x v="1"/>
  </r>
  <r>
    <x v="1049"/>
    <x v="0"/>
    <n v="1238"/>
    <n v="224"/>
    <n v="3303.25"/>
    <x v="0"/>
  </r>
  <r>
    <x v="1049"/>
    <x v="1"/>
    <n v="1137"/>
    <n v="244"/>
    <n v="3635.06"/>
    <x v="1"/>
  </r>
  <r>
    <x v="1050"/>
    <x v="0"/>
    <n v="1203"/>
    <n v="226"/>
    <n v="1617.08"/>
    <x v="0"/>
  </r>
  <r>
    <x v="1050"/>
    <x v="1"/>
    <n v="1146"/>
    <n v="256"/>
    <n v="4241.3"/>
    <x v="1"/>
  </r>
  <r>
    <x v="1051"/>
    <x v="0"/>
    <n v="1288"/>
    <n v="252"/>
    <n v="3220.69"/>
    <x v="0"/>
  </r>
  <r>
    <x v="1051"/>
    <x v="1"/>
    <n v="1153"/>
    <n v="255"/>
    <n v="4244.8599999999997"/>
    <x v="1"/>
  </r>
  <r>
    <x v="1052"/>
    <x v="0"/>
    <n v="1191"/>
    <n v="222"/>
    <n v="3695.27"/>
    <x v="0"/>
  </r>
  <r>
    <x v="1052"/>
    <x v="1"/>
    <n v="1108"/>
    <n v="244"/>
    <n v="4067.63"/>
    <x v="1"/>
  </r>
  <r>
    <x v="1053"/>
    <x v="0"/>
    <n v="1230"/>
    <n v="266"/>
    <n v="3928.72"/>
    <x v="0"/>
  </r>
  <r>
    <x v="1053"/>
    <x v="1"/>
    <n v="1168"/>
    <n v="271"/>
    <n v="3694.77"/>
    <x v="1"/>
  </r>
  <r>
    <x v="1054"/>
    <x v="0"/>
    <n v="1176"/>
    <n v="242"/>
    <n v="2627.09"/>
    <x v="0"/>
  </r>
  <r>
    <x v="1054"/>
    <x v="1"/>
    <n v="1115"/>
    <n v="264"/>
    <n v="4115.8"/>
    <x v="1"/>
  </r>
  <r>
    <x v="1055"/>
    <x v="0"/>
    <n v="1257"/>
    <n v="244"/>
    <n v="3715.78"/>
    <x v="0"/>
  </r>
  <r>
    <x v="1055"/>
    <x v="1"/>
    <n v="1170"/>
    <n v="246"/>
    <n v="3936.89"/>
    <x v="1"/>
  </r>
  <r>
    <x v="1056"/>
    <x v="0"/>
    <n v="1179"/>
    <n v="221"/>
    <n v="2568.89"/>
    <x v="0"/>
  </r>
  <r>
    <x v="1056"/>
    <x v="1"/>
    <n v="1114"/>
    <n v="285"/>
    <n v="4217.57"/>
    <x v="1"/>
  </r>
  <r>
    <x v="1057"/>
    <x v="0"/>
    <n v="1179"/>
    <n v="229"/>
    <n v="4426.8100000000004"/>
    <x v="0"/>
  </r>
  <r>
    <x v="1057"/>
    <x v="1"/>
    <n v="1171"/>
    <n v="272"/>
    <n v="4925.71"/>
    <x v="1"/>
  </r>
  <r>
    <x v="1058"/>
    <x v="0"/>
    <n v="1218"/>
    <n v="230"/>
    <n v="3251.74"/>
    <x v="0"/>
  </r>
  <r>
    <x v="1058"/>
    <x v="1"/>
    <n v="1187"/>
    <n v="281"/>
    <n v="4361.8999999999996"/>
    <x v="1"/>
  </r>
  <r>
    <x v="1059"/>
    <x v="0"/>
    <n v="1225"/>
    <n v="246"/>
    <n v="4027.89"/>
    <x v="0"/>
  </r>
  <r>
    <x v="1059"/>
    <x v="1"/>
    <n v="1183"/>
    <n v="283"/>
    <n v="4164.7299999999996"/>
    <x v="1"/>
  </r>
  <r>
    <x v="1060"/>
    <x v="0"/>
    <n v="1216"/>
    <n v="235"/>
    <n v="3774.48"/>
    <x v="0"/>
  </r>
  <r>
    <x v="1060"/>
    <x v="1"/>
    <n v="1138"/>
    <n v="246"/>
    <n v="3407.99"/>
    <x v="1"/>
  </r>
  <r>
    <x v="1061"/>
    <x v="0"/>
    <n v="1160"/>
    <n v="214"/>
    <n v="4021.54"/>
    <x v="0"/>
  </r>
  <r>
    <x v="1061"/>
    <x v="1"/>
    <n v="1165"/>
    <n v="252"/>
    <n v="3346.14"/>
    <x v="1"/>
  </r>
  <r>
    <x v="1062"/>
    <x v="0"/>
    <n v="1212"/>
    <n v="221"/>
    <n v="3253"/>
    <x v="0"/>
  </r>
  <r>
    <x v="1062"/>
    <x v="1"/>
    <n v="1110"/>
    <n v="263"/>
    <n v="4031.52"/>
    <x v="1"/>
  </r>
  <r>
    <x v="1063"/>
    <x v="0"/>
    <n v="1140"/>
    <n v="224"/>
    <n v="4082.57"/>
    <x v="0"/>
  </r>
  <r>
    <x v="1063"/>
    <x v="1"/>
    <n v="1164"/>
    <n v="284"/>
    <n v="5081.68"/>
    <x v="1"/>
  </r>
  <r>
    <x v="1064"/>
    <x v="0"/>
    <n v="1178"/>
    <n v="235"/>
    <n v="4024.05"/>
    <x v="0"/>
  </r>
  <r>
    <x v="1064"/>
    <x v="1"/>
    <n v="1196"/>
    <n v="272"/>
    <n v="5121.2299999999996"/>
    <x v="1"/>
  </r>
  <r>
    <x v="1065"/>
    <x v="0"/>
    <n v="1218"/>
    <n v="226"/>
    <n v="3305.45"/>
    <x v="0"/>
  </r>
  <r>
    <x v="1065"/>
    <x v="1"/>
    <n v="1158"/>
    <n v="295"/>
    <n v="4776.32"/>
    <x v="1"/>
  </r>
  <r>
    <x v="1066"/>
    <x v="0"/>
    <n v="1150"/>
    <n v="233"/>
    <n v="3516.73"/>
    <x v="0"/>
  </r>
  <r>
    <x v="1066"/>
    <x v="1"/>
    <n v="1139"/>
    <n v="264"/>
    <n v="3948.97"/>
    <x v="1"/>
  </r>
  <r>
    <x v="1067"/>
    <x v="0"/>
    <n v="1168"/>
    <n v="194"/>
    <n v="3031.08"/>
    <x v="0"/>
  </r>
  <r>
    <x v="1067"/>
    <x v="1"/>
    <n v="1139"/>
    <n v="264"/>
    <n v="4677.17"/>
    <x v="1"/>
  </r>
  <r>
    <x v="1068"/>
    <x v="0"/>
    <n v="1220"/>
    <n v="239"/>
    <n v="3492.75"/>
    <x v="0"/>
  </r>
  <r>
    <x v="1068"/>
    <x v="1"/>
    <n v="1147"/>
    <n v="270"/>
    <n v="3357.66"/>
    <x v="1"/>
  </r>
  <r>
    <x v="1069"/>
    <x v="0"/>
    <n v="1210"/>
    <n v="240"/>
    <n v="3172.87"/>
    <x v="0"/>
  </r>
  <r>
    <x v="1069"/>
    <x v="1"/>
    <n v="1204"/>
    <n v="277"/>
    <n v="3899.73"/>
    <x v="1"/>
  </r>
  <r>
    <x v="1070"/>
    <x v="0"/>
    <n v="1160"/>
    <n v="226"/>
    <n v="3701.2"/>
    <x v="0"/>
  </r>
  <r>
    <x v="1070"/>
    <x v="1"/>
    <n v="1157"/>
    <n v="286"/>
    <n v="4441.8599999999997"/>
    <x v="1"/>
  </r>
  <r>
    <x v="1071"/>
    <x v="0"/>
    <n v="1132"/>
    <n v="204"/>
    <n v="3404.87"/>
    <x v="0"/>
  </r>
  <r>
    <x v="1071"/>
    <x v="1"/>
    <n v="1141"/>
    <n v="260"/>
    <n v="4473.97"/>
    <x v="1"/>
  </r>
  <r>
    <x v="1072"/>
    <x v="0"/>
    <n v="1184"/>
    <n v="226"/>
    <n v="3627.72"/>
    <x v="0"/>
  </r>
  <r>
    <x v="1072"/>
    <x v="1"/>
    <n v="1140"/>
    <n v="261"/>
    <n v="4303.3100000000004"/>
    <x v="1"/>
  </r>
  <r>
    <x v="1073"/>
    <x v="0"/>
    <n v="1178"/>
    <n v="216"/>
    <n v="3859.33"/>
    <x v="0"/>
  </r>
  <r>
    <x v="1073"/>
    <x v="1"/>
    <n v="1126"/>
    <n v="268"/>
    <n v="4390.62"/>
    <x v="1"/>
  </r>
  <r>
    <x v="1074"/>
    <x v="0"/>
    <n v="1238"/>
    <n v="245"/>
    <n v="3382.28"/>
    <x v="0"/>
  </r>
  <r>
    <x v="1074"/>
    <x v="1"/>
    <n v="1134"/>
    <n v="252"/>
    <n v="4087.65"/>
    <x v="1"/>
  </r>
  <r>
    <x v="1075"/>
    <x v="0"/>
    <n v="1226"/>
    <n v="244"/>
    <n v="4061.62"/>
    <x v="0"/>
  </r>
  <r>
    <x v="1075"/>
    <x v="1"/>
    <n v="1164"/>
    <n v="272"/>
    <n v="4374.6000000000004"/>
    <x v="1"/>
  </r>
  <r>
    <x v="1076"/>
    <x v="0"/>
    <n v="1201"/>
    <n v="212"/>
    <n v="2457.2399999999998"/>
    <x v="0"/>
  </r>
  <r>
    <x v="1076"/>
    <x v="1"/>
    <n v="1176"/>
    <n v="251"/>
    <n v="3974.27"/>
    <x v="1"/>
  </r>
  <r>
    <x v="1077"/>
    <x v="0"/>
    <n v="1164"/>
    <n v="231"/>
    <n v="3324.39"/>
    <x v="0"/>
  </r>
  <r>
    <x v="1077"/>
    <x v="1"/>
    <n v="1166"/>
    <n v="270"/>
    <n v="4151.0200000000004"/>
    <x v="1"/>
  </r>
  <r>
    <x v="1078"/>
    <x v="0"/>
    <n v="1137"/>
    <n v="204"/>
    <n v="2722.06"/>
    <x v="0"/>
  </r>
  <r>
    <x v="1078"/>
    <x v="1"/>
    <n v="1203"/>
    <n v="292"/>
    <n v="4742.2"/>
    <x v="1"/>
  </r>
  <r>
    <x v="1079"/>
    <x v="0"/>
    <n v="1169"/>
    <n v="243"/>
    <n v="3536.83"/>
    <x v="0"/>
  </r>
  <r>
    <x v="1079"/>
    <x v="1"/>
    <n v="1122"/>
    <n v="273"/>
    <n v="3449.65"/>
    <x v="1"/>
  </r>
  <r>
    <x v="1080"/>
    <x v="0"/>
    <n v="1251"/>
    <n v="221"/>
    <n v="3120.12"/>
    <x v="0"/>
  </r>
  <r>
    <x v="1080"/>
    <x v="1"/>
    <n v="1114"/>
    <n v="248"/>
    <n v="3414.24"/>
    <x v="1"/>
  </r>
  <r>
    <x v="1081"/>
    <x v="0"/>
    <n v="1169"/>
    <n v="212"/>
    <n v="3963.83"/>
    <x v="0"/>
  </r>
  <r>
    <x v="1081"/>
    <x v="1"/>
    <n v="1177"/>
    <n v="270"/>
    <n v="3613.87"/>
    <x v="1"/>
  </r>
  <r>
    <x v="1082"/>
    <x v="0"/>
    <n v="1179"/>
    <n v="213"/>
    <n v="3008.05"/>
    <x v="0"/>
  </r>
  <r>
    <x v="1082"/>
    <x v="1"/>
    <n v="1147"/>
    <n v="246"/>
    <n v="3375.58"/>
    <x v="1"/>
  </r>
  <r>
    <x v="1083"/>
    <x v="0"/>
    <n v="1228"/>
    <n v="232"/>
    <n v="4132.22"/>
    <x v="0"/>
  </r>
  <r>
    <x v="1083"/>
    <x v="1"/>
    <n v="1146"/>
    <n v="271"/>
    <n v="4444.8"/>
    <x v="1"/>
  </r>
  <r>
    <x v="1084"/>
    <x v="0"/>
    <n v="1191"/>
    <n v="234"/>
    <n v="3184.06"/>
    <x v="0"/>
  </r>
  <r>
    <x v="1084"/>
    <x v="1"/>
    <n v="1156"/>
    <n v="247"/>
    <n v="4872.91"/>
    <x v="1"/>
  </r>
  <r>
    <x v="1085"/>
    <x v="0"/>
    <n v="1235"/>
    <n v="235"/>
    <n v="4701.49"/>
    <x v="0"/>
  </r>
  <r>
    <x v="1085"/>
    <x v="1"/>
    <n v="1128"/>
    <n v="270"/>
    <n v="4058.65"/>
    <x v="1"/>
  </r>
  <r>
    <x v="1086"/>
    <x v="0"/>
    <n v="1193"/>
    <n v="217"/>
    <n v="3395.77"/>
    <x v="0"/>
  </r>
  <r>
    <x v="1086"/>
    <x v="1"/>
    <n v="1215"/>
    <n v="273"/>
    <n v="3802.16"/>
    <x v="1"/>
  </r>
  <r>
    <x v="1087"/>
    <x v="0"/>
    <n v="1187"/>
    <n v="235"/>
    <n v="2964.11"/>
    <x v="0"/>
  </r>
  <r>
    <x v="1087"/>
    <x v="1"/>
    <n v="1130"/>
    <n v="286"/>
    <n v="3527.43"/>
    <x v="1"/>
  </r>
  <r>
    <x v="1088"/>
    <x v="0"/>
    <n v="1166"/>
    <n v="234"/>
    <n v="2962.76"/>
    <x v="0"/>
  </r>
  <r>
    <x v="1088"/>
    <x v="1"/>
    <n v="1145"/>
    <n v="235"/>
    <n v="3689.43"/>
    <x v="1"/>
  </r>
  <r>
    <x v="1089"/>
    <x v="0"/>
    <n v="1142"/>
    <n v="216"/>
    <n v="3273.3"/>
    <x v="0"/>
  </r>
  <r>
    <x v="1089"/>
    <x v="1"/>
    <n v="1133"/>
    <n v="274"/>
    <n v="4962.5200000000004"/>
    <x v="1"/>
  </r>
  <r>
    <x v="1090"/>
    <x v="0"/>
    <n v="1183"/>
    <n v="235"/>
    <n v="4239.09"/>
    <x v="0"/>
  </r>
  <r>
    <x v="1090"/>
    <x v="1"/>
    <n v="1134"/>
    <n v="267"/>
    <n v="4334.3"/>
    <x v="1"/>
  </r>
  <r>
    <x v="1091"/>
    <x v="0"/>
    <n v="1222"/>
    <n v="245"/>
    <n v="3636.82"/>
    <x v="0"/>
  </r>
  <r>
    <x v="1091"/>
    <x v="1"/>
    <n v="1162"/>
    <n v="284"/>
    <n v="4856.16"/>
    <x v="1"/>
  </r>
  <r>
    <x v="1092"/>
    <x v="0"/>
    <n v="1227"/>
    <n v="243"/>
    <n v="3024.34"/>
    <x v="0"/>
  </r>
  <r>
    <x v="1092"/>
    <x v="1"/>
    <n v="1166"/>
    <n v="247"/>
    <n v="3416.9"/>
    <x v="1"/>
  </r>
  <r>
    <x v="1093"/>
    <x v="0"/>
    <n v="1187"/>
    <n v="222"/>
    <n v="3181.44"/>
    <x v="0"/>
  </r>
  <r>
    <x v="1093"/>
    <x v="1"/>
    <n v="1193"/>
    <n v="276"/>
    <n v="4728.2299999999996"/>
    <x v="1"/>
  </r>
  <r>
    <x v="1094"/>
    <x v="0"/>
    <n v="1231"/>
    <n v="231"/>
    <n v="3464.72"/>
    <x v="0"/>
  </r>
  <r>
    <x v="1094"/>
    <x v="1"/>
    <n v="1139"/>
    <n v="250"/>
    <n v="4598.3100000000004"/>
    <x v="1"/>
  </r>
  <r>
    <x v="1095"/>
    <x v="0"/>
    <n v="1245"/>
    <n v="229"/>
    <n v="2558.69"/>
    <x v="0"/>
  </r>
  <r>
    <x v="1095"/>
    <x v="1"/>
    <n v="1144"/>
    <n v="268"/>
    <n v="3770.74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49706"/>
    <n v="1314454"/>
    <n v="1064748"/>
    <n v="0.18996937131310795"/>
    <n v="0.81003062868689202"/>
  </r>
  <r>
    <x v="1"/>
    <n v="289624"/>
    <n v="1260344"/>
    <n v="970720"/>
    <n v="0.22979757907364973"/>
    <n v="0.770202420926350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78062-015A-F049-B446-9872DE86BD80}" name="revenuePivotTable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ampaign">
  <location ref="A15:B18" firstHeaderRow="1" firstDataRow="1" firstDataCol="1"/>
  <pivotFields count="9">
    <pivotField numFmtId="164" showAll="0">
      <items count="10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t="default"/>
      </items>
    </pivotField>
    <pivotField showAll="0"/>
    <pivotField numFmtId="1" showAll="0"/>
    <pivotField numFmtId="1" showAll="0"/>
    <pivotField dataField="1" numFmtId="165" showAll="0"/>
    <pivotField axis="axisRow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Sum of Revenu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8F1E6F-F942-754A-BFB2-64D44E4DBE94}" name="visitorsPivotTable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ampaign">
  <location ref="A9:B12" firstHeaderRow="1" firstDataRow="1" firstDataCol="1"/>
  <pivotFields count="9">
    <pivotField numFmtId="164" showAll="0">
      <items count="10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t="default"/>
      </items>
    </pivotField>
    <pivotField showAll="0"/>
    <pivotField dataField="1" numFmtId="1" showAll="0"/>
    <pivotField numFmtId="1" showAll="0"/>
    <pivotField numFmtId="165" showAll="0"/>
    <pivotField axis="axisRow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Sum of Visito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CB2EE-23B5-7B42-B110-D5E273D15714}" name="conversionsPivotTable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Campaign">
  <location ref="A3:B6" firstHeaderRow="1" firstDataRow="1" firstDataCol="1"/>
  <pivotFields count="9">
    <pivotField numFmtId="164" showAll="0">
      <items count="10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t="default"/>
      </items>
    </pivotField>
    <pivotField showAll="0"/>
    <pivotField numFmtId="1" showAll="0"/>
    <pivotField dataField="1" numFmtId="1" showAll="0"/>
    <pivotField numFmtId="165" showAll="0"/>
    <pivotField axis="axisRow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Sum of Conversion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7B367-0527-B849-B4E8-4B341BAAA5D6}" name="revenuePerMonth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5" rowHeaderCaption="Time" colHeaderCaption="Campaign">
  <location ref="A3:D40" firstHeaderRow="1" firstDataRow="2" firstDataCol="2"/>
  <pivotFields count="9">
    <pivotField compact="0" numFmtId="164" outline="0" subtotalTop="0" showAll="0" defaultSubtotal="0">
      <items count="10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</items>
    </pivotField>
    <pivotField compact="0" outline="0" subtotalTop="0" showAll="0" defaultSubtotal="0"/>
    <pivotField compact="0" numFmtId="1" outline="0" subtotalTop="0" showAll="0" defaultSubtotal="0"/>
    <pivotField compact="0" numFmtId="1" outline="0" subtotalTop="0" showAll="0" defaultSubtotal="0"/>
    <pivotField dataField="1" compact="0" numFmtId="165" outline="0" subtotalTop="0" showAll="0" defaultSubtotal="0"/>
    <pivotField axis="axisCol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ubtotalTop="0" showAll="0" defaultSubtotal="0">
      <items count="6">
        <item sd="0" x="0"/>
        <item x="1"/>
        <item x="2"/>
        <item x="3"/>
        <item h="1" sd="0" x="4"/>
        <item h="1" sd="0" x="5"/>
      </items>
    </pivotField>
  </pivotFields>
  <rowFields count="2">
    <field x="8"/>
    <field x="6"/>
  </rowFields>
  <rowItems count="36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Fields count="1">
    <field x="5"/>
  </colFields>
  <colItems count="2">
    <i>
      <x/>
    </i>
    <i>
      <x v="1"/>
    </i>
  </colItems>
  <dataFields count="1">
    <dataField name="Sum of Revenue " fld="4" baseField="0" baseItem="0" numFmtId="165"/>
  </dataFields>
  <formats count="14"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5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8" type="button" dataOnly="0" labelOnly="1" outline="0" axis="axisRow" fieldPosition="0"/>
    </format>
    <format dxfId="17">
      <pivotArea field="6" type="button" dataOnly="0" labelOnly="1" outline="0" axis="axisRow" fieldPosition="1"/>
    </format>
    <format dxfId="16">
      <pivotArea dataOnly="0" labelOnly="1" outline="0" fieldPosition="0">
        <references count="1">
          <reference field="8" count="4">
            <x v="1"/>
            <x v="2"/>
            <x v="3"/>
            <x v="4"/>
          </reference>
        </references>
      </pivotArea>
    </format>
    <format dxfId="15">
      <pivotArea dataOnly="0" labelOnly="1" outline="0" fieldPosition="0">
        <references count="2">
          <reference field="6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1"/>
          </reference>
        </references>
      </pivotArea>
    </format>
    <format dxfId="14">
      <pivotArea dataOnly="0" labelOnly="1" outline="0" fieldPosition="0">
        <references count="2">
          <reference field="6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2"/>
          </reference>
        </references>
      </pivotArea>
    </format>
    <format dxfId="13">
      <pivotArea dataOnly="0" labelOnly="1" outline="0" fieldPosition="0">
        <references count="2">
          <reference field="6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3"/>
          </reference>
        </references>
      </pivotArea>
    </format>
    <format dxfId="12">
      <pivotArea dataOnly="0" labelOnly="1" outline="0" fieldPosition="0">
        <references count="2">
          <reference field="6" count="1">
            <x v="1"/>
          </reference>
          <reference field="8" count="1" selected="0">
            <x v="4"/>
          </reference>
        </references>
      </pivotArea>
    </format>
    <format dxfId="11">
      <pivotArea dataOnly="0" labelOnly="1" outline="0" fieldPosition="0">
        <references count="1">
          <reference field="5" count="0"/>
        </references>
      </pivotArea>
    </format>
    <format dxfId="10">
      <pivotArea outline="0" collapsedLevelsAreSubtotals="1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95E1E8-B8C3-4148-8809-2A9182983A10}" name="conversionRate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5" rowHeaderCaption="Campaign">
  <location ref="A6:B8" firstHeaderRow="1" firstDataRow="1" firstDataCol="1"/>
  <pivotFields count="6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ataField="1" numFmtId="10" showAll="0"/>
    <pivotField numFmtId="10"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Conversion Rate " fld="4" baseField="0" baseItem="0" numFmtId="2"/>
  </dataFields>
  <formats count="5">
    <format dxfId="8">
      <pivotArea type="all" dataOnly="0" outline="0" fieldPosition="0"/>
    </format>
    <format dxfId="7">
      <pivotArea outline="0" collapsedLevelsAreSubtotals="1" fieldPosition="0"/>
    </format>
    <format dxfId="6">
      <pivotArea field="0" type="button" dataOnly="0" labelOnly="1" outline="0" axis="axisRow" fieldPosition="0"/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8F5A51-EEE2-D247-BED6-29994FB3B43E}" name="campaignData" displayName="campaignData" ref="A1:F2193" totalsRowShown="0" headerRowDxfId="61">
  <autoFilter ref="A1:F2193" xr:uid="{3E8F5A51-EEE2-D247-BED6-29994FB3B43E}"/>
  <tableColumns count="6">
    <tableColumn id="1" xr3:uid="{FC909CCE-9EBC-C94B-AD41-A0359D1245FE}" name="Date" dataDxfId="60"/>
    <tableColumn id="2" xr3:uid="{677772F1-2479-6A44-AFA0-AC2C584F53ED}" name="Campaign" dataDxfId="59"/>
    <tableColumn id="3" xr3:uid="{BED859B0-C620-BA4A-B2D7-DB960C52944A}" name="Visitors" dataDxfId="58"/>
    <tableColumn id="4" xr3:uid="{FD0D652D-1479-E54A-B08C-BC145BD02720}" name="Conversions" dataDxfId="57"/>
    <tableColumn id="5" xr3:uid="{60FFBDE2-7F46-DA45-AA8F-429DD5382C44}" name="Revenue" dataDxfId="56"/>
    <tableColumn id="9" xr3:uid="{F952B1BD-10C1-4B40-8F54-5E8702E3A5B8}" name="Campaign New" dataDxfId="55">
      <calculatedColumnFormula>IF(campaignData[[#This Row],[Campaign]]="Old_Campaign", "A", "B")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AF8106-DF76-D645-B343-743DF65A3A80}" name="summaryTable" displayName="summaryTable" ref="A1:F3" totalsRowShown="0">
  <autoFilter ref="A1:F3" xr:uid="{44AF8106-DF76-D645-B343-743DF65A3A80}"/>
  <tableColumns count="6">
    <tableColumn id="1" xr3:uid="{DE8A61C2-4842-C249-8AB8-922254756354}" name="Campaign" dataDxfId="54"/>
    <tableColumn id="2" xr3:uid="{E5E9EB2C-FA72-B442-9D6A-3C104ADCCB7D}" name="Total Conversions">
      <calculatedColumnFormula>SUMIF(campaignData[Campaign New], campaignData[[#This Row],[Campaign New]], campaignData[Conversions])</calculatedColumnFormula>
    </tableColumn>
    <tableColumn id="3" xr3:uid="{9CE3205A-DAF3-3D43-98CE-D895030E27C2}" name="Total Visitors">
      <calculatedColumnFormula>SUMIF(campaignData[Campaign New], campaignData[[#This Row],[Campaign New]], campaignData[Visitors])</calculatedColumnFormula>
    </tableColumn>
    <tableColumn id="4" xr3:uid="{3FC99218-A51D-D74A-8AF4-60E722F33D18}" name="Total Failures">
      <calculatedColumnFormula>C2 - B2</calculatedColumnFormula>
    </tableColumn>
    <tableColumn id="5" xr3:uid="{DF36AA00-7965-7049-A482-77C6636922DF}" name="Conversion Rate" dataDxfId="53" dataCellStyle="Percent">
      <calculatedColumnFormula>summaryTable[[#This Row],[Total Conversions]]/summaryTable[[#This Row],[Total Visitors]]</calculatedColumnFormula>
    </tableColumn>
    <tableColumn id="6" xr3:uid="{69012C44-60F9-0747-9CA0-39A21E1D65AC}" name="Failure Rate" dataDxfId="52" dataCellStyle="Percent">
      <calculatedColumnFormula>summaryTable[[#This Row],[Total Failures]]/summaryTable[[#This Row],[Total Visitors]]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2670A1-EB78-0742-BBD1-775003F5AF77}" name="contingencyTable" displayName="contingencyTable" ref="A3:D6" totalsRowShown="0" headerRowDxfId="51">
  <autoFilter ref="A3:D6" xr:uid="{B62670A1-EB78-0742-BBD1-775003F5AF77}"/>
  <tableColumns count="4">
    <tableColumn id="1" xr3:uid="{58726E38-26D7-6A44-A28C-B30E45909821}" name="Campaign" dataDxfId="50"/>
    <tableColumn id="2" xr3:uid="{7FC798FF-7A7C-094E-962B-7344F6EF3DA2}" name="Conversions"/>
    <tableColumn id="3" xr3:uid="{4A4EEA06-9D60-0A47-89C4-0333B65B550D}" name="Failures"/>
    <tableColumn id="4" xr3:uid="{09B250F6-F81A-D348-94A0-70F39E065A2F}" name="Total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6070D0-BE10-5647-97E8-E3FAAB95E861}" name="expectedFrequencies" displayName="expectedFrequencies" ref="A11:C13" totalsRowShown="0">
  <autoFilter ref="A11:C13" xr:uid="{FD6070D0-BE10-5647-97E8-E3FAAB95E861}"/>
  <tableColumns count="3">
    <tableColumn id="1" xr3:uid="{6CC8FA0B-BC80-6F41-A5EB-F7B29EFF71DC}" name="Campaign" dataDxfId="49"/>
    <tableColumn id="2" xr3:uid="{F02DCAD2-F239-194D-B66A-4990F94AC4C2}" name="Expected Conversions" dataDxfId="48">
      <calculatedColumnFormula>(D4 * B5) / D5</calculatedColumnFormula>
    </tableColumn>
    <tableColumn id="3" xr3:uid="{3CA1FADF-9D96-B045-9275-45C8C9B877EF}" name="Expected Failures" dataDxfId="47">
      <calculatedColumnFormula>(D4 * C5) / D5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DCD7F9-4118-A647-B1AC-D4B2CD81FC69}" name="Table5" displayName="Table5" ref="A3:B5" totalsRowShown="0">
  <autoFilter ref="A3:B5" xr:uid="{1ADCD7F9-4118-A647-B1AC-D4B2CD81FC69}"/>
  <tableColumns count="2">
    <tableColumn id="1" xr3:uid="{AD196C86-11BE-DB4E-84F6-A731559FA3CC}" name="Campaign"/>
    <tableColumn id="2" xr3:uid="{04BC4118-7210-634C-ACC3-93272ACD1C5D}" name="Conversion Rate" dataDxfId="9">
      <calculatedColumnFormula>summaryTable!E2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A41D4A-65A7-7B48-B59E-C1E524491398}" name="campaignData7" displayName="campaignData7" ref="A1:E2193" totalsRowShown="0" headerRowDxfId="46">
  <autoFilter ref="A1:E2193" xr:uid="{4DA41D4A-65A7-7B48-B59E-C1E524491398}">
    <filterColumn colId="4">
      <filters>
        <filter val="B"/>
      </filters>
    </filterColumn>
  </autoFilter>
  <tableColumns count="5">
    <tableColumn id="1" xr3:uid="{FA42436C-5A62-DD43-A324-21010923DDCF}" name="Date" dataDxfId="45"/>
    <tableColumn id="3" xr3:uid="{972EA716-7ABD-DA45-917F-16F738FCA9E6}" name="Visitors" dataDxfId="44"/>
    <tableColumn id="4" xr3:uid="{EB5639C1-6F48-A94C-ACE8-FC4D73B7F2BB}" name="Conversions" dataDxfId="43"/>
    <tableColumn id="5" xr3:uid="{D4A28D06-BA45-614C-B722-03AEE4BA086A}" name="Revenue" dataDxfId="42"/>
    <tableColumn id="9" xr3:uid="{BB944BC2-F3D0-944D-8169-C5C740BC3313}" name="Campaign New" dataDxfId="4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CAFD6D2-76D4-6948-BC13-6AB117E66644}" name="campaignBData" displayName="campaignBData" ref="A1:E1097" totalsRowShown="0">
  <autoFilter ref="A1:E1097" xr:uid="{5CAFD6D2-76D4-6948-BC13-6AB117E66644}"/>
  <tableColumns count="5">
    <tableColumn id="1" xr3:uid="{ADC0BDD5-31CE-F340-BEAA-60AAB031EAB2}" name="Date" dataDxfId="40"/>
    <tableColumn id="2" xr3:uid="{C7F53FE7-2772-4048-A612-4BE1F8C67CCE}" name="Visitors" dataDxfId="39"/>
    <tableColumn id="3" xr3:uid="{CE3BB1EA-6767-4846-BBA5-DCE63368FA3E}" name="Conversions" dataDxfId="38"/>
    <tableColumn id="4" xr3:uid="{C37927A1-D9F1-C444-85FB-CE3292E1E13A}" name="Revenue" dataDxfId="37"/>
    <tableColumn id="5" xr3:uid="{0596F899-43C3-DA4A-854C-7F2171B09F49}" name="Campaign" dataDxfId="36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2D812A-CED2-8E4D-90B0-4C621BE01243}" name="forecastTable" displayName="forecastTable" ref="A1:I33" totalsRowShown="0" headerRowDxfId="35">
  <autoFilter ref="A1:I33" xr:uid="{1F2D812A-CED2-8E4D-90B0-4C621BE01243}"/>
  <tableColumns count="9">
    <tableColumn id="1" xr3:uid="{4990206A-7C58-4042-9E95-443F7D1B9A8B}" name="Date" dataDxfId="33"/>
    <tableColumn id="5" xr3:uid="{757486AF-461C-0044-AAEF-D30584CB86E7}" name="Actual Values" dataDxfId="32"/>
    <tableColumn id="2" xr3:uid="{E422C01A-C165-9F44-A8FF-78D26E3C70E5}" name="Forecasted Values" dataDxfId="24">
      <calculatedColumnFormula>_xlfn.FORECAST.ETS(forecastTable[[#This Row],[Date]], filteredDataPasted!$D$2:$D$1065, filteredDataPasted!$A$2:$A$1065, 1, 1)</calculatedColumnFormula>
    </tableColumn>
    <tableColumn id="3" xr3:uid="{2627B4EF-6398-0340-B385-488D28ACB5A5}" name="Lower Bound" dataDxfId="34">
      <calculatedColumnFormula>C2 - _xlfn.FORECAST.ETS.CONFINT(forecastTable[[#This Row],[Date]], filteredDataPasted!$D$2:$D$1065, filteredDataPasted!$A$2:$A$1065, 0.95, 1, 1)</calculatedColumnFormula>
    </tableColumn>
    <tableColumn id="4" xr3:uid="{9D21698E-1CC4-0846-AB0A-34899DCD528C}" name="Upper Bound" dataDxfId="31">
      <calculatedColumnFormula>C2 + _xlfn.FORECAST.ETS.CONFINT(forecastTable[[#This Row],[Date]], filteredDataPasted!$D$2:$D$1065, filteredDataPasted!$A$2:$A$1065, 0.95, 1, 1)</calculatedColumnFormula>
    </tableColumn>
    <tableColumn id="6" xr3:uid="{FD1ECF36-60A3-C341-952E-1C332B35E63F}" name="Error" dataDxfId="29">
      <calculatedColumnFormula>forecastTable[[#This Row],[Forecasted Values]]-forecastTable[[#This Row],[Actual Values]]</calculatedColumnFormula>
    </tableColumn>
    <tableColumn id="8" xr3:uid="{FA42C152-5AE6-134A-8EDB-465B64854A36}" name="Absolute Error" dataDxfId="28">
      <calculatedColumnFormula>ABS(forecastTable[[#This Row],[Error]])</calculatedColumnFormula>
    </tableColumn>
    <tableColumn id="7" xr3:uid="{945EA6E4-33EF-F747-BA2D-C7B5B9A06600}" name="Squared Error" dataDxfId="30">
      <calculatedColumnFormula>forecastTable[[#This Row],[Error]]^2</calculatedColumnFormula>
    </tableColumn>
    <tableColumn id="9" xr3:uid="{D10AA125-FA94-6249-B2B9-13503E84E458}" name="Abs. Percentage Error" dataDxfId="27">
      <calculatedColumnFormula>IF(forecastTable[[#This Row],[Actual Values]]=0, "", ABS(forecastTable[[#This Row],[Error]] / forecastTable[[#This Row],[Actual Values]]))</calculatedColumnFormula>
    </tableColumn>
  </tableColumns>
  <tableStyleInfo name="TableStyleLight1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F2683E-B442-D548-961E-7B9339D4554C}" name="forecastMetrics" displayName="forecastMetrics" ref="A1:B5" totalsRowShown="0">
  <autoFilter ref="A1:B5" xr:uid="{E7F2683E-B442-D548-961E-7B9339D4554C}"/>
  <tableColumns count="2">
    <tableColumn id="1" xr3:uid="{9FC4F220-2E4C-9844-BA26-EF5B878AA84E}" name="Metric" dataDxfId="25"/>
    <tableColumn id="2" xr3:uid="{D9DA442E-46C3-1B48-B10D-3E43687CBC44}" name="Value" dataDxfId="26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4434F8D-AFBF-9F40-9C42-7DD395E05D6E}" name="Table10" displayName="Table10" ref="A1:D31" totalsRowShown="0">
  <autoFilter ref="A1:D31" xr:uid="{F4434F8D-AFBF-9F40-9C42-7DD395E05D6E}"/>
  <tableColumns count="4">
    <tableColumn id="1" xr3:uid="{C695846E-E867-A24A-BDC3-6C980BFAC8FE}" name="Date" dataDxfId="3"/>
    <tableColumn id="2" xr3:uid="{1561B979-FE58-0A4F-9B2A-220CF396B832}" name="Forecasted Values" dataDxfId="2">
      <calculatedColumnFormula>_xlfn.FORECAST.ETS(A2, filteredDataPasted!$D$2:$D$1097, filteredDataPasted!$A$2:$A$1097, 1, 1)</calculatedColumnFormula>
    </tableColumn>
    <tableColumn id="3" xr3:uid="{744C2980-A67D-9646-82DB-1E1EF7C935BE}" name="Lower Bound" dataDxfId="1">
      <calculatedColumnFormula>B2 - _xlfn.FORECAST.ETS.CONFINT(A2, filteredDataPasted!$D$2:$D$1097, filteredDataPasted!$A$2:$A$1097, 0.95, 1, 1)</calculatedColumnFormula>
    </tableColumn>
    <tableColumn id="4" xr3:uid="{02FB97D3-4723-5543-8825-6D9A7A94E424}" name="Upper Bound" dataDxfId="0">
      <calculatedColumnFormula>B2 + _xlfn.FORECAST.ETS.CONFINT(A2, filteredDataPasted!$D$2:$D$1097, filteredDataPasted!$A$2:$A$1097, 0.95, 1, 1)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D542B-47F9-2A46-BF1E-90A66A8FEB2B}">
  <dimension ref="A1:F2193"/>
  <sheetViews>
    <sheetView tabSelected="1" workbookViewId="0">
      <selection activeCell="A2" sqref="A2"/>
    </sheetView>
  </sheetViews>
  <sheetFormatPr baseColWidth="10" defaultRowHeight="16" x14ac:dyDescent="0.2"/>
  <cols>
    <col min="1" max="1" width="10.1640625" style="1" bestFit="1" customWidth="1"/>
    <col min="2" max="2" width="14.6640625" style="5" bestFit="1" customWidth="1"/>
    <col min="3" max="3" width="12.6640625" style="2" bestFit="1" customWidth="1"/>
    <col min="4" max="4" width="16.5" style="2" bestFit="1" customWidth="1"/>
    <col min="5" max="5" width="13.1640625" style="3" bestFit="1" customWidth="1"/>
    <col min="6" max="6" width="18.6640625" style="4" bestFit="1" customWidth="1"/>
  </cols>
  <sheetData>
    <row r="1" spans="1:6" x14ac:dyDescent="0.2">
      <c r="A1" s="6" t="s">
        <v>0</v>
      </c>
      <c r="B1" s="7" t="s">
        <v>1</v>
      </c>
      <c r="C1" s="8" t="s">
        <v>2</v>
      </c>
      <c r="D1" s="8" t="s">
        <v>3</v>
      </c>
      <c r="E1" s="9" t="s">
        <v>4</v>
      </c>
      <c r="F1" s="4" t="s">
        <v>10</v>
      </c>
    </row>
    <row r="2" spans="1:6" x14ac:dyDescent="0.2">
      <c r="A2" s="1">
        <v>44197</v>
      </c>
      <c r="B2" s="5" t="s">
        <v>5</v>
      </c>
      <c r="C2" s="2">
        <v>1187</v>
      </c>
      <c r="D2" s="2">
        <v>216</v>
      </c>
      <c r="E2" s="3">
        <v>3138.85</v>
      </c>
      <c r="F2" s="4" t="str">
        <f>IF(campaignData[[#This Row],[Campaign]]="Old_Campaign", "A", "B")</f>
        <v>A</v>
      </c>
    </row>
    <row r="3" spans="1:6" x14ac:dyDescent="0.2">
      <c r="A3" s="1">
        <v>44197</v>
      </c>
      <c r="B3" s="5" t="s">
        <v>6</v>
      </c>
      <c r="C3" s="2">
        <v>1160</v>
      </c>
      <c r="D3" s="2">
        <v>241</v>
      </c>
      <c r="E3" s="3">
        <v>3743.15</v>
      </c>
      <c r="F3" s="4" t="str">
        <f>IF(campaignData[[#This Row],[Campaign]]="Old_Campaign", "A", "B")</f>
        <v>B</v>
      </c>
    </row>
    <row r="4" spans="1:6" x14ac:dyDescent="0.2">
      <c r="A4" s="1">
        <v>44198</v>
      </c>
      <c r="B4" s="5" t="s">
        <v>5</v>
      </c>
      <c r="C4" s="2">
        <v>1238</v>
      </c>
      <c r="D4" s="2">
        <v>238</v>
      </c>
      <c r="E4" s="3">
        <v>3685.17</v>
      </c>
      <c r="F4" s="4" t="str">
        <f>IF(campaignData[[#This Row],[Campaign]]="Old_Campaign", "A", "B")</f>
        <v>A</v>
      </c>
    </row>
    <row r="5" spans="1:6" x14ac:dyDescent="0.2">
      <c r="A5" s="1">
        <v>44198</v>
      </c>
      <c r="B5" s="5" t="s">
        <v>6</v>
      </c>
      <c r="C5" s="2">
        <v>1143</v>
      </c>
      <c r="D5" s="2">
        <v>285</v>
      </c>
      <c r="E5" s="3">
        <v>3469.43</v>
      </c>
      <c r="F5" s="4" t="str">
        <f>IF(campaignData[[#This Row],[Campaign]]="Old_Campaign", "A", "B")</f>
        <v>B</v>
      </c>
    </row>
    <row r="6" spans="1:6" x14ac:dyDescent="0.2">
      <c r="A6" s="1">
        <v>44199</v>
      </c>
      <c r="B6" s="5" t="s">
        <v>5</v>
      </c>
      <c r="C6" s="2">
        <v>1178</v>
      </c>
      <c r="D6" s="2">
        <v>222</v>
      </c>
      <c r="E6" s="3">
        <v>3359.98</v>
      </c>
      <c r="F6" s="4" t="str">
        <f>IF(campaignData[[#This Row],[Campaign]]="Old_Campaign", "A", "B")</f>
        <v>A</v>
      </c>
    </row>
    <row r="7" spans="1:6" x14ac:dyDescent="0.2">
      <c r="A7" s="1">
        <v>44199</v>
      </c>
      <c r="B7" s="5" t="s">
        <v>6</v>
      </c>
      <c r="C7" s="2">
        <v>1159</v>
      </c>
      <c r="D7" s="2">
        <v>287</v>
      </c>
      <c r="E7" s="3">
        <v>3774.19</v>
      </c>
      <c r="F7" s="4" t="str">
        <f>IF(campaignData[[#This Row],[Campaign]]="Old_Campaign", "A", "B")</f>
        <v>B</v>
      </c>
    </row>
    <row r="8" spans="1:6" x14ac:dyDescent="0.2">
      <c r="A8" s="1">
        <v>44200</v>
      </c>
      <c r="B8" s="5" t="s">
        <v>5</v>
      </c>
      <c r="C8" s="2">
        <v>1180</v>
      </c>
      <c r="D8" s="2">
        <v>207</v>
      </c>
      <c r="E8" s="3">
        <v>3099.41</v>
      </c>
      <c r="F8" s="4" t="str">
        <f>IF(campaignData[[#This Row],[Campaign]]="Old_Campaign", "A", "B")</f>
        <v>A</v>
      </c>
    </row>
    <row r="9" spans="1:6" x14ac:dyDescent="0.2">
      <c r="A9" s="1">
        <v>44200</v>
      </c>
      <c r="B9" s="5" t="s">
        <v>6</v>
      </c>
      <c r="C9" s="2">
        <v>1125</v>
      </c>
      <c r="D9" s="2">
        <v>257</v>
      </c>
      <c r="E9" s="3">
        <v>3568.34</v>
      </c>
      <c r="F9" s="4" t="str">
        <f>IF(campaignData[[#This Row],[Campaign]]="Old_Campaign", "A", "B")</f>
        <v>B</v>
      </c>
    </row>
    <row r="10" spans="1:6" x14ac:dyDescent="0.2">
      <c r="A10" s="1">
        <v>44201</v>
      </c>
      <c r="B10" s="5" t="s">
        <v>5</v>
      </c>
      <c r="C10" s="2">
        <v>1205</v>
      </c>
      <c r="D10" s="2">
        <v>257</v>
      </c>
      <c r="E10" s="3">
        <v>4234.57</v>
      </c>
      <c r="F10" s="4" t="str">
        <f>IF(campaignData[[#This Row],[Campaign]]="Old_Campaign", "A", "B")</f>
        <v>A</v>
      </c>
    </row>
    <row r="11" spans="1:6" x14ac:dyDescent="0.2">
      <c r="A11" s="1">
        <v>44201</v>
      </c>
      <c r="B11" s="5" t="s">
        <v>6</v>
      </c>
      <c r="C11" s="2">
        <v>1095</v>
      </c>
      <c r="D11" s="2">
        <v>245</v>
      </c>
      <c r="E11" s="3">
        <v>4003.97</v>
      </c>
      <c r="F11" s="4" t="str">
        <f>IF(campaignData[[#This Row],[Campaign]]="Old_Campaign", "A", "B")</f>
        <v>B</v>
      </c>
    </row>
    <row r="12" spans="1:6" x14ac:dyDescent="0.2">
      <c r="A12" s="1">
        <v>44202</v>
      </c>
      <c r="B12" s="5" t="s">
        <v>5</v>
      </c>
      <c r="C12" s="2">
        <v>1189</v>
      </c>
      <c r="D12" s="2">
        <v>235</v>
      </c>
      <c r="E12" s="3">
        <v>3686.5</v>
      </c>
      <c r="F12" s="4" t="str">
        <f>IF(campaignData[[#This Row],[Campaign]]="Old_Campaign", "A", "B")</f>
        <v>A</v>
      </c>
    </row>
    <row r="13" spans="1:6" x14ac:dyDescent="0.2">
      <c r="A13" s="1">
        <v>44202</v>
      </c>
      <c r="B13" s="5" t="s">
        <v>6</v>
      </c>
      <c r="C13" s="2">
        <v>1108</v>
      </c>
      <c r="D13" s="2">
        <v>231</v>
      </c>
      <c r="E13" s="3">
        <v>2881.48</v>
      </c>
      <c r="F13" s="4" t="str">
        <f>IF(campaignData[[#This Row],[Campaign]]="Old_Campaign", "A", "B")</f>
        <v>B</v>
      </c>
    </row>
    <row r="14" spans="1:6" x14ac:dyDescent="0.2">
      <c r="A14" s="1">
        <v>44203</v>
      </c>
      <c r="B14" s="5" t="s">
        <v>5</v>
      </c>
      <c r="C14" s="2">
        <v>1229</v>
      </c>
      <c r="D14" s="2">
        <v>212</v>
      </c>
      <c r="E14" s="3">
        <v>3617.14</v>
      </c>
      <c r="F14" s="4" t="str">
        <f>IF(campaignData[[#This Row],[Campaign]]="Old_Campaign", "A", "B")</f>
        <v>A</v>
      </c>
    </row>
    <row r="15" spans="1:6" x14ac:dyDescent="0.2">
      <c r="A15" s="1">
        <v>44203</v>
      </c>
      <c r="B15" s="5" t="s">
        <v>6</v>
      </c>
      <c r="C15" s="2">
        <v>1178</v>
      </c>
      <c r="D15" s="2">
        <v>283</v>
      </c>
      <c r="E15" s="3">
        <v>5055.1000000000004</v>
      </c>
      <c r="F15" s="4" t="str">
        <f>IF(campaignData[[#This Row],[Campaign]]="Old_Campaign", "A", "B")</f>
        <v>B</v>
      </c>
    </row>
    <row r="16" spans="1:6" x14ac:dyDescent="0.2">
      <c r="A16" s="1">
        <v>44204</v>
      </c>
      <c r="B16" s="5" t="s">
        <v>5</v>
      </c>
      <c r="C16" s="2">
        <v>1243</v>
      </c>
      <c r="D16" s="2">
        <v>248</v>
      </c>
      <c r="E16" s="3">
        <v>3171.26</v>
      </c>
      <c r="F16" s="4" t="str">
        <f>IF(campaignData[[#This Row],[Campaign]]="Old_Campaign", "A", "B")</f>
        <v>A</v>
      </c>
    </row>
    <row r="17" spans="1:6" x14ac:dyDescent="0.2">
      <c r="A17" s="1">
        <v>44204</v>
      </c>
      <c r="B17" s="5" t="s">
        <v>6</v>
      </c>
      <c r="C17" s="2">
        <v>1173</v>
      </c>
      <c r="D17" s="2">
        <v>255</v>
      </c>
      <c r="E17" s="3">
        <v>3469.93</v>
      </c>
      <c r="F17" s="4" t="str">
        <f>IF(campaignData[[#This Row],[Campaign]]="Old_Campaign", "A", "B")</f>
        <v>B</v>
      </c>
    </row>
    <row r="18" spans="1:6" x14ac:dyDescent="0.2">
      <c r="A18" s="1">
        <v>44205</v>
      </c>
      <c r="B18" s="5" t="s">
        <v>5</v>
      </c>
      <c r="C18" s="2">
        <v>1228</v>
      </c>
      <c r="D18" s="2">
        <v>243</v>
      </c>
      <c r="E18" s="3">
        <v>3687.3</v>
      </c>
      <c r="F18" s="4" t="str">
        <f>IF(campaignData[[#This Row],[Campaign]]="Old_Campaign", "A", "B")</f>
        <v>A</v>
      </c>
    </row>
    <row r="19" spans="1:6" x14ac:dyDescent="0.2">
      <c r="A19" s="1">
        <v>44205</v>
      </c>
      <c r="B19" s="5" t="s">
        <v>6</v>
      </c>
      <c r="C19" s="2">
        <v>1131</v>
      </c>
      <c r="D19" s="2">
        <v>284</v>
      </c>
      <c r="E19" s="3">
        <v>4374.16</v>
      </c>
      <c r="F19" s="4" t="str">
        <f>IF(campaignData[[#This Row],[Campaign]]="Old_Campaign", "A", "B")</f>
        <v>B</v>
      </c>
    </row>
    <row r="20" spans="1:6" x14ac:dyDescent="0.2">
      <c r="A20" s="1">
        <v>44206</v>
      </c>
      <c r="B20" s="5" t="s">
        <v>5</v>
      </c>
      <c r="C20" s="2">
        <v>1191</v>
      </c>
      <c r="D20" s="2">
        <v>233</v>
      </c>
      <c r="E20" s="3">
        <v>3118.24</v>
      </c>
      <c r="F20" s="4" t="str">
        <f>IF(campaignData[[#This Row],[Campaign]]="Old_Campaign", "A", "B")</f>
        <v>A</v>
      </c>
    </row>
    <row r="21" spans="1:6" x14ac:dyDescent="0.2">
      <c r="A21" s="1">
        <v>44206</v>
      </c>
      <c r="B21" s="5" t="s">
        <v>6</v>
      </c>
      <c r="C21" s="2">
        <v>1213</v>
      </c>
      <c r="D21" s="2">
        <v>282</v>
      </c>
      <c r="E21" s="3">
        <v>4229.01</v>
      </c>
      <c r="F21" s="4" t="str">
        <f>IF(campaignData[[#This Row],[Campaign]]="Old_Campaign", "A", "B")</f>
        <v>B</v>
      </c>
    </row>
    <row r="22" spans="1:6" x14ac:dyDescent="0.2">
      <c r="A22" s="1">
        <v>44207</v>
      </c>
      <c r="B22" s="5" t="s">
        <v>5</v>
      </c>
      <c r="C22" s="2">
        <v>1233</v>
      </c>
      <c r="D22" s="2">
        <v>254</v>
      </c>
      <c r="E22" s="3">
        <v>3453.36</v>
      </c>
      <c r="F22" s="4" t="str">
        <f>IF(campaignData[[#This Row],[Campaign]]="Old_Campaign", "A", "B")</f>
        <v>A</v>
      </c>
    </row>
    <row r="23" spans="1:6" x14ac:dyDescent="0.2">
      <c r="A23" s="1">
        <v>44207</v>
      </c>
      <c r="B23" s="5" t="s">
        <v>6</v>
      </c>
      <c r="C23" s="2">
        <v>1121</v>
      </c>
      <c r="D23" s="2">
        <v>244</v>
      </c>
      <c r="E23" s="3">
        <v>3744.1</v>
      </c>
      <c r="F23" s="4" t="str">
        <f>IF(campaignData[[#This Row],[Campaign]]="Old_Campaign", "A", "B")</f>
        <v>B</v>
      </c>
    </row>
    <row r="24" spans="1:6" x14ac:dyDescent="0.2">
      <c r="A24" s="1">
        <v>44208</v>
      </c>
      <c r="B24" s="5" t="s">
        <v>5</v>
      </c>
      <c r="C24" s="2">
        <v>1192</v>
      </c>
      <c r="D24" s="2">
        <v>222</v>
      </c>
      <c r="E24" s="3">
        <v>3258.39</v>
      </c>
      <c r="F24" s="4" t="str">
        <f>IF(campaignData[[#This Row],[Campaign]]="Old_Campaign", "A", "B")</f>
        <v>A</v>
      </c>
    </row>
    <row r="25" spans="1:6" x14ac:dyDescent="0.2">
      <c r="A25" s="1">
        <v>44208</v>
      </c>
      <c r="B25" s="5" t="s">
        <v>6</v>
      </c>
      <c r="C25" s="2">
        <v>1152</v>
      </c>
      <c r="D25" s="2">
        <v>254</v>
      </c>
      <c r="E25" s="3">
        <v>4269.26</v>
      </c>
      <c r="F25" s="4" t="str">
        <f>IF(campaignData[[#This Row],[Campaign]]="Old_Campaign", "A", "B")</f>
        <v>B</v>
      </c>
    </row>
    <row r="26" spans="1:6" x14ac:dyDescent="0.2">
      <c r="A26" s="1">
        <v>44209</v>
      </c>
      <c r="B26" s="5" t="s">
        <v>5</v>
      </c>
      <c r="C26" s="2">
        <v>1294</v>
      </c>
      <c r="D26" s="2">
        <v>259</v>
      </c>
      <c r="E26" s="3">
        <v>3916.2</v>
      </c>
      <c r="F26" s="4" t="str">
        <f>IF(campaignData[[#This Row],[Campaign]]="Old_Campaign", "A", "B")</f>
        <v>A</v>
      </c>
    </row>
    <row r="27" spans="1:6" x14ac:dyDescent="0.2">
      <c r="A27" s="1">
        <v>44209</v>
      </c>
      <c r="B27" s="5" t="s">
        <v>6</v>
      </c>
      <c r="C27" s="2">
        <v>1075</v>
      </c>
      <c r="D27" s="2">
        <v>270</v>
      </c>
      <c r="E27" s="3">
        <v>5650.15</v>
      </c>
      <c r="F27" s="4" t="str">
        <f>IF(campaignData[[#This Row],[Campaign]]="Old_Campaign", "A", "B")</f>
        <v>B</v>
      </c>
    </row>
    <row r="28" spans="1:6" x14ac:dyDescent="0.2">
      <c r="A28" s="1">
        <v>44210</v>
      </c>
      <c r="B28" s="5" t="s">
        <v>5</v>
      </c>
      <c r="C28" s="2">
        <v>1158</v>
      </c>
      <c r="D28" s="2">
        <v>211</v>
      </c>
      <c r="E28" s="3">
        <v>3756.98</v>
      </c>
      <c r="F28" s="4" t="str">
        <f>IF(campaignData[[#This Row],[Campaign]]="Old_Campaign", "A", "B")</f>
        <v>A</v>
      </c>
    </row>
    <row r="29" spans="1:6" x14ac:dyDescent="0.2">
      <c r="A29" s="1">
        <v>44210</v>
      </c>
      <c r="B29" s="5" t="s">
        <v>6</v>
      </c>
      <c r="C29" s="2">
        <v>1163</v>
      </c>
      <c r="D29" s="2">
        <v>248</v>
      </c>
      <c r="E29" s="3">
        <v>3272.68</v>
      </c>
      <c r="F29" s="4" t="str">
        <f>IF(campaignData[[#This Row],[Campaign]]="Old_Campaign", "A", "B")</f>
        <v>B</v>
      </c>
    </row>
    <row r="30" spans="1:6" x14ac:dyDescent="0.2">
      <c r="A30" s="1">
        <v>44211</v>
      </c>
      <c r="B30" s="5" t="s">
        <v>5</v>
      </c>
      <c r="C30" s="2">
        <v>1182</v>
      </c>
      <c r="D30" s="2">
        <v>211</v>
      </c>
      <c r="E30" s="3">
        <v>2510.62</v>
      </c>
      <c r="F30" s="4" t="str">
        <f>IF(campaignData[[#This Row],[Campaign]]="Old_Campaign", "A", "B")</f>
        <v>A</v>
      </c>
    </row>
    <row r="31" spans="1:6" x14ac:dyDescent="0.2">
      <c r="A31" s="1">
        <v>44211</v>
      </c>
      <c r="B31" s="5" t="s">
        <v>6</v>
      </c>
      <c r="C31" s="2">
        <v>1164</v>
      </c>
      <c r="D31" s="2">
        <v>247</v>
      </c>
      <c r="E31" s="3">
        <v>3985.87</v>
      </c>
      <c r="F31" s="4" t="str">
        <f>IF(campaignData[[#This Row],[Campaign]]="Old_Campaign", "A", "B")</f>
        <v>B</v>
      </c>
    </row>
    <row r="32" spans="1:6" x14ac:dyDescent="0.2">
      <c r="A32" s="1">
        <v>44212</v>
      </c>
      <c r="B32" s="5" t="s">
        <v>5</v>
      </c>
      <c r="C32" s="2">
        <v>1268</v>
      </c>
      <c r="D32" s="2">
        <v>252</v>
      </c>
      <c r="E32" s="3">
        <v>4190.01</v>
      </c>
      <c r="F32" s="4" t="str">
        <f>IF(campaignData[[#This Row],[Campaign]]="Old_Campaign", "A", "B")</f>
        <v>A</v>
      </c>
    </row>
    <row r="33" spans="1:6" x14ac:dyDescent="0.2">
      <c r="A33" s="1">
        <v>44212</v>
      </c>
      <c r="B33" s="5" t="s">
        <v>6</v>
      </c>
      <c r="C33" s="2">
        <v>1185</v>
      </c>
      <c r="D33" s="2">
        <v>288</v>
      </c>
      <c r="E33" s="3">
        <v>3899.02</v>
      </c>
      <c r="F33" s="4" t="str">
        <f>IF(campaignData[[#This Row],[Campaign]]="Old_Campaign", "A", "B")</f>
        <v>B</v>
      </c>
    </row>
    <row r="34" spans="1:6" x14ac:dyDescent="0.2">
      <c r="A34" s="1">
        <v>44213</v>
      </c>
      <c r="B34" s="5" t="s">
        <v>5</v>
      </c>
      <c r="C34" s="2">
        <v>1145</v>
      </c>
      <c r="D34" s="2">
        <v>222</v>
      </c>
      <c r="E34" s="3">
        <v>3561.74</v>
      </c>
      <c r="F34" s="4" t="str">
        <f>IF(campaignData[[#This Row],[Campaign]]="Old_Campaign", "A", "B")</f>
        <v>A</v>
      </c>
    </row>
    <row r="35" spans="1:6" x14ac:dyDescent="0.2">
      <c r="A35" s="1">
        <v>44213</v>
      </c>
      <c r="B35" s="5" t="s">
        <v>6</v>
      </c>
      <c r="C35" s="2">
        <v>1198</v>
      </c>
      <c r="D35" s="2">
        <v>300</v>
      </c>
      <c r="E35" s="3">
        <v>4978.1899999999996</v>
      </c>
      <c r="F35" s="4" t="str">
        <f>IF(campaignData[[#This Row],[Campaign]]="Old_Campaign", "A", "B")</f>
        <v>B</v>
      </c>
    </row>
    <row r="36" spans="1:6" x14ac:dyDescent="0.2">
      <c r="A36" s="1">
        <v>44214</v>
      </c>
      <c r="B36" s="5" t="s">
        <v>5</v>
      </c>
      <c r="C36" s="2">
        <v>1161</v>
      </c>
      <c r="D36" s="2">
        <v>244</v>
      </c>
      <c r="E36" s="3">
        <v>3803.02</v>
      </c>
      <c r="F36" s="4" t="str">
        <f>IF(campaignData[[#This Row],[Campaign]]="Old_Campaign", "A", "B")</f>
        <v>A</v>
      </c>
    </row>
    <row r="37" spans="1:6" x14ac:dyDescent="0.2">
      <c r="A37" s="1">
        <v>44214</v>
      </c>
      <c r="B37" s="5" t="s">
        <v>6</v>
      </c>
      <c r="C37" s="2">
        <v>1155</v>
      </c>
      <c r="D37" s="2">
        <v>286</v>
      </c>
      <c r="E37" s="3">
        <v>4167.3900000000003</v>
      </c>
      <c r="F37" s="4" t="str">
        <f>IF(campaignData[[#This Row],[Campaign]]="Old_Campaign", "A", "B")</f>
        <v>B</v>
      </c>
    </row>
    <row r="38" spans="1:6" x14ac:dyDescent="0.2">
      <c r="A38" s="1">
        <v>44215</v>
      </c>
      <c r="B38" s="5" t="s">
        <v>5</v>
      </c>
      <c r="C38" s="2">
        <v>1222</v>
      </c>
      <c r="D38" s="2">
        <v>226</v>
      </c>
      <c r="E38" s="3">
        <v>3825.45</v>
      </c>
      <c r="F38" s="4" t="str">
        <f>IF(campaignData[[#This Row],[Campaign]]="Old_Campaign", "A", "B")</f>
        <v>A</v>
      </c>
    </row>
    <row r="39" spans="1:6" x14ac:dyDescent="0.2">
      <c r="A39" s="1">
        <v>44215</v>
      </c>
      <c r="B39" s="5" t="s">
        <v>6</v>
      </c>
      <c r="C39" s="2">
        <v>1166</v>
      </c>
      <c r="D39" s="2">
        <v>262</v>
      </c>
      <c r="E39" s="3">
        <v>4408.3</v>
      </c>
      <c r="F39" s="4" t="str">
        <f>IF(campaignData[[#This Row],[Campaign]]="Old_Campaign", "A", "B")</f>
        <v>B</v>
      </c>
    </row>
    <row r="40" spans="1:6" x14ac:dyDescent="0.2">
      <c r="A40" s="1">
        <v>44216</v>
      </c>
      <c r="B40" s="5" t="s">
        <v>5</v>
      </c>
      <c r="C40" s="2">
        <v>1175</v>
      </c>
      <c r="D40" s="2">
        <v>255</v>
      </c>
      <c r="E40" s="3">
        <v>3966.11</v>
      </c>
      <c r="F40" s="4" t="str">
        <f>IF(campaignData[[#This Row],[Campaign]]="Old_Campaign", "A", "B")</f>
        <v>A</v>
      </c>
    </row>
    <row r="41" spans="1:6" x14ac:dyDescent="0.2">
      <c r="A41" s="1">
        <v>44216</v>
      </c>
      <c r="B41" s="5" t="s">
        <v>6</v>
      </c>
      <c r="C41" s="2">
        <v>1182</v>
      </c>
      <c r="D41" s="2">
        <v>283</v>
      </c>
      <c r="E41" s="3">
        <v>4996.1899999999996</v>
      </c>
      <c r="F41" s="4" t="str">
        <f>IF(campaignData[[#This Row],[Campaign]]="Old_Campaign", "A", "B")</f>
        <v>B</v>
      </c>
    </row>
    <row r="42" spans="1:6" x14ac:dyDescent="0.2">
      <c r="A42" s="1">
        <v>44217</v>
      </c>
      <c r="B42" s="5" t="s">
        <v>5</v>
      </c>
      <c r="C42" s="2">
        <v>1166</v>
      </c>
      <c r="D42" s="2">
        <v>232</v>
      </c>
      <c r="E42" s="3">
        <v>2983.11</v>
      </c>
      <c r="F42" s="4" t="str">
        <f>IF(campaignData[[#This Row],[Campaign]]="Old_Campaign", "A", "B")</f>
        <v>A</v>
      </c>
    </row>
    <row r="43" spans="1:6" x14ac:dyDescent="0.2">
      <c r="A43" s="1">
        <v>44217</v>
      </c>
      <c r="B43" s="5" t="s">
        <v>6</v>
      </c>
      <c r="C43" s="2">
        <v>1206</v>
      </c>
      <c r="D43" s="2">
        <v>251</v>
      </c>
      <c r="E43" s="3">
        <v>4258.2</v>
      </c>
      <c r="F43" s="4" t="str">
        <f>IF(campaignData[[#This Row],[Campaign]]="Old_Campaign", "A", "B")</f>
        <v>B</v>
      </c>
    </row>
    <row r="44" spans="1:6" x14ac:dyDescent="0.2">
      <c r="A44" s="1">
        <v>44218</v>
      </c>
      <c r="B44" s="5" t="s">
        <v>5</v>
      </c>
      <c r="C44" s="2">
        <v>1193</v>
      </c>
      <c r="D44" s="2">
        <v>254</v>
      </c>
      <c r="E44" s="3">
        <v>3379.83</v>
      </c>
      <c r="F44" s="4" t="str">
        <f>IF(campaignData[[#This Row],[Campaign]]="Old_Campaign", "A", "B")</f>
        <v>A</v>
      </c>
    </row>
    <row r="45" spans="1:6" x14ac:dyDescent="0.2">
      <c r="A45" s="1">
        <v>44218</v>
      </c>
      <c r="B45" s="5" t="s">
        <v>6</v>
      </c>
      <c r="C45" s="2">
        <v>1190</v>
      </c>
      <c r="D45" s="2">
        <v>264</v>
      </c>
      <c r="E45" s="3">
        <v>3424.16</v>
      </c>
      <c r="F45" s="4" t="str">
        <f>IF(campaignData[[#This Row],[Campaign]]="Old_Campaign", "A", "B")</f>
        <v>B</v>
      </c>
    </row>
    <row r="46" spans="1:6" x14ac:dyDescent="0.2">
      <c r="A46" s="1">
        <v>44219</v>
      </c>
      <c r="B46" s="5" t="s">
        <v>5</v>
      </c>
      <c r="C46" s="2">
        <v>1268</v>
      </c>
      <c r="D46" s="2">
        <v>262</v>
      </c>
      <c r="E46" s="3">
        <v>3960.5</v>
      </c>
      <c r="F46" s="4" t="str">
        <f>IF(campaignData[[#This Row],[Campaign]]="Old_Campaign", "A", "B")</f>
        <v>A</v>
      </c>
    </row>
    <row r="47" spans="1:6" x14ac:dyDescent="0.2">
      <c r="A47" s="1">
        <v>44219</v>
      </c>
      <c r="B47" s="5" t="s">
        <v>6</v>
      </c>
      <c r="C47" s="2">
        <v>1196</v>
      </c>
      <c r="D47" s="2">
        <v>282</v>
      </c>
      <c r="E47" s="3">
        <v>3867.36</v>
      </c>
      <c r="F47" s="4" t="str">
        <f>IF(campaignData[[#This Row],[Campaign]]="Old_Campaign", "A", "B")</f>
        <v>B</v>
      </c>
    </row>
    <row r="48" spans="1:6" x14ac:dyDescent="0.2">
      <c r="A48" s="1">
        <v>44220</v>
      </c>
      <c r="B48" s="5" t="s">
        <v>5</v>
      </c>
      <c r="C48" s="2">
        <v>1234</v>
      </c>
      <c r="D48" s="2">
        <v>242</v>
      </c>
      <c r="E48" s="3">
        <v>3906.31</v>
      </c>
      <c r="F48" s="4" t="str">
        <f>IF(campaignData[[#This Row],[Campaign]]="Old_Campaign", "A", "B")</f>
        <v>A</v>
      </c>
    </row>
    <row r="49" spans="1:6" x14ac:dyDescent="0.2">
      <c r="A49" s="1">
        <v>44220</v>
      </c>
      <c r="B49" s="5" t="s">
        <v>6</v>
      </c>
      <c r="C49" s="2">
        <v>1170</v>
      </c>
      <c r="D49" s="2">
        <v>289</v>
      </c>
      <c r="E49" s="3">
        <v>5280.36</v>
      </c>
      <c r="F49" s="4" t="str">
        <f>IF(campaignData[[#This Row],[Campaign]]="Old_Campaign", "A", "B")</f>
        <v>B</v>
      </c>
    </row>
    <row r="50" spans="1:6" x14ac:dyDescent="0.2">
      <c r="A50" s="1">
        <v>44221</v>
      </c>
      <c r="B50" s="5" t="s">
        <v>5</v>
      </c>
      <c r="C50" s="2">
        <v>1187</v>
      </c>
      <c r="D50" s="2">
        <v>247</v>
      </c>
      <c r="E50" s="3">
        <v>4848.4399999999996</v>
      </c>
      <c r="F50" s="4" t="str">
        <f>IF(campaignData[[#This Row],[Campaign]]="Old_Campaign", "A", "B")</f>
        <v>A</v>
      </c>
    </row>
    <row r="51" spans="1:6" x14ac:dyDescent="0.2">
      <c r="A51" s="1">
        <v>44221</v>
      </c>
      <c r="B51" s="5" t="s">
        <v>6</v>
      </c>
      <c r="C51" s="2">
        <v>1128</v>
      </c>
      <c r="D51" s="2">
        <v>259</v>
      </c>
      <c r="E51" s="3">
        <v>3176.76</v>
      </c>
      <c r="F51" s="4" t="str">
        <f>IF(campaignData[[#This Row],[Campaign]]="Old_Campaign", "A", "B")</f>
        <v>B</v>
      </c>
    </row>
    <row r="52" spans="1:6" x14ac:dyDescent="0.2">
      <c r="A52" s="1">
        <v>44222</v>
      </c>
      <c r="B52" s="5" t="s">
        <v>5</v>
      </c>
      <c r="C52" s="2">
        <v>1236</v>
      </c>
      <c r="D52" s="2">
        <v>226</v>
      </c>
      <c r="E52" s="3">
        <v>3066.68</v>
      </c>
      <c r="F52" s="4" t="str">
        <f>IF(campaignData[[#This Row],[Campaign]]="Old_Campaign", "A", "B")</f>
        <v>A</v>
      </c>
    </row>
    <row r="53" spans="1:6" x14ac:dyDescent="0.2">
      <c r="A53" s="1">
        <v>44222</v>
      </c>
      <c r="B53" s="5" t="s">
        <v>6</v>
      </c>
      <c r="C53" s="2">
        <v>1162</v>
      </c>
      <c r="D53" s="2">
        <v>255</v>
      </c>
      <c r="E53" s="3">
        <v>4426.59</v>
      </c>
      <c r="F53" s="4" t="str">
        <f>IF(campaignData[[#This Row],[Campaign]]="Old_Campaign", "A", "B")</f>
        <v>B</v>
      </c>
    </row>
    <row r="54" spans="1:6" x14ac:dyDescent="0.2">
      <c r="A54" s="1">
        <v>44223</v>
      </c>
      <c r="B54" s="5" t="s">
        <v>5</v>
      </c>
      <c r="C54" s="2">
        <v>1204</v>
      </c>
      <c r="D54" s="2">
        <v>241</v>
      </c>
      <c r="E54" s="3">
        <v>3296.02</v>
      </c>
      <c r="F54" s="4" t="str">
        <f>IF(campaignData[[#This Row],[Campaign]]="Old_Campaign", "A", "B")</f>
        <v>A</v>
      </c>
    </row>
    <row r="55" spans="1:6" x14ac:dyDescent="0.2">
      <c r="A55" s="1">
        <v>44223</v>
      </c>
      <c r="B55" s="5" t="s">
        <v>6</v>
      </c>
      <c r="C55" s="2">
        <v>1144</v>
      </c>
      <c r="D55" s="2">
        <v>238</v>
      </c>
      <c r="E55" s="3">
        <v>4213.76</v>
      </c>
      <c r="F55" s="4" t="str">
        <f>IF(campaignData[[#This Row],[Campaign]]="Old_Campaign", "A", "B")</f>
        <v>B</v>
      </c>
    </row>
    <row r="56" spans="1:6" x14ac:dyDescent="0.2">
      <c r="A56" s="1">
        <v>44224</v>
      </c>
      <c r="B56" s="5" t="s">
        <v>5</v>
      </c>
      <c r="C56" s="2">
        <v>1238</v>
      </c>
      <c r="D56" s="2">
        <v>247</v>
      </c>
      <c r="E56" s="3">
        <v>3470.38</v>
      </c>
      <c r="F56" s="4" t="str">
        <f>IF(campaignData[[#This Row],[Campaign]]="Old_Campaign", "A", "B")</f>
        <v>A</v>
      </c>
    </row>
    <row r="57" spans="1:6" x14ac:dyDescent="0.2">
      <c r="A57" s="1">
        <v>44224</v>
      </c>
      <c r="B57" s="5" t="s">
        <v>6</v>
      </c>
      <c r="C57" s="2">
        <v>1155</v>
      </c>
      <c r="D57" s="2">
        <v>239</v>
      </c>
      <c r="E57" s="3">
        <v>3511.71</v>
      </c>
      <c r="F57" s="4" t="str">
        <f>IF(campaignData[[#This Row],[Campaign]]="Old_Campaign", "A", "B")</f>
        <v>B</v>
      </c>
    </row>
    <row r="58" spans="1:6" x14ac:dyDescent="0.2">
      <c r="A58" s="1">
        <v>44225</v>
      </c>
      <c r="B58" s="5" t="s">
        <v>5</v>
      </c>
      <c r="C58" s="2">
        <v>1205</v>
      </c>
      <c r="D58" s="2">
        <v>240</v>
      </c>
      <c r="E58" s="3">
        <v>4208.12</v>
      </c>
      <c r="F58" s="4" t="str">
        <f>IF(campaignData[[#This Row],[Campaign]]="Old_Campaign", "A", "B")</f>
        <v>A</v>
      </c>
    </row>
    <row r="59" spans="1:6" x14ac:dyDescent="0.2">
      <c r="A59" s="1">
        <v>44225</v>
      </c>
      <c r="B59" s="5" t="s">
        <v>6</v>
      </c>
      <c r="C59" s="2">
        <v>1069</v>
      </c>
      <c r="D59" s="2">
        <v>263</v>
      </c>
      <c r="E59" s="3">
        <v>3835.77</v>
      </c>
      <c r="F59" s="4" t="str">
        <f>IF(campaignData[[#This Row],[Campaign]]="Old_Campaign", "A", "B")</f>
        <v>B</v>
      </c>
    </row>
    <row r="60" spans="1:6" x14ac:dyDescent="0.2">
      <c r="A60" s="1">
        <v>44226</v>
      </c>
      <c r="B60" s="5" t="s">
        <v>5</v>
      </c>
      <c r="C60" s="2">
        <v>1199</v>
      </c>
      <c r="D60" s="2">
        <v>224</v>
      </c>
      <c r="E60" s="3">
        <v>4091.32</v>
      </c>
      <c r="F60" s="4" t="str">
        <f>IF(campaignData[[#This Row],[Campaign]]="Old_Campaign", "A", "B")</f>
        <v>A</v>
      </c>
    </row>
    <row r="61" spans="1:6" x14ac:dyDescent="0.2">
      <c r="A61" s="1">
        <v>44226</v>
      </c>
      <c r="B61" s="5" t="s">
        <v>6</v>
      </c>
      <c r="C61" s="2">
        <v>1163</v>
      </c>
      <c r="D61" s="2">
        <v>266</v>
      </c>
      <c r="E61" s="3">
        <v>3495.16</v>
      </c>
      <c r="F61" s="4" t="str">
        <f>IF(campaignData[[#This Row],[Campaign]]="Old_Campaign", "A", "B")</f>
        <v>B</v>
      </c>
    </row>
    <row r="62" spans="1:6" x14ac:dyDescent="0.2">
      <c r="A62" s="1">
        <v>44227</v>
      </c>
      <c r="B62" s="5" t="s">
        <v>5</v>
      </c>
      <c r="C62" s="2">
        <v>1200</v>
      </c>
      <c r="D62" s="2">
        <v>204</v>
      </c>
      <c r="E62" s="3">
        <v>3141.22</v>
      </c>
      <c r="F62" s="4" t="str">
        <f>IF(campaignData[[#This Row],[Campaign]]="Old_Campaign", "A", "B")</f>
        <v>A</v>
      </c>
    </row>
    <row r="63" spans="1:6" x14ac:dyDescent="0.2">
      <c r="A63" s="1">
        <v>44227</v>
      </c>
      <c r="B63" s="5" t="s">
        <v>6</v>
      </c>
      <c r="C63" s="2">
        <v>1219</v>
      </c>
      <c r="D63" s="2">
        <v>278</v>
      </c>
      <c r="E63" s="3">
        <v>4114.28</v>
      </c>
      <c r="F63" s="4" t="str">
        <f>IF(campaignData[[#This Row],[Campaign]]="Old_Campaign", "A", "B")</f>
        <v>B</v>
      </c>
    </row>
    <row r="64" spans="1:6" x14ac:dyDescent="0.2">
      <c r="A64" s="1">
        <v>44228</v>
      </c>
      <c r="B64" s="5" t="s">
        <v>5</v>
      </c>
      <c r="C64" s="2">
        <v>1196</v>
      </c>
      <c r="D64" s="2">
        <v>194</v>
      </c>
      <c r="E64" s="3">
        <v>3019.02</v>
      </c>
      <c r="F64" s="4" t="str">
        <f>IF(campaignData[[#This Row],[Campaign]]="Old_Campaign", "A", "B")</f>
        <v>A</v>
      </c>
    </row>
    <row r="65" spans="1:6" x14ac:dyDescent="0.2">
      <c r="A65" s="1">
        <v>44228</v>
      </c>
      <c r="B65" s="5" t="s">
        <v>6</v>
      </c>
      <c r="C65" s="2">
        <v>1088</v>
      </c>
      <c r="D65" s="2">
        <v>261</v>
      </c>
      <c r="E65" s="3">
        <v>3850.95</v>
      </c>
      <c r="F65" s="4" t="str">
        <f>IF(campaignData[[#This Row],[Campaign]]="Old_Campaign", "A", "B")</f>
        <v>B</v>
      </c>
    </row>
    <row r="66" spans="1:6" x14ac:dyDescent="0.2">
      <c r="A66" s="1">
        <v>44229</v>
      </c>
      <c r="B66" s="5" t="s">
        <v>5</v>
      </c>
      <c r="C66" s="2">
        <v>1235</v>
      </c>
      <c r="D66" s="2">
        <v>220</v>
      </c>
      <c r="E66" s="3">
        <v>3695.82</v>
      </c>
      <c r="F66" s="4" t="str">
        <f>IF(campaignData[[#This Row],[Campaign]]="Old_Campaign", "A", "B")</f>
        <v>A</v>
      </c>
    </row>
    <row r="67" spans="1:6" x14ac:dyDescent="0.2">
      <c r="A67" s="1">
        <v>44229</v>
      </c>
      <c r="B67" s="5" t="s">
        <v>6</v>
      </c>
      <c r="C67" s="2">
        <v>1174</v>
      </c>
      <c r="D67" s="2">
        <v>277</v>
      </c>
      <c r="E67" s="3">
        <v>4602.24</v>
      </c>
      <c r="F67" s="4" t="str">
        <f>IF(campaignData[[#This Row],[Campaign]]="Old_Campaign", "A", "B")</f>
        <v>B</v>
      </c>
    </row>
    <row r="68" spans="1:6" x14ac:dyDescent="0.2">
      <c r="A68" s="1">
        <v>44230</v>
      </c>
      <c r="B68" s="5" t="s">
        <v>5</v>
      </c>
      <c r="C68" s="2">
        <v>1226</v>
      </c>
      <c r="D68" s="2">
        <v>228</v>
      </c>
      <c r="E68" s="3">
        <v>3669.48</v>
      </c>
      <c r="F68" s="4" t="str">
        <f>IF(campaignData[[#This Row],[Campaign]]="Old_Campaign", "A", "B")</f>
        <v>A</v>
      </c>
    </row>
    <row r="69" spans="1:6" x14ac:dyDescent="0.2">
      <c r="A69" s="1">
        <v>44230</v>
      </c>
      <c r="B69" s="5" t="s">
        <v>6</v>
      </c>
      <c r="C69" s="2">
        <v>1192</v>
      </c>
      <c r="D69" s="2">
        <v>253</v>
      </c>
      <c r="E69" s="3">
        <v>3945.69</v>
      </c>
      <c r="F69" s="4" t="str">
        <f>IF(campaignData[[#This Row],[Campaign]]="Old_Campaign", "A", "B")</f>
        <v>B</v>
      </c>
    </row>
    <row r="70" spans="1:6" x14ac:dyDescent="0.2">
      <c r="A70" s="1">
        <v>44231</v>
      </c>
      <c r="B70" s="5" t="s">
        <v>5</v>
      </c>
      <c r="C70" s="2">
        <v>1200</v>
      </c>
      <c r="D70" s="2">
        <v>217</v>
      </c>
      <c r="E70" s="3">
        <v>3395.69</v>
      </c>
      <c r="F70" s="4" t="str">
        <f>IF(campaignData[[#This Row],[Campaign]]="Old_Campaign", "A", "B")</f>
        <v>A</v>
      </c>
    </row>
    <row r="71" spans="1:6" x14ac:dyDescent="0.2">
      <c r="A71" s="1">
        <v>44231</v>
      </c>
      <c r="B71" s="5" t="s">
        <v>6</v>
      </c>
      <c r="C71" s="2">
        <v>1227</v>
      </c>
      <c r="D71" s="2">
        <v>297</v>
      </c>
      <c r="E71" s="3">
        <v>4674.7</v>
      </c>
      <c r="F71" s="4" t="str">
        <f>IF(campaignData[[#This Row],[Campaign]]="Old_Campaign", "A", "B")</f>
        <v>B</v>
      </c>
    </row>
    <row r="72" spans="1:6" x14ac:dyDescent="0.2">
      <c r="A72" s="1">
        <v>44232</v>
      </c>
      <c r="B72" s="5" t="s">
        <v>5</v>
      </c>
      <c r="C72" s="2">
        <v>1179</v>
      </c>
      <c r="D72" s="2">
        <v>215</v>
      </c>
      <c r="E72" s="3">
        <v>3257.6</v>
      </c>
      <c r="F72" s="4" t="str">
        <f>IF(campaignData[[#This Row],[Campaign]]="Old_Campaign", "A", "B")</f>
        <v>A</v>
      </c>
    </row>
    <row r="73" spans="1:6" x14ac:dyDescent="0.2">
      <c r="A73" s="1">
        <v>44232</v>
      </c>
      <c r="B73" s="5" t="s">
        <v>6</v>
      </c>
      <c r="C73" s="2">
        <v>1144</v>
      </c>
      <c r="D73" s="2">
        <v>275</v>
      </c>
      <c r="E73" s="3">
        <v>4027.56</v>
      </c>
      <c r="F73" s="4" t="str">
        <f>IF(campaignData[[#This Row],[Campaign]]="Old_Campaign", "A", "B")</f>
        <v>B</v>
      </c>
    </row>
    <row r="74" spans="1:6" x14ac:dyDescent="0.2">
      <c r="A74" s="1">
        <v>44233</v>
      </c>
      <c r="B74" s="5" t="s">
        <v>5</v>
      </c>
      <c r="C74" s="2">
        <v>1158</v>
      </c>
      <c r="D74" s="2">
        <v>242</v>
      </c>
      <c r="E74" s="3">
        <v>3748.56</v>
      </c>
      <c r="F74" s="4" t="str">
        <f>IF(campaignData[[#This Row],[Campaign]]="Old_Campaign", "A", "B")</f>
        <v>A</v>
      </c>
    </row>
    <row r="75" spans="1:6" x14ac:dyDescent="0.2">
      <c r="A75" s="1">
        <v>44233</v>
      </c>
      <c r="B75" s="5" t="s">
        <v>6</v>
      </c>
      <c r="C75" s="2">
        <v>1088</v>
      </c>
      <c r="D75" s="2">
        <v>234</v>
      </c>
      <c r="E75" s="3">
        <v>3506.75</v>
      </c>
      <c r="F75" s="4" t="str">
        <f>IF(campaignData[[#This Row],[Campaign]]="Old_Campaign", "A", "B")</f>
        <v>B</v>
      </c>
    </row>
    <row r="76" spans="1:6" x14ac:dyDescent="0.2">
      <c r="A76" s="1">
        <v>44234</v>
      </c>
      <c r="B76" s="5" t="s">
        <v>5</v>
      </c>
      <c r="C76" s="2">
        <v>1187</v>
      </c>
      <c r="D76" s="2">
        <v>253</v>
      </c>
      <c r="E76" s="3">
        <v>3431.47</v>
      </c>
      <c r="F76" s="4" t="str">
        <f>IF(campaignData[[#This Row],[Campaign]]="Old_Campaign", "A", "B")</f>
        <v>A</v>
      </c>
    </row>
    <row r="77" spans="1:6" x14ac:dyDescent="0.2">
      <c r="A77" s="1">
        <v>44234</v>
      </c>
      <c r="B77" s="5" t="s">
        <v>6</v>
      </c>
      <c r="C77" s="2">
        <v>1179</v>
      </c>
      <c r="D77" s="2">
        <v>264</v>
      </c>
      <c r="E77" s="3">
        <v>4111.3</v>
      </c>
      <c r="F77" s="4" t="str">
        <f>IF(campaignData[[#This Row],[Campaign]]="Old_Campaign", "A", "B")</f>
        <v>B</v>
      </c>
    </row>
    <row r="78" spans="1:6" x14ac:dyDescent="0.2">
      <c r="A78" s="1">
        <v>44235</v>
      </c>
      <c r="B78" s="5" t="s">
        <v>5</v>
      </c>
      <c r="C78" s="2">
        <v>1151</v>
      </c>
      <c r="D78" s="2">
        <v>207</v>
      </c>
      <c r="E78" s="3">
        <v>3238.61</v>
      </c>
      <c r="F78" s="4" t="str">
        <f>IF(campaignData[[#This Row],[Campaign]]="Old_Campaign", "A", "B")</f>
        <v>A</v>
      </c>
    </row>
    <row r="79" spans="1:6" x14ac:dyDescent="0.2">
      <c r="A79" s="1">
        <v>44235</v>
      </c>
      <c r="B79" s="5" t="s">
        <v>6</v>
      </c>
      <c r="C79" s="2">
        <v>1175</v>
      </c>
      <c r="D79" s="2">
        <v>258</v>
      </c>
      <c r="E79" s="3">
        <v>3701.15</v>
      </c>
      <c r="F79" s="4" t="str">
        <f>IF(campaignData[[#This Row],[Campaign]]="Old_Campaign", "A", "B")</f>
        <v>B</v>
      </c>
    </row>
    <row r="80" spans="1:6" x14ac:dyDescent="0.2">
      <c r="A80" s="1">
        <v>44236</v>
      </c>
      <c r="B80" s="5" t="s">
        <v>5</v>
      </c>
      <c r="C80" s="2">
        <v>1137</v>
      </c>
      <c r="D80" s="2">
        <v>246</v>
      </c>
      <c r="E80" s="3">
        <v>4403.96</v>
      </c>
      <c r="F80" s="4" t="str">
        <f>IF(campaignData[[#This Row],[Campaign]]="Old_Campaign", "A", "B")</f>
        <v>A</v>
      </c>
    </row>
    <row r="81" spans="1:6" x14ac:dyDescent="0.2">
      <c r="A81" s="1">
        <v>44236</v>
      </c>
      <c r="B81" s="5" t="s">
        <v>6</v>
      </c>
      <c r="C81" s="2">
        <v>1146</v>
      </c>
      <c r="D81" s="2">
        <v>263</v>
      </c>
      <c r="E81" s="3">
        <v>4712.58</v>
      </c>
      <c r="F81" s="4" t="str">
        <f>IF(campaignData[[#This Row],[Campaign]]="Old_Campaign", "A", "B")</f>
        <v>B</v>
      </c>
    </row>
    <row r="82" spans="1:6" x14ac:dyDescent="0.2">
      <c r="A82" s="1">
        <v>44237</v>
      </c>
      <c r="B82" s="5" t="s">
        <v>5</v>
      </c>
      <c r="C82" s="2">
        <v>1117</v>
      </c>
      <c r="D82" s="2">
        <v>214</v>
      </c>
      <c r="E82" s="3">
        <v>2850.6</v>
      </c>
      <c r="F82" s="4" t="str">
        <f>IF(campaignData[[#This Row],[Campaign]]="Old_Campaign", "A", "B")</f>
        <v>A</v>
      </c>
    </row>
    <row r="83" spans="1:6" x14ac:dyDescent="0.2">
      <c r="A83" s="1">
        <v>44237</v>
      </c>
      <c r="B83" s="5" t="s">
        <v>6</v>
      </c>
      <c r="C83" s="2">
        <v>1146</v>
      </c>
      <c r="D83" s="2">
        <v>285</v>
      </c>
      <c r="E83" s="3">
        <v>4218.3500000000004</v>
      </c>
      <c r="F83" s="4" t="str">
        <f>IF(campaignData[[#This Row],[Campaign]]="Old_Campaign", "A", "B")</f>
        <v>B</v>
      </c>
    </row>
    <row r="84" spans="1:6" x14ac:dyDescent="0.2">
      <c r="A84" s="1">
        <v>44238</v>
      </c>
      <c r="B84" s="5" t="s">
        <v>5</v>
      </c>
      <c r="C84" s="2">
        <v>1220</v>
      </c>
      <c r="D84" s="2">
        <v>222</v>
      </c>
      <c r="E84" s="3">
        <v>2931.1</v>
      </c>
      <c r="F84" s="4" t="str">
        <f>IF(campaignData[[#This Row],[Campaign]]="Old_Campaign", "A", "B")</f>
        <v>A</v>
      </c>
    </row>
    <row r="85" spans="1:6" x14ac:dyDescent="0.2">
      <c r="A85" s="1">
        <v>44238</v>
      </c>
      <c r="B85" s="5" t="s">
        <v>6</v>
      </c>
      <c r="C85" s="2">
        <v>1205</v>
      </c>
      <c r="D85" s="2">
        <v>246</v>
      </c>
      <c r="E85" s="3">
        <v>4178.0200000000004</v>
      </c>
      <c r="F85" s="4" t="str">
        <f>IF(campaignData[[#This Row],[Campaign]]="Old_Campaign", "A", "B")</f>
        <v>B</v>
      </c>
    </row>
    <row r="86" spans="1:6" x14ac:dyDescent="0.2">
      <c r="A86" s="1">
        <v>44239</v>
      </c>
      <c r="B86" s="5" t="s">
        <v>5</v>
      </c>
      <c r="C86" s="2">
        <v>1211</v>
      </c>
      <c r="D86" s="2">
        <v>203</v>
      </c>
      <c r="E86" s="3">
        <v>3523.85</v>
      </c>
      <c r="F86" s="4" t="str">
        <f>IF(campaignData[[#This Row],[Campaign]]="Old_Campaign", "A", "B")</f>
        <v>A</v>
      </c>
    </row>
    <row r="87" spans="1:6" x14ac:dyDescent="0.2">
      <c r="A87" s="1">
        <v>44239</v>
      </c>
      <c r="B87" s="5" t="s">
        <v>6</v>
      </c>
      <c r="C87" s="2">
        <v>1159</v>
      </c>
      <c r="D87" s="2">
        <v>295</v>
      </c>
      <c r="E87" s="3">
        <v>4443.1899999999996</v>
      </c>
      <c r="F87" s="4" t="str">
        <f>IF(campaignData[[#This Row],[Campaign]]="Old_Campaign", "A", "B")</f>
        <v>B</v>
      </c>
    </row>
    <row r="88" spans="1:6" x14ac:dyDescent="0.2">
      <c r="A88" s="1">
        <v>44240</v>
      </c>
      <c r="B88" s="5" t="s">
        <v>5</v>
      </c>
      <c r="C88" s="2">
        <v>1239</v>
      </c>
      <c r="D88" s="2">
        <v>245</v>
      </c>
      <c r="E88" s="3">
        <v>3677.57</v>
      </c>
      <c r="F88" s="4" t="str">
        <f>IF(campaignData[[#This Row],[Campaign]]="Old_Campaign", "A", "B")</f>
        <v>A</v>
      </c>
    </row>
    <row r="89" spans="1:6" x14ac:dyDescent="0.2">
      <c r="A89" s="1">
        <v>44240</v>
      </c>
      <c r="B89" s="5" t="s">
        <v>6</v>
      </c>
      <c r="C89" s="2">
        <v>1190</v>
      </c>
      <c r="D89" s="2">
        <v>289</v>
      </c>
      <c r="E89" s="3">
        <v>4651.1499999999996</v>
      </c>
      <c r="F89" s="4" t="str">
        <f>IF(campaignData[[#This Row],[Campaign]]="Old_Campaign", "A", "B")</f>
        <v>B</v>
      </c>
    </row>
    <row r="90" spans="1:6" x14ac:dyDescent="0.2">
      <c r="A90" s="1">
        <v>44241</v>
      </c>
      <c r="B90" s="5" t="s">
        <v>5</v>
      </c>
      <c r="C90" s="2">
        <v>1282</v>
      </c>
      <c r="D90" s="2">
        <v>234</v>
      </c>
      <c r="E90" s="3">
        <v>2792.03</v>
      </c>
      <c r="F90" s="4" t="str">
        <f>IF(campaignData[[#This Row],[Campaign]]="Old_Campaign", "A", "B")</f>
        <v>A</v>
      </c>
    </row>
    <row r="91" spans="1:6" x14ac:dyDescent="0.2">
      <c r="A91" s="1">
        <v>44241</v>
      </c>
      <c r="B91" s="5" t="s">
        <v>6</v>
      </c>
      <c r="C91" s="2">
        <v>1102</v>
      </c>
      <c r="D91" s="2">
        <v>254</v>
      </c>
      <c r="E91" s="3">
        <v>4713.0600000000004</v>
      </c>
      <c r="F91" s="4" t="str">
        <f>IF(campaignData[[#This Row],[Campaign]]="Old_Campaign", "A", "B")</f>
        <v>B</v>
      </c>
    </row>
    <row r="92" spans="1:6" x14ac:dyDescent="0.2">
      <c r="A92" s="1">
        <v>44242</v>
      </c>
      <c r="B92" s="5" t="s">
        <v>5</v>
      </c>
      <c r="C92" s="2">
        <v>1202</v>
      </c>
      <c r="D92" s="2">
        <v>236</v>
      </c>
      <c r="E92" s="3">
        <v>3422.49</v>
      </c>
      <c r="F92" s="4" t="str">
        <f>IF(campaignData[[#This Row],[Campaign]]="Old_Campaign", "A", "B")</f>
        <v>A</v>
      </c>
    </row>
    <row r="93" spans="1:6" x14ac:dyDescent="0.2">
      <c r="A93" s="1">
        <v>44242</v>
      </c>
      <c r="B93" s="5" t="s">
        <v>6</v>
      </c>
      <c r="C93" s="2">
        <v>1107</v>
      </c>
      <c r="D93" s="2">
        <v>247</v>
      </c>
      <c r="E93" s="3">
        <v>4431.96</v>
      </c>
      <c r="F93" s="4" t="str">
        <f>IF(campaignData[[#This Row],[Campaign]]="Old_Campaign", "A", "B")</f>
        <v>B</v>
      </c>
    </row>
    <row r="94" spans="1:6" x14ac:dyDescent="0.2">
      <c r="A94" s="1">
        <v>44243</v>
      </c>
      <c r="B94" s="5" t="s">
        <v>5</v>
      </c>
      <c r="C94" s="2">
        <v>1221</v>
      </c>
      <c r="D94" s="2">
        <v>237</v>
      </c>
      <c r="E94" s="3">
        <v>4056.69</v>
      </c>
      <c r="F94" s="4" t="str">
        <f>IF(campaignData[[#This Row],[Campaign]]="Old_Campaign", "A", "B")</f>
        <v>A</v>
      </c>
    </row>
    <row r="95" spans="1:6" x14ac:dyDescent="0.2">
      <c r="A95" s="1">
        <v>44243</v>
      </c>
      <c r="B95" s="5" t="s">
        <v>6</v>
      </c>
      <c r="C95" s="2">
        <v>1139</v>
      </c>
      <c r="D95" s="2">
        <v>285</v>
      </c>
      <c r="E95" s="3">
        <v>3557.52</v>
      </c>
      <c r="F95" s="4" t="str">
        <f>IF(campaignData[[#This Row],[Campaign]]="Old_Campaign", "A", "B")</f>
        <v>B</v>
      </c>
    </row>
    <row r="96" spans="1:6" x14ac:dyDescent="0.2">
      <c r="A96" s="1">
        <v>44244</v>
      </c>
      <c r="B96" s="5" t="s">
        <v>5</v>
      </c>
      <c r="C96" s="2">
        <v>1201</v>
      </c>
      <c r="D96" s="2">
        <v>228</v>
      </c>
      <c r="E96" s="3">
        <v>2643.26</v>
      </c>
      <c r="F96" s="4" t="str">
        <f>IF(campaignData[[#This Row],[Campaign]]="Old_Campaign", "A", "B")</f>
        <v>A</v>
      </c>
    </row>
    <row r="97" spans="1:6" x14ac:dyDescent="0.2">
      <c r="A97" s="1">
        <v>44244</v>
      </c>
      <c r="B97" s="5" t="s">
        <v>6</v>
      </c>
      <c r="C97" s="2">
        <v>1146</v>
      </c>
      <c r="D97" s="2">
        <v>275</v>
      </c>
      <c r="E97" s="3">
        <v>4369.45</v>
      </c>
      <c r="F97" s="4" t="str">
        <f>IF(campaignData[[#This Row],[Campaign]]="Old_Campaign", "A", "B")</f>
        <v>B</v>
      </c>
    </row>
    <row r="98" spans="1:6" x14ac:dyDescent="0.2">
      <c r="A98" s="1">
        <v>44245</v>
      </c>
      <c r="B98" s="5" t="s">
        <v>5</v>
      </c>
      <c r="C98" s="2">
        <v>1213</v>
      </c>
      <c r="D98" s="2">
        <v>230</v>
      </c>
      <c r="E98" s="3">
        <v>3618.64</v>
      </c>
      <c r="F98" s="4" t="str">
        <f>IF(campaignData[[#This Row],[Campaign]]="Old_Campaign", "A", "B")</f>
        <v>A</v>
      </c>
    </row>
    <row r="99" spans="1:6" x14ac:dyDescent="0.2">
      <c r="A99" s="1">
        <v>44245</v>
      </c>
      <c r="B99" s="5" t="s">
        <v>6</v>
      </c>
      <c r="C99" s="2">
        <v>1115</v>
      </c>
      <c r="D99" s="2">
        <v>277</v>
      </c>
      <c r="E99" s="3">
        <v>3911.31</v>
      </c>
      <c r="F99" s="4" t="str">
        <f>IF(campaignData[[#This Row],[Campaign]]="Old_Campaign", "A", "B")</f>
        <v>B</v>
      </c>
    </row>
    <row r="100" spans="1:6" x14ac:dyDescent="0.2">
      <c r="A100" s="1">
        <v>44246</v>
      </c>
      <c r="B100" s="5" t="s">
        <v>5</v>
      </c>
      <c r="C100" s="2">
        <v>1217</v>
      </c>
      <c r="D100" s="2">
        <v>238</v>
      </c>
      <c r="E100" s="3">
        <v>3317.6</v>
      </c>
      <c r="F100" s="4" t="str">
        <f>IF(campaignData[[#This Row],[Campaign]]="Old_Campaign", "A", "B")</f>
        <v>A</v>
      </c>
    </row>
    <row r="101" spans="1:6" x14ac:dyDescent="0.2">
      <c r="A101" s="1">
        <v>44246</v>
      </c>
      <c r="B101" s="5" t="s">
        <v>6</v>
      </c>
      <c r="C101" s="2">
        <v>1114</v>
      </c>
      <c r="D101" s="2">
        <v>248</v>
      </c>
      <c r="E101" s="3">
        <v>3574.74</v>
      </c>
      <c r="F101" s="4" t="str">
        <f>IF(campaignData[[#This Row],[Campaign]]="Old_Campaign", "A", "B")</f>
        <v>B</v>
      </c>
    </row>
    <row r="102" spans="1:6" x14ac:dyDescent="0.2">
      <c r="A102" s="1">
        <v>44247</v>
      </c>
      <c r="B102" s="5" t="s">
        <v>5</v>
      </c>
      <c r="C102" s="2">
        <v>1168</v>
      </c>
      <c r="D102" s="2">
        <v>224</v>
      </c>
      <c r="E102" s="3">
        <v>3046.52</v>
      </c>
      <c r="F102" s="4" t="str">
        <f>IF(campaignData[[#This Row],[Campaign]]="Old_Campaign", "A", "B")</f>
        <v>A</v>
      </c>
    </row>
    <row r="103" spans="1:6" x14ac:dyDescent="0.2">
      <c r="A103" s="1">
        <v>44247</v>
      </c>
      <c r="B103" s="5" t="s">
        <v>6</v>
      </c>
      <c r="C103" s="2">
        <v>1195</v>
      </c>
      <c r="D103" s="2">
        <v>270</v>
      </c>
      <c r="E103" s="3">
        <v>4435.55</v>
      </c>
      <c r="F103" s="4" t="str">
        <f>IF(campaignData[[#This Row],[Campaign]]="Old_Campaign", "A", "B")</f>
        <v>B</v>
      </c>
    </row>
    <row r="104" spans="1:6" x14ac:dyDescent="0.2">
      <c r="A104" s="1">
        <v>44248</v>
      </c>
      <c r="B104" s="5" t="s">
        <v>5</v>
      </c>
      <c r="C104" s="2">
        <v>1234</v>
      </c>
      <c r="D104" s="2">
        <v>236</v>
      </c>
      <c r="E104" s="3">
        <v>3410.18</v>
      </c>
      <c r="F104" s="4" t="str">
        <f>IF(campaignData[[#This Row],[Campaign]]="Old_Campaign", "A", "B")</f>
        <v>A</v>
      </c>
    </row>
    <row r="105" spans="1:6" x14ac:dyDescent="0.2">
      <c r="A105" s="1">
        <v>44248</v>
      </c>
      <c r="B105" s="5" t="s">
        <v>6</v>
      </c>
      <c r="C105" s="2">
        <v>1161</v>
      </c>
      <c r="D105" s="2">
        <v>266</v>
      </c>
      <c r="E105" s="3">
        <v>3031.38</v>
      </c>
      <c r="F105" s="4" t="str">
        <f>IF(campaignData[[#This Row],[Campaign]]="Old_Campaign", "A", "B")</f>
        <v>B</v>
      </c>
    </row>
    <row r="106" spans="1:6" x14ac:dyDescent="0.2">
      <c r="A106" s="1">
        <v>44249</v>
      </c>
      <c r="B106" s="5" t="s">
        <v>5</v>
      </c>
      <c r="C106" s="2">
        <v>1105</v>
      </c>
      <c r="D106" s="2">
        <v>217</v>
      </c>
      <c r="E106" s="3">
        <v>3199.48</v>
      </c>
      <c r="F106" s="4" t="str">
        <f>IF(campaignData[[#This Row],[Campaign]]="Old_Campaign", "A", "B")</f>
        <v>A</v>
      </c>
    </row>
    <row r="107" spans="1:6" x14ac:dyDescent="0.2">
      <c r="A107" s="1">
        <v>44249</v>
      </c>
      <c r="B107" s="5" t="s">
        <v>6</v>
      </c>
      <c r="C107" s="2">
        <v>1153</v>
      </c>
      <c r="D107" s="2">
        <v>266</v>
      </c>
      <c r="E107" s="3">
        <v>3747.65</v>
      </c>
      <c r="F107" s="4" t="str">
        <f>IF(campaignData[[#This Row],[Campaign]]="Old_Campaign", "A", "B")</f>
        <v>B</v>
      </c>
    </row>
    <row r="108" spans="1:6" x14ac:dyDescent="0.2">
      <c r="A108" s="1">
        <v>44250</v>
      </c>
      <c r="B108" s="5" t="s">
        <v>5</v>
      </c>
      <c r="C108" s="2">
        <v>1169</v>
      </c>
      <c r="D108" s="2">
        <v>204</v>
      </c>
      <c r="E108" s="3">
        <v>3748.35</v>
      </c>
      <c r="F108" s="4" t="str">
        <f>IF(campaignData[[#This Row],[Campaign]]="Old_Campaign", "A", "B")</f>
        <v>A</v>
      </c>
    </row>
    <row r="109" spans="1:6" x14ac:dyDescent="0.2">
      <c r="A109" s="1">
        <v>44250</v>
      </c>
      <c r="B109" s="5" t="s">
        <v>6</v>
      </c>
      <c r="C109" s="2">
        <v>1181</v>
      </c>
      <c r="D109" s="2">
        <v>259</v>
      </c>
      <c r="E109" s="3">
        <v>4600.6899999999996</v>
      </c>
      <c r="F109" s="4" t="str">
        <f>IF(campaignData[[#This Row],[Campaign]]="Old_Campaign", "A", "B")</f>
        <v>B</v>
      </c>
    </row>
    <row r="110" spans="1:6" x14ac:dyDescent="0.2">
      <c r="A110" s="1">
        <v>44251</v>
      </c>
      <c r="B110" s="5" t="s">
        <v>5</v>
      </c>
      <c r="C110" s="2">
        <v>1209</v>
      </c>
      <c r="D110" s="2">
        <v>243</v>
      </c>
      <c r="E110" s="3">
        <v>3219.45</v>
      </c>
      <c r="F110" s="4" t="str">
        <f>IF(campaignData[[#This Row],[Campaign]]="Old_Campaign", "A", "B")</f>
        <v>A</v>
      </c>
    </row>
    <row r="111" spans="1:6" x14ac:dyDescent="0.2">
      <c r="A111" s="1">
        <v>44251</v>
      </c>
      <c r="B111" s="5" t="s">
        <v>6</v>
      </c>
      <c r="C111" s="2">
        <v>1164</v>
      </c>
      <c r="D111" s="2">
        <v>255</v>
      </c>
      <c r="E111" s="3">
        <v>3374.77</v>
      </c>
      <c r="F111" s="4" t="str">
        <f>IF(campaignData[[#This Row],[Campaign]]="Old_Campaign", "A", "B")</f>
        <v>B</v>
      </c>
    </row>
    <row r="112" spans="1:6" x14ac:dyDescent="0.2">
      <c r="A112" s="1">
        <v>44252</v>
      </c>
      <c r="B112" s="5" t="s">
        <v>5</v>
      </c>
      <c r="C112" s="2">
        <v>1210</v>
      </c>
      <c r="D112" s="2">
        <v>230</v>
      </c>
      <c r="E112" s="3">
        <v>3150.7</v>
      </c>
      <c r="F112" s="4" t="str">
        <f>IF(campaignData[[#This Row],[Campaign]]="Old_Campaign", "A", "B")</f>
        <v>A</v>
      </c>
    </row>
    <row r="113" spans="1:6" x14ac:dyDescent="0.2">
      <c r="A113" s="1">
        <v>44252</v>
      </c>
      <c r="B113" s="5" t="s">
        <v>6</v>
      </c>
      <c r="C113" s="2">
        <v>1116</v>
      </c>
      <c r="D113" s="2">
        <v>239</v>
      </c>
      <c r="E113" s="3">
        <v>3591.15</v>
      </c>
      <c r="F113" s="4" t="str">
        <f>IF(campaignData[[#This Row],[Campaign]]="Old_Campaign", "A", "B")</f>
        <v>B</v>
      </c>
    </row>
    <row r="114" spans="1:6" x14ac:dyDescent="0.2">
      <c r="A114" s="1">
        <v>44253</v>
      </c>
      <c r="B114" s="5" t="s">
        <v>5</v>
      </c>
      <c r="C114" s="2">
        <v>1140</v>
      </c>
      <c r="D114" s="2">
        <v>207</v>
      </c>
      <c r="E114" s="3">
        <v>3006.08</v>
      </c>
      <c r="F114" s="4" t="str">
        <f>IF(campaignData[[#This Row],[Campaign]]="Old_Campaign", "A", "B")</f>
        <v>A</v>
      </c>
    </row>
    <row r="115" spans="1:6" x14ac:dyDescent="0.2">
      <c r="A115" s="1">
        <v>44253</v>
      </c>
      <c r="B115" s="5" t="s">
        <v>6</v>
      </c>
      <c r="C115" s="2">
        <v>1185</v>
      </c>
      <c r="D115" s="2">
        <v>260</v>
      </c>
      <c r="E115" s="3">
        <v>3688.07</v>
      </c>
      <c r="F115" s="4" t="str">
        <f>IF(campaignData[[#This Row],[Campaign]]="Old_Campaign", "A", "B")</f>
        <v>B</v>
      </c>
    </row>
    <row r="116" spans="1:6" x14ac:dyDescent="0.2">
      <c r="A116" s="1">
        <v>44254</v>
      </c>
      <c r="B116" s="5" t="s">
        <v>5</v>
      </c>
      <c r="C116" s="2">
        <v>1264</v>
      </c>
      <c r="D116" s="2">
        <v>256</v>
      </c>
      <c r="E116" s="3">
        <v>3500.74</v>
      </c>
      <c r="F116" s="4" t="str">
        <f>IF(campaignData[[#This Row],[Campaign]]="Old_Campaign", "A", "B")</f>
        <v>A</v>
      </c>
    </row>
    <row r="117" spans="1:6" x14ac:dyDescent="0.2">
      <c r="A117" s="1">
        <v>44254</v>
      </c>
      <c r="B117" s="5" t="s">
        <v>6</v>
      </c>
      <c r="C117" s="2">
        <v>1132</v>
      </c>
      <c r="D117" s="2">
        <v>275</v>
      </c>
      <c r="E117" s="3">
        <v>4713.83</v>
      </c>
      <c r="F117" s="4" t="str">
        <f>IF(campaignData[[#This Row],[Campaign]]="Old_Campaign", "A", "B")</f>
        <v>B</v>
      </c>
    </row>
    <row r="118" spans="1:6" x14ac:dyDescent="0.2">
      <c r="A118" s="1">
        <v>44255</v>
      </c>
      <c r="B118" s="5" t="s">
        <v>5</v>
      </c>
      <c r="C118" s="2">
        <v>1151</v>
      </c>
      <c r="D118" s="2">
        <v>215</v>
      </c>
      <c r="E118" s="3">
        <v>3196.59</v>
      </c>
      <c r="F118" s="4" t="str">
        <f>IF(campaignData[[#This Row],[Campaign]]="Old_Campaign", "A", "B")</f>
        <v>A</v>
      </c>
    </row>
    <row r="119" spans="1:6" x14ac:dyDescent="0.2">
      <c r="A119" s="1">
        <v>44255</v>
      </c>
      <c r="B119" s="5" t="s">
        <v>6</v>
      </c>
      <c r="C119" s="2">
        <v>1153</v>
      </c>
      <c r="D119" s="2">
        <v>275</v>
      </c>
      <c r="E119" s="3">
        <v>3733.94</v>
      </c>
      <c r="F119" s="4" t="str">
        <f>IF(campaignData[[#This Row],[Campaign]]="Old_Campaign", "A", "B")</f>
        <v>B</v>
      </c>
    </row>
    <row r="120" spans="1:6" x14ac:dyDescent="0.2">
      <c r="A120" s="1">
        <v>44256</v>
      </c>
      <c r="B120" s="5" t="s">
        <v>5</v>
      </c>
      <c r="C120" s="2">
        <v>1182</v>
      </c>
      <c r="D120" s="2">
        <v>217</v>
      </c>
      <c r="E120" s="3">
        <v>3484.94</v>
      </c>
      <c r="F120" s="4" t="str">
        <f>IF(campaignData[[#This Row],[Campaign]]="Old_Campaign", "A", "B")</f>
        <v>A</v>
      </c>
    </row>
    <row r="121" spans="1:6" x14ac:dyDescent="0.2">
      <c r="A121" s="1">
        <v>44256</v>
      </c>
      <c r="B121" s="5" t="s">
        <v>6</v>
      </c>
      <c r="C121" s="2">
        <v>1147</v>
      </c>
      <c r="D121" s="2">
        <v>253</v>
      </c>
      <c r="E121" s="3">
        <v>4777.43</v>
      </c>
      <c r="F121" s="4" t="str">
        <f>IF(campaignData[[#This Row],[Campaign]]="Old_Campaign", "A", "B")</f>
        <v>B</v>
      </c>
    </row>
    <row r="122" spans="1:6" x14ac:dyDescent="0.2">
      <c r="A122" s="1">
        <v>44257</v>
      </c>
      <c r="B122" s="5" t="s">
        <v>5</v>
      </c>
      <c r="C122" s="2">
        <v>1154</v>
      </c>
      <c r="D122" s="2">
        <v>182</v>
      </c>
      <c r="E122" s="3">
        <v>2761.52</v>
      </c>
      <c r="F122" s="4" t="str">
        <f>IF(campaignData[[#This Row],[Campaign]]="Old_Campaign", "A", "B")</f>
        <v>A</v>
      </c>
    </row>
    <row r="123" spans="1:6" x14ac:dyDescent="0.2">
      <c r="A123" s="1">
        <v>44257</v>
      </c>
      <c r="B123" s="5" t="s">
        <v>6</v>
      </c>
      <c r="C123" s="2">
        <v>1157</v>
      </c>
      <c r="D123" s="2">
        <v>250</v>
      </c>
      <c r="E123" s="3">
        <v>3922.16</v>
      </c>
      <c r="F123" s="4" t="str">
        <f>IF(campaignData[[#This Row],[Campaign]]="Old_Campaign", "A", "B")</f>
        <v>B</v>
      </c>
    </row>
    <row r="124" spans="1:6" x14ac:dyDescent="0.2">
      <c r="A124" s="1">
        <v>44258</v>
      </c>
      <c r="B124" s="5" t="s">
        <v>5</v>
      </c>
      <c r="C124" s="2">
        <v>1167</v>
      </c>
      <c r="D124" s="2">
        <v>207</v>
      </c>
      <c r="E124" s="3">
        <v>3224.97</v>
      </c>
      <c r="F124" s="4" t="str">
        <f>IF(campaignData[[#This Row],[Campaign]]="Old_Campaign", "A", "B")</f>
        <v>A</v>
      </c>
    </row>
    <row r="125" spans="1:6" x14ac:dyDescent="0.2">
      <c r="A125" s="1">
        <v>44258</v>
      </c>
      <c r="B125" s="5" t="s">
        <v>6</v>
      </c>
      <c r="C125" s="2">
        <v>1136</v>
      </c>
      <c r="D125" s="2">
        <v>255</v>
      </c>
      <c r="E125" s="3">
        <v>5138.45</v>
      </c>
      <c r="F125" s="4" t="str">
        <f>IF(campaignData[[#This Row],[Campaign]]="Old_Campaign", "A", "B")</f>
        <v>B</v>
      </c>
    </row>
    <row r="126" spans="1:6" x14ac:dyDescent="0.2">
      <c r="A126" s="1">
        <v>44259</v>
      </c>
      <c r="B126" s="5" t="s">
        <v>5</v>
      </c>
      <c r="C126" s="2">
        <v>1194</v>
      </c>
      <c r="D126" s="2">
        <v>238</v>
      </c>
      <c r="E126" s="3">
        <v>3578.77</v>
      </c>
      <c r="F126" s="4" t="str">
        <f>IF(campaignData[[#This Row],[Campaign]]="Old_Campaign", "A", "B")</f>
        <v>A</v>
      </c>
    </row>
    <row r="127" spans="1:6" x14ac:dyDescent="0.2">
      <c r="A127" s="1">
        <v>44259</v>
      </c>
      <c r="B127" s="5" t="s">
        <v>6</v>
      </c>
      <c r="C127" s="2">
        <v>1122</v>
      </c>
      <c r="D127" s="2">
        <v>259</v>
      </c>
      <c r="E127" s="3">
        <v>5012.3900000000003</v>
      </c>
      <c r="F127" s="4" t="str">
        <f>IF(campaignData[[#This Row],[Campaign]]="Old_Campaign", "A", "B")</f>
        <v>B</v>
      </c>
    </row>
    <row r="128" spans="1:6" x14ac:dyDescent="0.2">
      <c r="A128" s="1">
        <v>44260</v>
      </c>
      <c r="B128" s="5" t="s">
        <v>5</v>
      </c>
      <c r="C128" s="2">
        <v>1255</v>
      </c>
      <c r="D128" s="2">
        <v>218</v>
      </c>
      <c r="E128" s="3">
        <v>2625.34</v>
      </c>
      <c r="F128" s="4" t="str">
        <f>IF(campaignData[[#This Row],[Campaign]]="Old_Campaign", "A", "B")</f>
        <v>A</v>
      </c>
    </row>
    <row r="129" spans="1:6" x14ac:dyDescent="0.2">
      <c r="A129" s="1">
        <v>44260</v>
      </c>
      <c r="B129" s="5" t="s">
        <v>6</v>
      </c>
      <c r="C129" s="2">
        <v>1108</v>
      </c>
      <c r="D129" s="2">
        <v>266</v>
      </c>
      <c r="E129" s="3">
        <v>4864.4799999999996</v>
      </c>
      <c r="F129" s="4" t="str">
        <f>IF(campaignData[[#This Row],[Campaign]]="Old_Campaign", "A", "B")</f>
        <v>B</v>
      </c>
    </row>
    <row r="130" spans="1:6" x14ac:dyDescent="0.2">
      <c r="A130" s="1">
        <v>44261</v>
      </c>
      <c r="B130" s="5" t="s">
        <v>5</v>
      </c>
      <c r="C130" s="2">
        <v>1251</v>
      </c>
      <c r="D130" s="2">
        <v>235</v>
      </c>
      <c r="E130" s="3">
        <v>3915.26</v>
      </c>
      <c r="F130" s="4" t="str">
        <f>IF(campaignData[[#This Row],[Campaign]]="Old_Campaign", "A", "B")</f>
        <v>A</v>
      </c>
    </row>
    <row r="131" spans="1:6" x14ac:dyDescent="0.2">
      <c r="A131" s="1">
        <v>44261</v>
      </c>
      <c r="B131" s="5" t="s">
        <v>6</v>
      </c>
      <c r="C131" s="2">
        <v>1177</v>
      </c>
      <c r="D131" s="2">
        <v>261</v>
      </c>
      <c r="E131" s="3">
        <v>3729.12</v>
      </c>
      <c r="F131" s="4" t="str">
        <f>IF(campaignData[[#This Row],[Campaign]]="Old_Campaign", "A", "B")</f>
        <v>B</v>
      </c>
    </row>
    <row r="132" spans="1:6" x14ac:dyDescent="0.2">
      <c r="A132" s="1">
        <v>44262</v>
      </c>
      <c r="B132" s="5" t="s">
        <v>5</v>
      </c>
      <c r="C132" s="2">
        <v>1150</v>
      </c>
      <c r="D132" s="2">
        <v>213</v>
      </c>
      <c r="E132" s="3">
        <v>3005.73</v>
      </c>
      <c r="F132" s="4" t="str">
        <f>IF(campaignData[[#This Row],[Campaign]]="Old_Campaign", "A", "B")</f>
        <v>A</v>
      </c>
    </row>
    <row r="133" spans="1:6" x14ac:dyDescent="0.2">
      <c r="A133" s="1">
        <v>44262</v>
      </c>
      <c r="B133" s="5" t="s">
        <v>6</v>
      </c>
      <c r="C133" s="2">
        <v>1122</v>
      </c>
      <c r="D133" s="2">
        <v>244</v>
      </c>
      <c r="E133" s="3">
        <v>4088.12</v>
      </c>
      <c r="F133" s="4" t="str">
        <f>IF(campaignData[[#This Row],[Campaign]]="Old_Campaign", "A", "B")</f>
        <v>B</v>
      </c>
    </row>
    <row r="134" spans="1:6" x14ac:dyDescent="0.2">
      <c r="A134" s="1">
        <v>44263</v>
      </c>
      <c r="B134" s="5" t="s">
        <v>5</v>
      </c>
      <c r="C134" s="2">
        <v>1220</v>
      </c>
      <c r="D134" s="2">
        <v>232</v>
      </c>
      <c r="E134" s="3">
        <v>2654.67</v>
      </c>
      <c r="F134" s="4" t="str">
        <f>IF(campaignData[[#This Row],[Campaign]]="Old_Campaign", "A", "B")</f>
        <v>A</v>
      </c>
    </row>
    <row r="135" spans="1:6" x14ac:dyDescent="0.2">
      <c r="A135" s="1">
        <v>44263</v>
      </c>
      <c r="B135" s="5" t="s">
        <v>6</v>
      </c>
      <c r="C135" s="2">
        <v>1146</v>
      </c>
      <c r="D135" s="2">
        <v>253</v>
      </c>
      <c r="E135" s="3">
        <v>4805</v>
      </c>
      <c r="F135" s="4" t="str">
        <f>IF(campaignData[[#This Row],[Campaign]]="Old_Campaign", "A", "B")</f>
        <v>B</v>
      </c>
    </row>
    <row r="136" spans="1:6" x14ac:dyDescent="0.2">
      <c r="A136" s="1">
        <v>44264</v>
      </c>
      <c r="B136" s="5" t="s">
        <v>5</v>
      </c>
      <c r="C136" s="2">
        <v>1201</v>
      </c>
      <c r="D136" s="2">
        <v>206</v>
      </c>
      <c r="E136" s="3">
        <v>3135.07</v>
      </c>
      <c r="F136" s="4" t="str">
        <f>IF(campaignData[[#This Row],[Campaign]]="Old_Campaign", "A", "B")</f>
        <v>A</v>
      </c>
    </row>
    <row r="137" spans="1:6" x14ac:dyDescent="0.2">
      <c r="A137" s="1">
        <v>44264</v>
      </c>
      <c r="B137" s="5" t="s">
        <v>6</v>
      </c>
      <c r="C137" s="2">
        <v>1170</v>
      </c>
      <c r="D137" s="2">
        <v>251</v>
      </c>
      <c r="E137" s="3">
        <v>4380.33</v>
      </c>
      <c r="F137" s="4" t="str">
        <f>IF(campaignData[[#This Row],[Campaign]]="Old_Campaign", "A", "B")</f>
        <v>B</v>
      </c>
    </row>
    <row r="138" spans="1:6" x14ac:dyDescent="0.2">
      <c r="A138" s="1">
        <v>44265</v>
      </c>
      <c r="B138" s="5" t="s">
        <v>5</v>
      </c>
      <c r="C138" s="2">
        <v>1207</v>
      </c>
      <c r="D138" s="2">
        <v>227</v>
      </c>
      <c r="E138" s="3">
        <v>2955.72</v>
      </c>
      <c r="F138" s="4" t="str">
        <f>IF(campaignData[[#This Row],[Campaign]]="Old_Campaign", "A", "B")</f>
        <v>A</v>
      </c>
    </row>
    <row r="139" spans="1:6" x14ac:dyDescent="0.2">
      <c r="A139" s="1">
        <v>44265</v>
      </c>
      <c r="B139" s="5" t="s">
        <v>6</v>
      </c>
      <c r="C139" s="2">
        <v>1105</v>
      </c>
      <c r="D139" s="2">
        <v>268</v>
      </c>
      <c r="E139" s="3">
        <v>4220.58</v>
      </c>
      <c r="F139" s="4" t="str">
        <f>IF(campaignData[[#This Row],[Campaign]]="Old_Campaign", "A", "B")</f>
        <v>B</v>
      </c>
    </row>
    <row r="140" spans="1:6" x14ac:dyDescent="0.2">
      <c r="A140" s="1">
        <v>44266</v>
      </c>
      <c r="B140" s="5" t="s">
        <v>5</v>
      </c>
      <c r="C140" s="2">
        <v>1126</v>
      </c>
      <c r="D140" s="2">
        <v>218</v>
      </c>
      <c r="E140" s="3">
        <v>2828.72</v>
      </c>
      <c r="F140" s="4" t="str">
        <f>IF(campaignData[[#This Row],[Campaign]]="Old_Campaign", "A", "B")</f>
        <v>A</v>
      </c>
    </row>
    <row r="141" spans="1:6" x14ac:dyDescent="0.2">
      <c r="A141" s="1">
        <v>44266</v>
      </c>
      <c r="B141" s="5" t="s">
        <v>6</v>
      </c>
      <c r="C141" s="2">
        <v>1154</v>
      </c>
      <c r="D141" s="2">
        <v>270</v>
      </c>
      <c r="E141" s="3">
        <v>3426.38</v>
      </c>
      <c r="F141" s="4" t="str">
        <f>IF(campaignData[[#This Row],[Campaign]]="Old_Campaign", "A", "B")</f>
        <v>B</v>
      </c>
    </row>
    <row r="142" spans="1:6" x14ac:dyDescent="0.2">
      <c r="A142" s="1">
        <v>44267</v>
      </c>
      <c r="B142" s="5" t="s">
        <v>5</v>
      </c>
      <c r="C142" s="2">
        <v>1225</v>
      </c>
      <c r="D142" s="2">
        <v>229</v>
      </c>
      <c r="E142" s="3">
        <v>3322.45</v>
      </c>
      <c r="F142" s="4" t="str">
        <f>IF(campaignData[[#This Row],[Campaign]]="Old_Campaign", "A", "B")</f>
        <v>A</v>
      </c>
    </row>
    <row r="143" spans="1:6" x14ac:dyDescent="0.2">
      <c r="A143" s="1">
        <v>44267</v>
      </c>
      <c r="B143" s="5" t="s">
        <v>6</v>
      </c>
      <c r="C143" s="2">
        <v>1150</v>
      </c>
      <c r="D143" s="2">
        <v>289</v>
      </c>
      <c r="E143" s="3">
        <v>4466.37</v>
      </c>
      <c r="F143" s="4" t="str">
        <f>IF(campaignData[[#This Row],[Campaign]]="Old_Campaign", "A", "B")</f>
        <v>B</v>
      </c>
    </row>
    <row r="144" spans="1:6" x14ac:dyDescent="0.2">
      <c r="A144" s="1">
        <v>44268</v>
      </c>
      <c r="B144" s="5" t="s">
        <v>5</v>
      </c>
      <c r="C144" s="2">
        <v>1208</v>
      </c>
      <c r="D144" s="2">
        <v>212</v>
      </c>
      <c r="E144" s="3">
        <v>3065.99</v>
      </c>
      <c r="F144" s="4" t="str">
        <f>IF(campaignData[[#This Row],[Campaign]]="Old_Campaign", "A", "B")</f>
        <v>A</v>
      </c>
    </row>
    <row r="145" spans="1:6" x14ac:dyDescent="0.2">
      <c r="A145" s="1">
        <v>44268</v>
      </c>
      <c r="B145" s="5" t="s">
        <v>6</v>
      </c>
      <c r="C145" s="2">
        <v>1150</v>
      </c>
      <c r="D145" s="2">
        <v>246</v>
      </c>
      <c r="E145" s="3">
        <v>3391.59</v>
      </c>
      <c r="F145" s="4" t="str">
        <f>IF(campaignData[[#This Row],[Campaign]]="Old_Campaign", "A", "B")</f>
        <v>B</v>
      </c>
    </row>
    <row r="146" spans="1:6" x14ac:dyDescent="0.2">
      <c r="A146" s="1">
        <v>44269</v>
      </c>
      <c r="B146" s="5" t="s">
        <v>5</v>
      </c>
      <c r="C146" s="2">
        <v>1168</v>
      </c>
      <c r="D146" s="2">
        <v>225</v>
      </c>
      <c r="E146" s="3">
        <v>3360.26</v>
      </c>
      <c r="F146" s="4" t="str">
        <f>IF(campaignData[[#This Row],[Campaign]]="Old_Campaign", "A", "B")</f>
        <v>A</v>
      </c>
    </row>
    <row r="147" spans="1:6" x14ac:dyDescent="0.2">
      <c r="A147" s="1">
        <v>44269</v>
      </c>
      <c r="B147" s="5" t="s">
        <v>6</v>
      </c>
      <c r="C147" s="2">
        <v>1156</v>
      </c>
      <c r="D147" s="2">
        <v>263</v>
      </c>
      <c r="E147" s="3">
        <v>3922.16</v>
      </c>
      <c r="F147" s="4" t="str">
        <f>IF(campaignData[[#This Row],[Campaign]]="Old_Campaign", "A", "B")</f>
        <v>B</v>
      </c>
    </row>
    <row r="148" spans="1:6" x14ac:dyDescent="0.2">
      <c r="A148" s="1">
        <v>44270</v>
      </c>
      <c r="B148" s="5" t="s">
        <v>5</v>
      </c>
      <c r="C148" s="2">
        <v>1202</v>
      </c>
      <c r="D148" s="2">
        <v>230</v>
      </c>
      <c r="E148" s="3">
        <v>3292.36</v>
      </c>
      <c r="F148" s="4" t="str">
        <f>IF(campaignData[[#This Row],[Campaign]]="Old_Campaign", "A", "B")</f>
        <v>A</v>
      </c>
    </row>
    <row r="149" spans="1:6" x14ac:dyDescent="0.2">
      <c r="A149" s="1">
        <v>44270</v>
      </c>
      <c r="B149" s="5" t="s">
        <v>6</v>
      </c>
      <c r="C149" s="2">
        <v>1138</v>
      </c>
      <c r="D149" s="2">
        <v>277</v>
      </c>
      <c r="E149" s="3">
        <v>4226.22</v>
      </c>
      <c r="F149" s="4" t="str">
        <f>IF(campaignData[[#This Row],[Campaign]]="Old_Campaign", "A", "B")</f>
        <v>B</v>
      </c>
    </row>
    <row r="150" spans="1:6" x14ac:dyDescent="0.2">
      <c r="A150" s="1">
        <v>44271</v>
      </c>
      <c r="B150" s="5" t="s">
        <v>5</v>
      </c>
      <c r="C150" s="2">
        <v>1222</v>
      </c>
      <c r="D150" s="2">
        <v>227</v>
      </c>
      <c r="E150" s="3">
        <v>3732.64</v>
      </c>
      <c r="F150" s="4" t="str">
        <f>IF(campaignData[[#This Row],[Campaign]]="Old_Campaign", "A", "B")</f>
        <v>A</v>
      </c>
    </row>
    <row r="151" spans="1:6" x14ac:dyDescent="0.2">
      <c r="A151" s="1">
        <v>44271</v>
      </c>
      <c r="B151" s="5" t="s">
        <v>6</v>
      </c>
      <c r="C151" s="2">
        <v>1182</v>
      </c>
      <c r="D151" s="2">
        <v>293</v>
      </c>
      <c r="E151" s="3">
        <v>4026.38</v>
      </c>
      <c r="F151" s="4" t="str">
        <f>IF(campaignData[[#This Row],[Campaign]]="Old_Campaign", "A", "B")</f>
        <v>B</v>
      </c>
    </row>
    <row r="152" spans="1:6" x14ac:dyDescent="0.2">
      <c r="A152" s="1">
        <v>44272</v>
      </c>
      <c r="B152" s="5" t="s">
        <v>5</v>
      </c>
      <c r="C152" s="2">
        <v>1147</v>
      </c>
      <c r="D152" s="2">
        <v>227</v>
      </c>
      <c r="E152" s="3">
        <v>2914.2</v>
      </c>
      <c r="F152" s="4" t="str">
        <f>IF(campaignData[[#This Row],[Campaign]]="Old_Campaign", "A", "B")</f>
        <v>A</v>
      </c>
    </row>
    <row r="153" spans="1:6" x14ac:dyDescent="0.2">
      <c r="A153" s="1">
        <v>44272</v>
      </c>
      <c r="B153" s="5" t="s">
        <v>6</v>
      </c>
      <c r="C153" s="2">
        <v>1129</v>
      </c>
      <c r="D153" s="2">
        <v>257</v>
      </c>
      <c r="E153" s="3">
        <v>4428.59</v>
      </c>
      <c r="F153" s="4" t="str">
        <f>IF(campaignData[[#This Row],[Campaign]]="Old_Campaign", "A", "B")</f>
        <v>B</v>
      </c>
    </row>
    <row r="154" spans="1:6" x14ac:dyDescent="0.2">
      <c r="A154" s="1">
        <v>44273</v>
      </c>
      <c r="B154" s="5" t="s">
        <v>5</v>
      </c>
      <c r="C154" s="2">
        <v>1168</v>
      </c>
      <c r="D154" s="2">
        <v>214</v>
      </c>
      <c r="E154" s="3">
        <v>3605.48</v>
      </c>
      <c r="F154" s="4" t="str">
        <f>IF(campaignData[[#This Row],[Campaign]]="Old_Campaign", "A", "B")</f>
        <v>A</v>
      </c>
    </row>
    <row r="155" spans="1:6" x14ac:dyDescent="0.2">
      <c r="A155" s="1">
        <v>44273</v>
      </c>
      <c r="B155" s="5" t="s">
        <v>6</v>
      </c>
      <c r="C155" s="2">
        <v>1185</v>
      </c>
      <c r="D155" s="2">
        <v>272</v>
      </c>
      <c r="E155" s="3">
        <v>4251.41</v>
      </c>
      <c r="F155" s="4" t="str">
        <f>IF(campaignData[[#This Row],[Campaign]]="Old_Campaign", "A", "B")</f>
        <v>B</v>
      </c>
    </row>
    <row r="156" spans="1:6" x14ac:dyDescent="0.2">
      <c r="A156" s="1">
        <v>44274</v>
      </c>
      <c r="B156" s="5" t="s">
        <v>5</v>
      </c>
      <c r="C156" s="2">
        <v>1209</v>
      </c>
      <c r="D156" s="2">
        <v>244</v>
      </c>
      <c r="E156" s="3">
        <v>2644.02</v>
      </c>
      <c r="F156" s="4" t="str">
        <f>IF(campaignData[[#This Row],[Campaign]]="Old_Campaign", "A", "B")</f>
        <v>A</v>
      </c>
    </row>
    <row r="157" spans="1:6" x14ac:dyDescent="0.2">
      <c r="A157" s="1">
        <v>44274</v>
      </c>
      <c r="B157" s="5" t="s">
        <v>6</v>
      </c>
      <c r="C157" s="2">
        <v>1129</v>
      </c>
      <c r="D157" s="2">
        <v>254</v>
      </c>
      <c r="E157" s="3">
        <v>4925.8</v>
      </c>
      <c r="F157" s="4" t="str">
        <f>IF(campaignData[[#This Row],[Campaign]]="Old_Campaign", "A", "B")</f>
        <v>B</v>
      </c>
    </row>
    <row r="158" spans="1:6" x14ac:dyDescent="0.2">
      <c r="A158" s="1">
        <v>44275</v>
      </c>
      <c r="B158" s="5" t="s">
        <v>5</v>
      </c>
      <c r="C158" s="2">
        <v>1245</v>
      </c>
      <c r="D158" s="2">
        <v>253</v>
      </c>
      <c r="E158" s="3">
        <v>3950.75</v>
      </c>
      <c r="F158" s="4" t="str">
        <f>IF(campaignData[[#This Row],[Campaign]]="Old_Campaign", "A", "B")</f>
        <v>A</v>
      </c>
    </row>
    <row r="159" spans="1:6" x14ac:dyDescent="0.2">
      <c r="A159" s="1">
        <v>44275</v>
      </c>
      <c r="B159" s="5" t="s">
        <v>6</v>
      </c>
      <c r="C159" s="2">
        <v>1163</v>
      </c>
      <c r="D159" s="2">
        <v>250</v>
      </c>
      <c r="E159" s="3">
        <v>3144.92</v>
      </c>
      <c r="F159" s="4" t="str">
        <f>IF(campaignData[[#This Row],[Campaign]]="Old_Campaign", "A", "B")</f>
        <v>B</v>
      </c>
    </row>
    <row r="160" spans="1:6" x14ac:dyDescent="0.2">
      <c r="A160" s="1">
        <v>44276</v>
      </c>
      <c r="B160" s="5" t="s">
        <v>5</v>
      </c>
      <c r="C160" s="2">
        <v>1163</v>
      </c>
      <c r="D160" s="2">
        <v>198</v>
      </c>
      <c r="E160" s="3">
        <v>3047.55</v>
      </c>
      <c r="F160" s="4" t="str">
        <f>IF(campaignData[[#This Row],[Campaign]]="Old_Campaign", "A", "B")</f>
        <v>A</v>
      </c>
    </row>
    <row r="161" spans="1:6" x14ac:dyDescent="0.2">
      <c r="A161" s="1">
        <v>44276</v>
      </c>
      <c r="B161" s="5" t="s">
        <v>6</v>
      </c>
      <c r="C161" s="2">
        <v>1127</v>
      </c>
      <c r="D161" s="2">
        <v>264</v>
      </c>
      <c r="E161" s="3">
        <v>3707.42</v>
      </c>
      <c r="F161" s="4" t="str">
        <f>IF(campaignData[[#This Row],[Campaign]]="Old_Campaign", "A", "B")</f>
        <v>B</v>
      </c>
    </row>
    <row r="162" spans="1:6" x14ac:dyDescent="0.2">
      <c r="A162" s="1">
        <v>44277</v>
      </c>
      <c r="B162" s="5" t="s">
        <v>5</v>
      </c>
      <c r="C162" s="2">
        <v>1168</v>
      </c>
      <c r="D162" s="2">
        <v>205</v>
      </c>
      <c r="E162" s="3">
        <v>3179.97</v>
      </c>
      <c r="F162" s="4" t="str">
        <f>IF(campaignData[[#This Row],[Campaign]]="Old_Campaign", "A", "B")</f>
        <v>A</v>
      </c>
    </row>
    <row r="163" spans="1:6" x14ac:dyDescent="0.2">
      <c r="A163" s="1">
        <v>44277</v>
      </c>
      <c r="B163" s="5" t="s">
        <v>6</v>
      </c>
      <c r="C163" s="2">
        <v>1160</v>
      </c>
      <c r="D163" s="2">
        <v>249</v>
      </c>
      <c r="E163" s="3">
        <v>4473.38</v>
      </c>
      <c r="F163" s="4" t="str">
        <f>IF(campaignData[[#This Row],[Campaign]]="Old_Campaign", "A", "B")</f>
        <v>B</v>
      </c>
    </row>
    <row r="164" spans="1:6" x14ac:dyDescent="0.2">
      <c r="A164" s="1">
        <v>44278</v>
      </c>
      <c r="B164" s="5" t="s">
        <v>5</v>
      </c>
      <c r="C164" s="2">
        <v>1192</v>
      </c>
      <c r="D164" s="2">
        <v>246</v>
      </c>
      <c r="E164" s="3">
        <v>3944.69</v>
      </c>
      <c r="F164" s="4" t="str">
        <f>IF(campaignData[[#This Row],[Campaign]]="Old_Campaign", "A", "B")</f>
        <v>A</v>
      </c>
    </row>
    <row r="165" spans="1:6" x14ac:dyDescent="0.2">
      <c r="A165" s="1">
        <v>44278</v>
      </c>
      <c r="B165" s="5" t="s">
        <v>6</v>
      </c>
      <c r="C165" s="2">
        <v>1093</v>
      </c>
      <c r="D165" s="2">
        <v>251</v>
      </c>
      <c r="E165" s="3">
        <v>3651.68</v>
      </c>
      <c r="F165" s="4" t="str">
        <f>IF(campaignData[[#This Row],[Campaign]]="Old_Campaign", "A", "B")</f>
        <v>B</v>
      </c>
    </row>
    <row r="166" spans="1:6" x14ac:dyDescent="0.2">
      <c r="A166" s="1">
        <v>44279</v>
      </c>
      <c r="B166" s="5" t="s">
        <v>5</v>
      </c>
      <c r="C166" s="2">
        <v>1178</v>
      </c>
      <c r="D166" s="2">
        <v>213</v>
      </c>
      <c r="E166" s="3">
        <v>2790.56</v>
      </c>
      <c r="F166" s="4" t="str">
        <f>IF(campaignData[[#This Row],[Campaign]]="Old_Campaign", "A", "B")</f>
        <v>A</v>
      </c>
    </row>
    <row r="167" spans="1:6" x14ac:dyDescent="0.2">
      <c r="A167" s="1">
        <v>44279</v>
      </c>
      <c r="B167" s="5" t="s">
        <v>6</v>
      </c>
      <c r="C167" s="2">
        <v>1166</v>
      </c>
      <c r="D167" s="2">
        <v>255</v>
      </c>
      <c r="E167" s="3">
        <v>5422.51</v>
      </c>
      <c r="F167" s="4" t="str">
        <f>IF(campaignData[[#This Row],[Campaign]]="Old_Campaign", "A", "B")</f>
        <v>B</v>
      </c>
    </row>
    <row r="168" spans="1:6" x14ac:dyDescent="0.2">
      <c r="A168" s="1">
        <v>44280</v>
      </c>
      <c r="B168" s="5" t="s">
        <v>5</v>
      </c>
      <c r="C168" s="2">
        <v>1209</v>
      </c>
      <c r="D168" s="2">
        <v>234</v>
      </c>
      <c r="E168" s="3">
        <v>4047.86</v>
      </c>
      <c r="F168" s="4" t="str">
        <f>IF(campaignData[[#This Row],[Campaign]]="Old_Campaign", "A", "B")</f>
        <v>A</v>
      </c>
    </row>
    <row r="169" spans="1:6" x14ac:dyDescent="0.2">
      <c r="A169" s="1">
        <v>44280</v>
      </c>
      <c r="B169" s="5" t="s">
        <v>6</v>
      </c>
      <c r="C169" s="2">
        <v>1100</v>
      </c>
      <c r="D169" s="2">
        <v>240</v>
      </c>
      <c r="E169" s="3">
        <v>3502.48</v>
      </c>
      <c r="F169" s="4" t="str">
        <f>IF(campaignData[[#This Row],[Campaign]]="Old_Campaign", "A", "B")</f>
        <v>B</v>
      </c>
    </row>
    <row r="170" spans="1:6" x14ac:dyDescent="0.2">
      <c r="A170" s="1">
        <v>44281</v>
      </c>
      <c r="B170" s="5" t="s">
        <v>5</v>
      </c>
      <c r="C170" s="2">
        <v>1219</v>
      </c>
      <c r="D170" s="2">
        <v>219</v>
      </c>
      <c r="E170" s="3">
        <v>3561.99</v>
      </c>
      <c r="F170" s="4" t="str">
        <f>IF(campaignData[[#This Row],[Campaign]]="Old_Campaign", "A", "B")</f>
        <v>A</v>
      </c>
    </row>
    <row r="171" spans="1:6" x14ac:dyDescent="0.2">
      <c r="A171" s="1">
        <v>44281</v>
      </c>
      <c r="B171" s="5" t="s">
        <v>6</v>
      </c>
      <c r="C171" s="2">
        <v>1127</v>
      </c>
      <c r="D171" s="2">
        <v>272</v>
      </c>
      <c r="E171" s="3">
        <v>4881.07</v>
      </c>
      <c r="F171" s="4" t="str">
        <f>IF(campaignData[[#This Row],[Campaign]]="Old_Campaign", "A", "B")</f>
        <v>B</v>
      </c>
    </row>
    <row r="172" spans="1:6" x14ac:dyDescent="0.2">
      <c r="A172" s="1">
        <v>44282</v>
      </c>
      <c r="B172" s="5" t="s">
        <v>5</v>
      </c>
      <c r="C172" s="2">
        <v>1258</v>
      </c>
      <c r="D172" s="2">
        <v>232</v>
      </c>
      <c r="E172" s="3">
        <v>3656.41</v>
      </c>
      <c r="F172" s="4" t="str">
        <f>IF(campaignData[[#This Row],[Campaign]]="Old_Campaign", "A", "B")</f>
        <v>A</v>
      </c>
    </row>
    <row r="173" spans="1:6" x14ac:dyDescent="0.2">
      <c r="A173" s="1">
        <v>44282</v>
      </c>
      <c r="B173" s="5" t="s">
        <v>6</v>
      </c>
      <c r="C173" s="2">
        <v>1183</v>
      </c>
      <c r="D173" s="2">
        <v>269</v>
      </c>
      <c r="E173" s="3">
        <v>4632.5</v>
      </c>
      <c r="F173" s="4" t="str">
        <f>IF(campaignData[[#This Row],[Campaign]]="Old_Campaign", "A", "B")</f>
        <v>B</v>
      </c>
    </row>
    <row r="174" spans="1:6" x14ac:dyDescent="0.2">
      <c r="A174" s="1">
        <v>44283</v>
      </c>
      <c r="B174" s="5" t="s">
        <v>5</v>
      </c>
      <c r="C174" s="2">
        <v>1273</v>
      </c>
      <c r="D174" s="2">
        <v>234</v>
      </c>
      <c r="E174" s="3">
        <v>3004.07</v>
      </c>
      <c r="F174" s="4" t="str">
        <f>IF(campaignData[[#This Row],[Campaign]]="Old_Campaign", "A", "B")</f>
        <v>A</v>
      </c>
    </row>
    <row r="175" spans="1:6" x14ac:dyDescent="0.2">
      <c r="A175" s="1">
        <v>44283</v>
      </c>
      <c r="B175" s="5" t="s">
        <v>6</v>
      </c>
      <c r="C175" s="2">
        <v>1210</v>
      </c>
      <c r="D175" s="2">
        <v>244</v>
      </c>
      <c r="E175" s="3">
        <v>4417.9399999999996</v>
      </c>
      <c r="F175" s="4" t="str">
        <f>IF(campaignData[[#This Row],[Campaign]]="Old_Campaign", "A", "B")</f>
        <v>B</v>
      </c>
    </row>
    <row r="176" spans="1:6" x14ac:dyDescent="0.2">
      <c r="A176" s="1">
        <v>44284</v>
      </c>
      <c r="B176" s="5" t="s">
        <v>5</v>
      </c>
      <c r="C176" s="2">
        <v>1243</v>
      </c>
      <c r="D176" s="2">
        <v>227</v>
      </c>
      <c r="E176" s="3">
        <v>3448.64</v>
      </c>
      <c r="F176" s="4" t="str">
        <f>IF(campaignData[[#This Row],[Campaign]]="Old_Campaign", "A", "B")</f>
        <v>A</v>
      </c>
    </row>
    <row r="177" spans="1:6" x14ac:dyDescent="0.2">
      <c r="A177" s="1">
        <v>44284</v>
      </c>
      <c r="B177" s="5" t="s">
        <v>6</v>
      </c>
      <c r="C177" s="2">
        <v>1122</v>
      </c>
      <c r="D177" s="2">
        <v>242</v>
      </c>
      <c r="E177" s="3">
        <v>3648.26</v>
      </c>
      <c r="F177" s="4" t="str">
        <f>IF(campaignData[[#This Row],[Campaign]]="Old_Campaign", "A", "B")</f>
        <v>B</v>
      </c>
    </row>
    <row r="178" spans="1:6" x14ac:dyDescent="0.2">
      <c r="A178" s="1">
        <v>44285</v>
      </c>
      <c r="B178" s="5" t="s">
        <v>5</v>
      </c>
      <c r="C178" s="2">
        <v>1184</v>
      </c>
      <c r="D178" s="2">
        <v>220</v>
      </c>
      <c r="E178" s="3">
        <v>3936.67</v>
      </c>
      <c r="F178" s="4" t="str">
        <f>IF(campaignData[[#This Row],[Campaign]]="Old_Campaign", "A", "B")</f>
        <v>A</v>
      </c>
    </row>
    <row r="179" spans="1:6" x14ac:dyDescent="0.2">
      <c r="A179" s="1">
        <v>44285</v>
      </c>
      <c r="B179" s="5" t="s">
        <v>6</v>
      </c>
      <c r="C179" s="2">
        <v>1132</v>
      </c>
      <c r="D179" s="2">
        <v>269</v>
      </c>
      <c r="E179" s="3">
        <v>4409.75</v>
      </c>
      <c r="F179" s="4" t="str">
        <f>IF(campaignData[[#This Row],[Campaign]]="Old_Campaign", "A", "B")</f>
        <v>B</v>
      </c>
    </row>
    <row r="180" spans="1:6" x14ac:dyDescent="0.2">
      <c r="A180" s="1">
        <v>44286</v>
      </c>
      <c r="B180" s="5" t="s">
        <v>5</v>
      </c>
      <c r="C180" s="2">
        <v>1245</v>
      </c>
      <c r="D180" s="2">
        <v>253</v>
      </c>
      <c r="E180" s="3">
        <v>3533.25</v>
      </c>
      <c r="F180" s="4" t="str">
        <f>IF(campaignData[[#This Row],[Campaign]]="Old_Campaign", "A", "B")</f>
        <v>A</v>
      </c>
    </row>
    <row r="181" spans="1:6" x14ac:dyDescent="0.2">
      <c r="A181" s="1">
        <v>44286</v>
      </c>
      <c r="B181" s="5" t="s">
        <v>6</v>
      </c>
      <c r="C181" s="2">
        <v>1148</v>
      </c>
      <c r="D181" s="2">
        <v>259</v>
      </c>
      <c r="E181" s="3">
        <v>4874.04</v>
      </c>
      <c r="F181" s="4" t="str">
        <f>IF(campaignData[[#This Row],[Campaign]]="Old_Campaign", "A", "B")</f>
        <v>B</v>
      </c>
    </row>
    <row r="182" spans="1:6" x14ac:dyDescent="0.2">
      <c r="A182" s="1">
        <v>44287</v>
      </c>
      <c r="B182" s="5" t="s">
        <v>5</v>
      </c>
      <c r="C182" s="2">
        <v>1192</v>
      </c>
      <c r="D182" s="2">
        <v>233</v>
      </c>
      <c r="E182" s="3">
        <v>2868.49</v>
      </c>
      <c r="F182" s="4" t="str">
        <f>IF(campaignData[[#This Row],[Campaign]]="Old_Campaign", "A", "B")</f>
        <v>A</v>
      </c>
    </row>
    <row r="183" spans="1:6" x14ac:dyDescent="0.2">
      <c r="A183" s="1">
        <v>44287</v>
      </c>
      <c r="B183" s="5" t="s">
        <v>6</v>
      </c>
      <c r="C183" s="2">
        <v>1129</v>
      </c>
      <c r="D183" s="2">
        <v>260</v>
      </c>
      <c r="E183" s="3">
        <v>3682.3</v>
      </c>
      <c r="F183" s="4" t="str">
        <f>IF(campaignData[[#This Row],[Campaign]]="Old_Campaign", "A", "B")</f>
        <v>B</v>
      </c>
    </row>
    <row r="184" spans="1:6" x14ac:dyDescent="0.2">
      <c r="A184" s="1">
        <v>44288</v>
      </c>
      <c r="B184" s="5" t="s">
        <v>5</v>
      </c>
      <c r="C184" s="2">
        <v>1188</v>
      </c>
      <c r="D184" s="2">
        <v>209</v>
      </c>
      <c r="E184" s="3">
        <v>3546.45</v>
      </c>
      <c r="F184" s="4" t="str">
        <f>IF(campaignData[[#This Row],[Campaign]]="Old_Campaign", "A", "B")</f>
        <v>A</v>
      </c>
    </row>
    <row r="185" spans="1:6" x14ac:dyDescent="0.2">
      <c r="A185" s="1">
        <v>44288</v>
      </c>
      <c r="B185" s="5" t="s">
        <v>6</v>
      </c>
      <c r="C185" s="2">
        <v>1222</v>
      </c>
      <c r="D185" s="2">
        <v>303</v>
      </c>
      <c r="E185" s="3">
        <v>4718.32</v>
      </c>
      <c r="F185" s="4" t="str">
        <f>IF(campaignData[[#This Row],[Campaign]]="Old_Campaign", "A", "B")</f>
        <v>B</v>
      </c>
    </row>
    <row r="186" spans="1:6" x14ac:dyDescent="0.2">
      <c r="A186" s="1">
        <v>44289</v>
      </c>
      <c r="B186" s="5" t="s">
        <v>5</v>
      </c>
      <c r="C186" s="2">
        <v>1272</v>
      </c>
      <c r="D186" s="2">
        <v>252</v>
      </c>
      <c r="E186" s="3">
        <v>3458.58</v>
      </c>
      <c r="F186" s="4" t="str">
        <f>IF(campaignData[[#This Row],[Campaign]]="Old_Campaign", "A", "B")</f>
        <v>A</v>
      </c>
    </row>
    <row r="187" spans="1:6" x14ac:dyDescent="0.2">
      <c r="A187" s="1">
        <v>44289</v>
      </c>
      <c r="B187" s="5" t="s">
        <v>6</v>
      </c>
      <c r="C187" s="2">
        <v>1120</v>
      </c>
      <c r="D187" s="2">
        <v>233</v>
      </c>
      <c r="E187" s="3">
        <v>3480.56</v>
      </c>
      <c r="F187" s="4" t="str">
        <f>IF(campaignData[[#This Row],[Campaign]]="Old_Campaign", "A", "B")</f>
        <v>B</v>
      </c>
    </row>
    <row r="188" spans="1:6" x14ac:dyDescent="0.2">
      <c r="A188" s="1">
        <v>44290</v>
      </c>
      <c r="B188" s="5" t="s">
        <v>5</v>
      </c>
      <c r="C188" s="2">
        <v>1248</v>
      </c>
      <c r="D188" s="2">
        <v>233</v>
      </c>
      <c r="E188" s="3">
        <v>3107.12</v>
      </c>
      <c r="F188" s="4" t="str">
        <f>IF(campaignData[[#This Row],[Campaign]]="Old_Campaign", "A", "B")</f>
        <v>A</v>
      </c>
    </row>
    <row r="189" spans="1:6" x14ac:dyDescent="0.2">
      <c r="A189" s="1">
        <v>44290</v>
      </c>
      <c r="B189" s="5" t="s">
        <v>6</v>
      </c>
      <c r="C189" s="2">
        <v>1185</v>
      </c>
      <c r="D189" s="2">
        <v>266</v>
      </c>
      <c r="E189" s="3">
        <v>4506.79</v>
      </c>
      <c r="F189" s="4" t="str">
        <f>IF(campaignData[[#This Row],[Campaign]]="Old_Campaign", "A", "B")</f>
        <v>B</v>
      </c>
    </row>
    <row r="190" spans="1:6" x14ac:dyDescent="0.2">
      <c r="A190" s="1">
        <v>44291</v>
      </c>
      <c r="B190" s="5" t="s">
        <v>5</v>
      </c>
      <c r="C190" s="2">
        <v>1209</v>
      </c>
      <c r="D190" s="2">
        <v>210</v>
      </c>
      <c r="E190" s="3">
        <v>2892.63</v>
      </c>
      <c r="F190" s="4" t="str">
        <f>IF(campaignData[[#This Row],[Campaign]]="Old_Campaign", "A", "B")</f>
        <v>A</v>
      </c>
    </row>
    <row r="191" spans="1:6" x14ac:dyDescent="0.2">
      <c r="A191" s="1">
        <v>44291</v>
      </c>
      <c r="B191" s="5" t="s">
        <v>6</v>
      </c>
      <c r="C191" s="2">
        <v>1198</v>
      </c>
      <c r="D191" s="2">
        <v>288</v>
      </c>
      <c r="E191" s="3">
        <v>4384.68</v>
      </c>
      <c r="F191" s="4" t="str">
        <f>IF(campaignData[[#This Row],[Campaign]]="Old_Campaign", "A", "B")</f>
        <v>B</v>
      </c>
    </row>
    <row r="192" spans="1:6" x14ac:dyDescent="0.2">
      <c r="A192" s="1">
        <v>44292</v>
      </c>
      <c r="B192" s="5" t="s">
        <v>5</v>
      </c>
      <c r="C192" s="2">
        <v>1143</v>
      </c>
      <c r="D192" s="2">
        <v>225</v>
      </c>
      <c r="E192" s="3">
        <v>3360.09</v>
      </c>
      <c r="F192" s="4" t="str">
        <f>IF(campaignData[[#This Row],[Campaign]]="Old_Campaign", "A", "B")</f>
        <v>A</v>
      </c>
    </row>
    <row r="193" spans="1:6" x14ac:dyDescent="0.2">
      <c r="A193" s="1">
        <v>44292</v>
      </c>
      <c r="B193" s="5" t="s">
        <v>6</v>
      </c>
      <c r="C193" s="2">
        <v>1092</v>
      </c>
      <c r="D193" s="2">
        <v>231</v>
      </c>
      <c r="E193" s="3">
        <v>4525.09</v>
      </c>
      <c r="F193" s="4" t="str">
        <f>IF(campaignData[[#This Row],[Campaign]]="Old_Campaign", "A", "B")</f>
        <v>B</v>
      </c>
    </row>
    <row r="194" spans="1:6" x14ac:dyDescent="0.2">
      <c r="A194" s="1">
        <v>44293</v>
      </c>
      <c r="B194" s="5" t="s">
        <v>5</v>
      </c>
      <c r="C194" s="2">
        <v>1241</v>
      </c>
      <c r="D194" s="2">
        <v>239</v>
      </c>
      <c r="E194" s="3">
        <v>3351.05</v>
      </c>
      <c r="F194" s="4" t="str">
        <f>IF(campaignData[[#This Row],[Campaign]]="Old_Campaign", "A", "B")</f>
        <v>A</v>
      </c>
    </row>
    <row r="195" spans="1:6" x14ac:dyDescent="0.2">
      <c r="A195" s="1">
        <v>44293</v>
      </c>
      <c r="B195" s="5" t="s">
        <v>6</v>
      </c>
      <c r="C195" s="2">
        <v>1168</v>
      </c>
      <c r="D195" s="2">
        <v>255</v>
      </c>
      <c r="E195" s="3">
        <v>4612.5200000000004</v>
      </c>
      <c r="F195" s="4" t="str">
        <f>IF(campaignData[[#This Row],[Campaign]]="Old_Campaign", "A", "B")</f>
        <v>B</v>
      </c>
    </row>
    <row r="196" spans="1:6" x14ac:dyDescent="0.2">
      <c r="A196" s="1">
        <v>44294</v>
      </c>
      <c r="B196" s="5" t="s">
        <v>5</v>
      </c>
      <c r="C196" s="2">
        <v>1233</v>
      </c>
      <c r="D196" s="2">
        <v>239</v>
      </c>
      <c r="E196" s="3">
        <v>3505.12</v>
      </c>
      <c r="F196" s="4" t="str">
        <f>IF(campaignData[[#This Row],[Campaign]]="Old_Campaign", "A", "B")</f>
        <v>A</v>
      </c>
    </row>
    <row r="197" spans="1:6" x14ac:dyDescent="0.2">
      <c r="A197" s="1">
        <v>44294</v>
      </c>
      <c r="B197" s="5" t="s">
        <v>6</v>
      </c>
      <c r="C197" s="2">
        <v>1134</v>
      </c>
      <c r="D197" s="2">
        <v>245</v>
      </c>
      <c r="E197" s="3">
        <v>3991.89</v>
      </c>
      <c r="F197" s="4" t="str">
        <f>IF(campaignData[[#This Row],[Campaign]]="Old_Campaign", "A", "B")</f>
        <v>B</v>
      </c>
    </row>
    <row r="198" spans="1:6" x14ac:dyDescent="0.2">
      <c r="A198" s="1">
        <v>44295</v>
      </c>
      <c r="B198" s="5" t="s">
        <v>5</v>
      </c>
      <c r="C198" s="2">
        <v>1238</v>
      </c>
      <c r="D198" s="2">
        <v>228</v>
      </c>
      <c r="E198" s="3">
        <v>3507.14</v>
      </c>
      <c r="F198" s="4" t="str">
        <f>IF(campaignData[[#This Row],[Campaign]]="Old_Campaign", "A", "B")</f>
        <v>A</v>
      </c>
    </row>
    <row r="199" spans="1:6" x14ac:dyDescent="0.2">
      <c r="A199" s="1">
        <v>44295</v>
      </c>
      <c r="B199" s="5" t="s">
        <v>6</v>
      </c>
      <c r="C199" s="2">
        <v>1163</v>
      </c>
      <c r="D199" s="2">
        <v>279</v>
      </c>
      <c r="E199" s="3">
        <v>4489.91</v>
      </c>
      <c r="F199" s="4" t="str">
        <f>IF(campaignData[[#This Row],[Campaign]]="Old_Campaign", "A", "B")</f>
        <v>B</v>
      </c>
    </row>
    <row r="200" spans="1:6" x14ac:dyDescent="0.2">
      <c r="A200" s="1">
        <v>44296</v>
      </c>
      <c r="B200" s="5" t="s">
        <v>5</v>
      </c>
      <c r="C200" s="2">
        <v>1230</v>
      </c>
      <c r="D200" s="2">
        <v>229</v>
      </c>
      <c r="E200" s="3">
        <v>3391.35</v>
      </c>
      <c r="F200" s="4" t="str">
        <f>IF(campaignData[[#This Row],[Campaign]]="Old_Campaign", "A", "B")</f>
        <v>A</v>
      </c>
    </row>
    <row r="201" spans="1:6" x14ac:dyDescent="0.2">
      <c r="A201" s="1">
        <v>44296</v>
      </c>
      <c r="B201" s="5" t="s">
        <v>6</v>
      </c>
      <c r="C201" s="2">
        <v>1163</v>
      </c>
      <c r="D201" s="2">
        <v>246</v>
      </c>
      <c r="E201" s="3">
        <v>4073.28</v>
      </c>
      <c r="F201" s="4" t="str">
        <f>IF(campaignData[[#This Row],[Campaign]]="Old_Campaign", "A", "B")</f>
        <v>B</v>
      </c>
    </row>
    <row r="202" spans="1:6" x14ac:dyDescent="0.2">
      <c r="A202" s="1">
        <v>44297</v>
      </c>
      <c r="B202" s="5" t="s">
        <v>5</v>
      </c>
      <c r="C202" s="2">
        <v>1219</v>
      </c>
      <c r="D202" s="2">
        <v>225</v>
      </c>
      <c r="E202" s="3">
        <v>3434.84</v>
      </c>
      <c r="F202" s="4" t="str">
        <f>IF(campaignData[[#This Row],[Campaign]]="Old_Campaign", "A", "B")</f>
        <v>A</v>
      </c>
    </row>
    <row r="203" spans="1:6" x14ac:dyDescent="0.2">
      <c r="A203" s="1">
        <v>44297</v>
      </c>
      <c r="B203" s="5" t="s">
        <v>6</v>
      </c>
      <c r="C203" s="2">
        <v>1135</v>
      </c>
      <c r="D203" s="2">
        <v>239</v>
      </c>
      <c r="E203" s="3">
        <v>3489.34</v>
      </c>
      <c r="F203" s="4" t="str">
        <f>IF(campaignData[[#This Row],[Campaign]]="Old_Campaign", "A", "B")</f>
        <v>B</v>
      </c>
    </row>
    <row r="204" spans="1:6" x14ac:dyDescent="0.2">
      <c r="A204" s="1">
        <v>44298</v>
      </c>
      <c r="B204" s="5" t="s">
        <v>5</v>
      </c>
      <c r="C204" s="2">
        <v>1226</v>
      </c>
      <c r="D204" s="2">
        <v>228</v>
      </c>
      <c r="E204" s="3">
        <v>4133.88</v>
      </c>
      <c r="F204" s="4" t="str">
        <f>IF(campaignData[[#This Row],[Campaign]]="Old_Campaign", "A", "B")</f>
        <v>A</v>
      </c>
    </row>
    <row r="205" spans="1:6" x14ac:dyDescent="0.2">
      <c r="A205" s="1">
        <v>44298</v>
      </c>
      <c r="B205" s="5" t="s">
        <v>6</v>
      </c>
      <c r="C205" s="2">
        <v>1168</v>
      </c>
      <c r="D205" s="2">
        <v>251</v>
      </c>
      <c r="E205" s="3">
        <v>3982.99</v>
      </c>
      <c r="F205" s="4" t="str">
        <f>IF(campaignData[[#This Row],[Campaign]]="Old_Campaign", "A", "B")</f>
        <v>B</v>
      </c>
    </row>
    <row r="206" spans="1:6" x14ac:dyDescent="0.2">
      <c r="A206" s="1">
        <v>44299</v>
      </c>
      <c r="B206" s="5" t="s">
        <v>5</v>
      </c>
      <c r="C206" s="2">
        <v>1193</v>
      </c>
      <c r="D206" s="2">
        <v>212</v>
      </c>
      <c r="E206" s="3">
        <v>2747</v>
      </c>
      <c r="F206" s="4" t="str">
        <f>IF(campaignData[[#This Row],[Campaign]]="Old_Campaign", "A", "B")</f>
        <v>A</v>
      </c>
    </row>
    <row r="207" spans="1:6" x14ac:dyDescent="0.2">
      <c r="A207" s="1">
        <v>44299</v>
      </c>
      <c r="B207" s="5" t="s">
        <v>6</v>
      </c>
      <c r="C207" s="2">
        <v>1092</v>
      </c>
      <c r="D207" s="2">
        <v>225</v>
      </c>
      <c r="E207" s="3">
        <v>3918.76</v>
      </c>
      <c r="F207" s="4" t="str">
        <f>IF(campaignData[[#This Row],[Campaign]]="Old_Campaign", "A", "B")</f>
        <v>B</v>
      </c>
    </row>
    <row r="208" spans="1:6" x14ac:dyDescent="0.2">
      <c r="A208" s="1">
        <v>44300</v>
      </c>
      <c r="B208" s="5" t="s">
        <v>5</v>
      </c>
      <c r="C208" s="2">
        <v>1279</v>
      </c>
      <c r="D208" s="2">
        <v>235</v>
      </c>
      <c r="E208" s="3">
        <v>4392.92</v>
      </c>
      <c r="F208" s="4" t="str">
        <f>IF(campaignData[[#This Row],[Campaign]]="Old_Campaign", "A", "B")</f>
        <v>A</v>
      </c>
    </row>
    <row r="209" spans="1:6" x14ac:dyDescent="0.2">
      <c r="A209" s="1">
        <v>44300</v>
      </c>
      <c r="B209" s="5" t="s">
        <v>6</v>
      </c>
      <c r="C209" s="2">
        <v>1140</v>
      </c>
      <c r="D209" s="2">
        <v>296</v>
      </c>
      <c r="E209" s="3">
        <v>4102.51</v>
      </c>
      <c r="F209" s="4" t="str">
        <f>IF(campaignData[[#This Row],[Campaign]]="Old_Campaign", "A", "B")</f>
        <v>B</v>
      </c>
    </row>
    <row r="210" spans="1:6" x14ac:dyDescent="0.2">
      <c r="A210" s="1">
        <v>44301</v>
      </c>
      <c r="B210" s="5" t="s">
        <v>5</v>
      </c>
      <c r="C210" s="2">
        <v>1251</v>
      </c>
      <c r="D210" s="2">
        <v>245</v>
      </c>
      <c r="E210" s="3">
        <v>3061.75</v>
      </c>
      <c r="F210" s="4" t="str">
        <f>IF(campaignData[[#This Row],[Campaign]]="Old_Campaign", "A", "B")</f>
        <v>A</v>
      </c>
    </row>
    <row r="211" spans="1:6" x14ac:dyDescent="0.2">
      <c r="A211" s="1">
        <v>44301</v>
      </c>
      <c r="B211" s="5" t="s">
        <v>6</v>
      </c>
      <c r="C211" s="2">
        <v>1193</v>
      </c>
      <c r="D211" s="2">
        <v>316</v>
      </c>
      <c r="E211" s="3">
        <v>5968.46</v>
      </c>
      <c r="F211" s="4" t="str">
        <f>IF(campaignData[[#This Row],[Campaign]]="Old_Campaign", "A", "B")</f>
        <v>B</v>
      </c>
    </row>
    <row r="212" spans="1:6" x14ac:dyDescent="0.2">
      <c r="A212" s="1">
        <v>44302</v>
      </c>
      <c r="B212" s="5" t="s">
        <v>5</v>
      </c>
      <c r="C212" s="2">
        <v>1245</v>
      </c>
      <c r="D212" s="2">
        <v>241</v>
      </c>
      <c r="E212" s="3">
        <v>3709.72</v>
      </c>
      <c r="F212" s="4" t="str">
        <f>IF(campaignData[[#This Row],[Campaign]]="Old_Campaign", "A", "B")</f>
        <v>A</v>
      </c>
    </row>
    <row r="213" spans="1:6" x14ac:dyDescent="0.2">
      <c r="A213" s="1">
        <v>44302</v>
      </c>
      <c r="B213" s="5" t="s">
        <v>6</v>
      </c>
      <c r="C213" s="2">
        <v>1182</v>
      </c>
      <c r="D213" s="2">
        <v>274</v>
      </c>
      <c r="E213" s="3">
        <v>4772.53</v>
      </c>
      <c r="F213" s="4" t="str">
        <f>IF(campaignData[[#This Row],[Campaign]]="Old_Campaign", "A", "B")</f>
        <v>B</v>
      </c>
    </row>
    <row r="214" spans="1:6" x14ac:dyDescent="0.2">
      <c r="A214" s="1">
        <v>44303</v>
      </c>
      <c r="B214" s="5" t="s">
        <v>5</v>
      </c>
      <c r="C214" s="2">
        <v>1219</v>
      </c>
      <c r="D214" s="2">
        <v>226</v>
      </c>
      <c r="E214" s="3">
        <v>3447.9</v>
      </c>
      <c r="F214" s="4" t="str">
        <f>IF(campaignData[[#This Row],[Campaign]]="Old_Campaign", "A", "B")</f>
        <v>A</v>
      </c>
    </row>
    <row r="215" spans="1:6" x14ac:dyDescent="0.2">
      <c r="A215" s="1">
        <v>44303</v>
      </c>
      <c r="B215" s="5" t="s">
        <v>6</v>
      </c>
      <c r="C215" s="2">
        <v>1126</v>
      </c>
      <c r="D215" s="2">
        <v>260</v>
      </c>
      <c r="E215" s="3">
        <v>3805.85</v>
      </c>
      <c r="F215" s="4" t="str">
        <f>IF(campaignData[[#This Row],[Campaign]]="Old_Campaign", "A", "B")</f>
        <v>B</v>
      </c>
    </row>
    <row r="216" spans="1:6" x14ac:dyDescent="0.2">
      <c r="A216" s="1">
        <v>44304</v>
      </c>
      <c r="B216" s="5" t="s">
        <v>5</v>
      </c>
      <c r="C216" s="2">
        <v>1189</v>
      </c>
      <c r="D216" s="2">
        <v>242</v>
      </c>
      <c r="E216" s="3">
        <v>4010.33</v>
      </c>
      <c r="F216" s="4" t="str">
        <f>IF(campaignData[[#This Row],[Campaign]]="Old_Campaign", "A", "B")</f>
        <v>A</v>
      </c>
    </row>
    <row r="217" spans="1:6" x14ac:dyDescent="0.2">
      <c r="A217" s="1">
        <v>44304</v>
      </c>
      <c r="B217" s="5" t="s">
        <v>6</v>
      </c>
      <c r="C217" s="2">
        <v>1180</v>
      </c>
      <c r="D217" s="2">
        <v>289</v>
      </c>
      <c r="E217" s="3">
        <v>4869.91</v>
      </c>
      <c r="F217" s="4" t="str">
        <f>IF(campaignData[[#This Row],[Campaign]]="Old_Campaign", "A", "B")</f>
        <v>B</v>
      </c>
    </row>
    <row r="218" spans="1:6" x14ac:dyDescent="0.2">
      <c r="A218" s="1">
        <v>44305</v>
      </c>
      <c r="B218" s="5" t="s">
        <v>5</v>
      </c>
      <c r="C218" s="2">
        <v>1158</v>
      </c>
      <c r="D218" s="2">
        <v>227</v>
      </c>
      <c r="E218" s="3">
        <v>3304.68</v>
      </c>
      <c r="F218" s="4" t="str">
        <f>IF(campaignData[[#This Row],[Campaign]]="Old_Campaign", "A", "B")</f>
        <v>A</v>
      </c>
    </row>
    <row r="219" spans="1:6" x14ac:dyDescent="0.2">
      <c r="A219" s="1">
        <v>44305</v>
      </c>
      <c r="B219" s="5" t="s">
        <v>6</v>
      </c>
      <c r="C219" s="2">
        <v>1133</v>
      </c>
      <c r="D219" s="2">
        <v>254</v>
      </c>
      <c r="E219" s="3">
        <v>4077.66</v>
      </c>
      <c r="F219" s="4" t="str">
        <f>IF(campaignData[[#This Row],[Campaign]]="Old_Campaign", "A", "B")</f>
        <v>B</v>
      </c>
    </row>
    <row r="220" spans="1:6" x14ac:dyDescent="0.2">
      <c r="A220" s="1">
        <v>44306</v>
      </c>
      <c r="B220" s="5" t="s">
        <v>5</v>
      </c>
      <c r="C220" s="2">
        <v>1098</v>
      </c>
      <c r="D220" s="2">
        <v>220</v>
      </c>
      <c r="E220" s="3">
        <v>4090.98</v>
      </c>
      <c r="F220" s="4" t="str">
        <f>IF(campaignData[[#This Row],[Campaign]]="Old_Campaign", "A", "B")</f>
        <v>A</v>
      </c>
    </row>
    <row r="221" spans="1:6" x14ac:dyDescent="0.2">
      <c r="A221" s="1">
        <v>44306</v>
      </c>
      <c r="B221" s="5" t="s">
        <v>6</v>
      </c>
      <c r="C221" s="2">
        <v>1182</v>
      </c>
      <c r="D221" s="2">
        <v>276</v>
      </c>
      <c r="E221" s="3">
        <v>4769.75</v>
      </c>
      <c r="F221" s="4" t="str">
        <f>IF(campaignData[[#This Row],[Campaign]]="Old_Campaign", "A", "B")</f>
        <v>B</v>
      </c>
    </row>
    <row r="222" spans="1:6" x14ac:dyDescent="0.2">
      <c r="A222" s="1">
        <v>44307</v>
      </c>
      <c r="B222" s="5" t="s">
        <v>5</v>
      </c>
      <c r="C222" s="2">
        <v>1214</v>
      </c>
      <c r="D222" s="2">
        <v>206</v>
      </c>
      <c r="E222" s="3">
        <v>3114.57</v>
      </c>
      <c r="F222" s="4" t="str">
        <f>IF(campaignData[[#This Row],[Campaign]]="Old_Campaign", "A", "B")</f>
        <v>A</v>
      </c>
    </row>
    <row r="223" spans="1:6" x14ac:dyDescent="0.2">
      <c r="A223" s="1">
        <v>44307</v>
      </c>
      <c r="B223" s="5" t="s">
        <v>6</v>
      </c>
      <c r="C223" s="2">
        <v>1171</v>
      </c>
      <c r="D223" s="2">
        <v>260</v>
      </c>
      <c r="E223" s="3">
        <v>3823.59</v>
      </c>
      <c r="F223" s="4" t="str">
        <f>IF(campaignData[[#This Row],[Campaign]]="Old_Campaign", "A", "B")</f>
        <v>B</v>
      </c>
    </row>
    <row r="224" spans="1:6" x14ac:dyDescent="0.2">
      <c r="A224" s="1">
        <v>44308</v>
      </c>
      <c r="B224" s="5" t="s">
        <v>5</v>
      </c>
      <c r="C224" s="2">
        <v>1140</v>
      </c>
      <c r="D224" s="2">
        <v>217</v>
      </c>
      <c r="E224" s="3">
        <v>4155.66</v>
      </c>
      <c r="F224" s="4" t="str">
        <f>IF(campaignData[[#This Row],[Campaign]]="Old_Campaign", "A", "B")</f>
        <v>A</v>
      </c>
    </row>
    <row r="225" spans="1:6" x14ac:dyDescent="0.2">
      <c r="A225" s="1">
        <v>44308</v>
      </c>
      <c r="B225" s="5" t="s">
        <v>6</v>
      </c>
      <c r="C225" s="2">
        <v>1152</v>
      </c>
      <c r="D225" s="2">
        <v>267</v>
      </c>
      <c r="E225" s="3">
        <v>3903.97</v>
      </c>
      <c r="F225" s="4" t="str">
        <f>IF(campaignData[[#This Row],[Campaign]]="Old_Campaign", "A", "B")</f>
        <v>B</v>
      </c>
    </row>
    <row r="226" spans="1:6" x14ac:dyDescent="0.2">
      <c r="A226" s="1">
        <v>44309</v>
      </c>
      <c r="B226" s="5" t="s">
        <v>5</v>
      </c>
      <c r="C226" s="2">
        <v>1173</v>
      </c>
      <c r="D226" s="2">
        <v>240</v>
      </c>
      <c r="E226" s="3">
        <v>3850.96</v>
      </c>
      <c r="F226" s="4" t="str">
        <f>IF(campaignData[[#This Row],[Campaign]]="Old_Campaign", "A", "B")</f>
        <v>A</v>
      </c>
    </row>
    <row r="227" spans="1:6" x14ac:dyDescent="0.2">
      <c r="A227" s="1">
        <v>44309</v>
      </c>
      <c r="B227" s="5" t="s">
        <v>6</v>
      </c>
      <c r="C227" s="2">
        <v>1166</v>
      </c>
      <c r="D227" s="2">
        <v>272</v>
      </c>
      <c r="E227" s="3">
        <v>4039.91</v>
      </c>
      <c r="F227" s="4" t="str">
        <f>IF(campaignData[[#This Row],[Campaign]]="Old_Campaign", "A", "B")</f>
        <v>B</v>
      </c>
    </row>
    <row r="228" spans="1:6" x14ac:dyDescent="0.2">
      <c r="A228" s="1">
        <v>44310</v>
      </c>
      <c r="B228" s="5" t="s">
        <v>5</v>
      </c>
      <c r="C228" s="2">
        <v>1167</v>
      </c>
      <c r="D228" s="2">
        <v>223</v>
      </c>
      <c r="E228" s="3">
        <v>3230.21</v>
      </c>
      <c r="F228" s="4" t="str">
        <f>IF(campaignData[[#This Row],[Campaign]]="Old_Campaign", "A", "B")</f>
        <v>A</v>
      </c>
    </row>
    <row r="229" spans="1:6" x14ac:dyDescent="0.2">
      <c r="A229" s="1">
        <v>44310</v>
      </c>
      <c r="B229" s="5" t="s">
        <v>6</v>
      </c>
      <c r="C229" s="2">
        <v>1194</v>
      </c>
      <c r="D229" s="2">
        <v>263</v>
      </c>
      <c r="E229" s="3">
        <v>3330.32</v>
      </c>
      <c r="F229" s="4" t="str">
        <f>IF(campaignData[[#This Row],[Campaign]]="Old_Campaign", "A", "B")</f>
        <v>B</v>
      </c>
    </row>
    <row r="230" spans="1:6" x14ac:dyDescent="0.2">
      <c r="A230" s="1">
        <v>44311</v>
      </c>
      <c r="B230" s="5" t="s">
        <v>5</v>
      </c>
      <c r="C230" s="2">
        <v>1184</v>
      </c>
      <c r="D230" s="2">
        <v>224</v>
      </c>
      <c r="E230" s="3">
        <v>3843.25</v>
      </c>
      <c r="F230" s="4" t="str">
        <f>IF(campaignData[[#This Row],[Campaign]]="Old_Campaign", "A", "B")</f>
        <v>A</v>
      </c>
    </row>
    <row r="231" spans="1:6" x14ac:dyDescent="0.2">
      <c r="A231" s="1">
        <v>44311</v>
      </c>
      <c r="B231" s="5" t="s">
        <v>6</v>
      </c>
      <c r="C231" s="2">
        <v>1202</v>
      </c>
      <c r="D231" s="2">
        <v>271</v>
      </c>
      <c r="E231" s="3">
        <v>4315.13</v>
      </c>
      <c r="F231" s="4" t="str">
        <f>IF(campaignData[[#This Row],[Campaign]]="Old_Campaign", "A", "B")</f>
        <v>B</v>
      </c>
    </row>
    <row r="232" spans="1:6" x14ac:dyDescent="0.2">
      <c r="A232" s="1">
        <v>44312</v>
      </c>
      <c r="B232" s="5" t="s">
        <v>5</v>
      </c>
      <c r="C232" s="2">
        <v>1257</v>
      </c>
      <c r="D232" s="2">
        <v>248</v>
      </c>
      <c r="E232" s="3">
        <v>3409.72</v>
      </c>
      <c r="F232" s="4" t="str">
        <f>IF(campaignData[[#This Row],[Campaign]]="Old_Campaign", "A", "B")</f>
        <v>A</v>
      </c>
    </row>
    <row r="233" spans="1:6" x14ac:dyDescent="0.2">
      <c r="A233" s="1">
        <v>44312</v>
      </c>
      <c r="B233" s="5" t="s">
        <v>6</v>
      </c>
      <c r="C233" s="2">
        <v>1172</v>
      </c>
      <c r="D233" s="2">
        <v>270</v>
      </c>
      <c r="E233" s="3">
        <v>4533.7299999999996</v>
      </c>
      <c r="F233" s="4" t="str">
        <f>IF(campaignData[[#This Row],[Campaign]]="Old_Campaign", "A", "B")</f>
        <v>B</v>
      </c>
    </row>
    <row r="234" spans="1:6" x14ac:dyDescent="0.2">
      <c r="A234" s="1">
        <v>44313</v>
      </c>
      <c r="B234" s="5" t="s">
        <v>5</v>
      </c>
      <c r="C234" s="2">
        <v>1242</v>
      </c>
      <c r="D234" s="2">
        <v>223</v>
      </c>
      <c r="E234" s="3">
        <v>3689.18</v>
      </c>
      <c r="F234" s="4" t="str">
        <f>IF(campaignData[[#This Row],[Campaign]]="Old_Campaign", "A", "B")</f>
        <v>A</v>
      </c>
    </row>
    <row r="235" spans="1:6" x14ac:dyDescent="0.2">
      <c r="A235" s="1">
        <v>44313</v>
      </c>
      <c r="B235" s="5" t="s">
        <v>6</v>
      </c>
      <c r="C235" s="2">
        <v>1136</v>
      </c>
      <c r="D235" s="2">
        <v>257</v>
      </c>
      <c r="E235" s="3">
        <v>2647.85</v>
      </c>
      <c r="F235" s="4" t="str">
        <f>IF(campaignData[[#This Row],[Campaign]]="Old_Campaign", "A", "B")</f>
        <v>B</v>
      </c>
    </row>
    <row r="236" spans="1:6" x14ac:dyDescent="0.2">
      <c r="A236" s="1">
        <v>44314</v>
      </c>
      <c r="B236" s="5" t="s">
        <v>5</v>
      </c>
      <c r="C236" s="2">
        <v>1216</v>
      </c>
      <c r="D236" s="2">
        <v>229</v>
      </c>
      <c r="E236" s="3">
        <v>3413.51</v>
      </c>
      <c r="F236" s="4" t="str">
        <f>IF(campaignData[[#This Row],[Campaign]]="Old_Campaign", "A", "B")</f>
        <v>A</v>
      </c>
    </row>
    <row r="237" spans="1:6" x14ac:dyDescent="0.2">
      <c r="A237" s="1">
        <v>44314</v>
      </c>
      <c r="B237" s="5" t="s">
        <v>6</v>
      </c>
      <c r="C237" s="2">
        <v>1122</v>
      </c>
      <c r="D237" s="2">
        <v>251</v>
      </c>
      <c r="E237" s="3">
        <v>4255.47</v>
      </c>
      <c r="F237" s="4" t="str">
        <f>IF(campaignData[[#This Row],[Campaign]]="Old_Campaign", "A", "B")</f>
        <v>B</v>
      </c>
    </row>
    <row r="238" spans="1:6" x14ac:dyDescent="0.2">
      <c r="A238" s="1">
        <v>44315</v>
      </c>
      <c r="B238" s="5" t="s">
        <v>5</v>
      </c>
      <c r="C238" s="2">
        <v>1183</v>
      </c>
      <c r="D238" s="2">
        <v>235</v>
      </c>
      <c r="E238" s="3">
        <v>4230.3599999999997</v>
      </c>
      <c r="F238" s="4" t="str">
        <f>IF(campaignData[[#This Row],[Campaign]]="Old_Campaign", "A", "B")</f>
        <v>A</v>
      </c>
    </row>
    <row r="239" spans="1:6" x14ac:dyDescent="0.2">
      <c r="A239" s="1">
        <v>44315</v>
      </c>
      <c r="B239" s="5" t="s">
        <v>6</v>
      </c>
      <c r="C239" s="2">
        <v>1113</v>
      </c>
      <c r="D239" s="2">
        <v>237</v>
      </c>
      <c r="E239" s="3">
        <v>4195.01</v>
      </c>
      <c r="F239" s="4" t="str">
        <f>IF(campaignData[[#This Row],[Campaign]]="Old_Campaign", "A", "B")</f>
        <v>B</v>
      </c>
    </row>
    <row r="240" spans="1:6" x14ac:dyDescent="0.2">
      <c r="A240" s="1">
        <v>44316</v>
      </c>
      <c r="B240" s="5" t="s">
        <v>5</v>
      </c>
      <c r="C240" s="2">
        <v>1217</v>
      </c>
      <c r="D240" s="2">
        <v>232</v>
      </c>
      <c r="E240" s="3">
        <v>3359.8</v>
      </c>
      <c r="F240" s="4" t="str">
        <f>IF(campaignData[[#This Row],[Campaign]]="Old_Campaign", "A", "B")</f>
        <v>A</v>
      </c>
    </row>
    <row r="241" spans="1:6" x14ac:dyDescent="0.2">
      <c r="A241" s="1">
        <v>44316</v>
      </c>
      <c r="B241" s="5" t="s">
        <v>6</v>
      </c>
      <c r="C241" s="2">
        <v>1126</v>
      </c>
      <c r="D241" s="2">
        <v>256</v>
      </c>
      <c r="E241" s="3">
        <v>3995.47</v>
      </c>
      <c r="F241" s="4" t="str">
        <f>IF(campaignData[[#This Row],[Campaign]]="Old_Campaign", "A", "B")</f>
        <v>B</v>
      </c>
    </row>
    <row r="242" spans="1:6" x14ac:dyDescent="0.2">
      <c r="A242" s="1">
        <v>44317</v>
      </c>
      <c r="B242" s="5" t="s">
        <v>5</v>
      </c>
      <c r="C242" s="2">
        <v>1109</v>
      </c>
      <c r="D242" s="2">
        <v>205</v>
      </c>
      <c r="E242" s="3">
        <v>3107.24</v>
      </c>
      <c r="F242" s="4" t="str">
        <f>IF(campaignData[[#This Row],[Campaign]]="Old_Campaign", "A", "B")</f>
        <v>A</v>
      </c>
    </row>
    <row r="243" spans="1:6" x14ac:dyDescent="0.2">
      <c r="A243" s="1">
        <v>44317</v>
      </c>
      <c r="B243" s="5" t="s">
        <v>6</v>
      </c>
      <c r="C243" s="2">
        <v>1064</v>
      </c>
      <c r="D243" s="2">
        <v>271</v>
      </c>
      <c r="E243" s="3">
        <v>3252.98</v>
      </c>
      <c r="F243" s="4" t="str">
        <f>IF(campaignData[[#This Row],[Campaign]]="Old_Campaign", "A", "B")</f>
        <v>B</v>
      </c>
    </row>
    <row r="244" spans="1:6" x14ac:dyDescent="0.2">
      <c r="A244" s="1">
        <v>44318</v>
      </c>
      <c r="B244" s="5" t="s">
        <v>5</v>
      </c>
      <c r="C244" s="2">
        <v>1214</v>
      </c>
      <c r="D244" s="2">
        <v>235</v>
      </c>
      <c r="E244" s="3">
        <v>4506.54</v>
      </c>
      <c r="F244" s="4" t="str">
        <f>IF(campaignData[[#This Row],[Campaign]]="Old_Campaign", "A", "B")</f>
        <v>A</v>
      </c>
    </row>
    <row r="245" spans="1:6" x14ac:dyDescent="0.2">
      <c r="A245" s="1">
        <v>44318</v>
      </c>
      <c r="B245" s="5" t="s">
        <v>6</v>
      </c>
      <c r="C245" s="2">
        <v>1108</v>
      </c>
      <c r="D245" s="2">
        <v>249</v>
      </c>
      <c r="E245" s="3">
        <v>3914.48</v>
      </c>
      <c r="F245" s="4" t="str">
        <f>IF(campaignData[[#This Row],[Campaign]]="Old_Campaign", "A", "B")</f>
        <v>B</v>
      </c>
    </row>
    <row r="246" spans="1:6" x14ac:dyDescent="0.2">
      <c r="A246" s="1">
        <v>44319</v>
      </c>
      <c r="B246" s="5" t="s">
        <v>5</v>
      </c>
      <c r="C246" s="2">
        <v>1167</v>
      </c>
      <c r="D246" s="2">
        <v>264</v>
      </c>
      <c r="E246" s="3">
        <v>3630.65</v>
      </c>
      <c r="F246" s="4" t="str">
        <f>IF(campaignData[[#This Row],[Campaign]]="Old_Campaign", "A", "B")</f>
        <v>A</v>
      </c>
    </row>
    <row r="247" spans="1:6" x14ac:dyDescent="0.2">
      <c r="A247" s="1">
        <v>44319</v>
      </c>
      <c r="B247" s="5" t="s">
        <v>6</v>
      </c>
      <c r="C247" s="2">
        <v>1194</v>
      </c>
      <c r="D247" s="2">
        <v>243</v>
      </c>
      <c r="E247" s="3">
        <v>4818.22</v>
      </c>
      <c r="F247" s="4" t="str">
        <f>IF(campaignData[[#This Row],[Campaign]]="Old_Campaign", "A", "B")</f>
        <v>B</v>
      </c>
    </row>
    <row r="248" spans="1:6" x14ac:dyDescent="0.2">
      <c r="A248" s="1">
        <v>44320</v>
      </c>
      <c r="B248" s="5" t="s">
        <v>5</v>
      </c>
      <c r="C248" s="2">
        <v>1200</v>
      </c>
      <c r="D248" s="2">
        <v>205</v>
      </c>
      <c r="E248" s="3">
        <v>3528.27</v>
      </c>
      <c r="F248" s="4" t="str">
        <f>IF(campaignData[[#This Row],[Campaign]]="Old_Campaign", "A", "B")</f>
        <v>A</v>
      </c>
    </row>
    <row r="249" spans="1:6" x14ac:dyDescent="0.2">
      <c r="A249" s="1">
        <v>44320</v>
      </c>
      <c r="B249" s="5" t="s">
        <v>6</v>
      </c>
      <c r="C249" s="2">
        <v>1120</v>
      </c>
      <c r="D249" s="2">
        <v>256</v>
      </c>
      <c r="E249" s="3">
        <v>4703.76</v>
      </c>
      <c r="F249" s="4" t="str">
        <f>IF(campaignData[[#This Row],[Campaign]]="Old_Campaign", "A", "B")</f>
        <v>B</v>
      </c>
    </row>
    <row r="250" spans="1:6" x14ac:dyDescent="0.2">
      <c r="A250" s="1">
        <v>44321</v>
      </c>
      <c r="B250" s="5" t="s">
        <v>5</v>
      </c>
      <c r="C250" s="2">
        <v>1149</v>
      </c>
      <c r="D250" s="2">
        <v>250</v>
      </c>
      <c r="E250" s="3">
        <v>3910.68</v>
      </c>
      <c r="F250" s="4" t="str">
        <f>IF(campaignData[[#This Row],[Campaign]]="Old_Campaign", "A", "B")</f>
        <v>A</v>
      </c>
    </row>
    <row r="251" spans="1:6" x14ac:dyDescent="0.2">
      <c r="A251" s="1">
        <v>44321</v>
      </c>
      <c r="B251" s="5" t="s">
        <v>6</v>
      </c>
      <c r="C251" s="2">
        <v>1156</v>
      </c>
      <c r="D251" s="2">
        <v>284</v>
      </c>
      <c r="E251" s="3">
        <v>4783.6499999999996</v>
      </c>
      <c r="F251" s="4" t="str">
        <f>IF(campaignData[[#This Row],[Campaign]]="Old_Campaign", "A", "B")</f>
        <v>B</v>
      </c>
    </row>
    <row r="252" spans="1:6" x14ac:dyDescent="0.2">
      <c r="A252" s="1">
        <v>44322</v>
      </c>
      <c r="B252" s="5" t="s">
        <v>5</v>
      </c>
      <c r="C252" s="2">
        <v>1182</v>
      </c>
      <c r="D252" s="2">
        <v>227</v>
      </c>
      <c r="E252" s="3">
        <v>3336.87</v>
      </c>
      <c r="F252" s="4" t="str">
        <f>IF(campaignData[[#This Row],[Campaign]]="Old_Campaign", "A", "B")</f>
        <v>A</v>
      </c>
    </row>
    <row r="253" spans="1:6" x14ac:dyDescent="0.2">
      <c r="A253" s="1">
        <v>44322</v>
      </c>
      <c r="B253" s="5" t="s">
        <v>6</v>
      </c>
      <c r="C253" s="2">
        <v>1154</v>
      </c>
      <c r="D253" s="2">
        <v>269</v>
      </c>
      <c r="E253" s="3">
        <v>4371.5600000000004</v>
      </c>
      <c r="F253" s="4" t="str">
        <f>IF(campaignData[[#This Row],[Campaign]]="Old_Campaign", "A", "B")</f>
        <v>B</v>
      </c>
    </row>
    <row r="254" spans="1:6" x14ac:dyDescent="0.2">
      <c r="A254" s="1">
        <v>44323</v>
      </c>
      <c r="B254" s="5" t="s">
        <v>5</v>
      </c>
      <c r="C254" s="2">
        <v>1190</v>
      </c>
      <c r="D254" s="2">
        <v>230</v>
      </c>
      <c r="E254" s="3">
        <v>3156.08</v>
      </c>
      <c r="F254" s="4" t="str">
        <f>IF(campaignData[[#This Row],[Campaign]]="Old_Campaign", "A", "B")</f>
        <v>A</v>
      </c>
    </row>
    <row r="255" spans="1:6" x14ac:dyDescent="0.2">
      <c r="A255" s="1">
        <v>44323</v>
      </c>
      <c r="B255" s="5" t="s">
        <v>6</v>
      </c>
      <c r="C255" s="2">
        <v>1121</v>
      </c>
      <c r="D255" s="2">
        <v>265</v>
      </c>
      <c r="E255" s="3">
        <v>3538.76</v>
      </c>
      <c r="F255" s="4" t="str">
        <f>IF(campaignData[[#This Row],[Campaign]]="Old_Campaign", "A", "B")</f>
        <v>B</v>
      </c>
    </row>
    <row r="256" spans="1:6" x14ac:dyDescent="0.2">
      <c r="A256" s="1">
        <v>44324</v>
      </c>
      <c r="B256" s="5" t="s">
        <v>5</v>
      </c>
      <c r="C256" s="2">
        <v>1212</v>
      </c>
      <c r="D256" s="2">
        <v>223</v>
      </c>
      <c r="E256" s="3">
        <v>2230.27</v>
      </c>
      <c r="F256" s="4" t="str">
        <f>IF(campaignData[[#This Row],[Campaign]]="Old_Campaign", "A", "B")</f>
        <v>A</v>
      </c>
    </row>
    <row r="257" spans="1:6" x14ac:dyDescent="0.2">
      <c r="A257" s="1">
        <v>44324</v>
      </c>
      <c r="B257" s="5" t="s">
        <v>6</v>
      </c>
      <c r="C257" s="2">
        <v>1138</v>
      </c>
      <c r="D257" s="2">
        <v>271</v>
      </c>
      <c r="E257" s="3">
        <v>5577.69</v>
      </c>
      <c r="F257" s="4" t="str">
        <f>IF(campaignData[[#This Row],[Campaign]]="Old_Campaign", "A", "B")</f>
        <v>B</v>
      </c>
    </row>
    <row r="258" spans="1:6" x14ac:dyDescent="0.2">
      <c r="A258" s="1">
        <v>44325</v>
      </c>
      <c r="B258" s="5" t="s">
        <v>5</v>
      </c>
      <c r="C258" s="2">
        <v>1211</v>
      </c>
      <c r="D258" s="2">
        <v>238</v>
      </c>
      <c r="E258" s="3">
        <v>3931.25</v>
      </c>
      <c r="F258" s="4" t="str">
        <f>IF(campaignData[[#This Row],[Campaign]]="Old_Campaign", "A", "B")</f>
        <v>A</v>
      </c>
    </row>
    <row r="259" spans="1:6" x14ac:dyDescent="0.2">
      <c r="A259" s="1">
        <v>44325</v>
      </c>
      <c r="B259" s="5" t="s">
        <v>6</v>
      </c>
      <c r="C259" s="2">
        <v>1123</v>
      </c>
      <c r="D259" s="2">
        <v>235</v>
      </c>
      <c r="E259" s="3">
        <v>3892.16</v>
      </c>
      <c r="F259" s="4" t="str">
        <f>IF(campaignData[[#This Row],[Campaign]]="Old_Campaign", "A", "B")</f>
        <v>B</v>
      </c>
    </row>
    <row r="260" spans="1:6" x14ac:dyDescent="0.2">
      <c r="A260" s="1">
        <v>44326</v>
      </c>
      <c r="B260" s="5" t="s">
        <v>5</v>
      </c>
      <c r="C260" s="2">
        <v>1185</v>
      </c>
      <c r="D260" s="2">
        <v>238</v>
      </c>
      <c r="E260" s="3">
        <v>3099.43</v>
      </c>
      <c r="F260" s="4" t="str">
        <f>IF(campaignData[[#This Row],[Campaign]]="Old_Campaign", "A", "B")</f>
        <v>A</v>
      </c>
    </row>
    <row r="261" spans="1:6" x14ac:dyDescent="0.2">
      <c r="A261" s="1">
        <v>44326</v>
      </c>
      <c r="B261" s="5" t="s">
        <v>6</v>
      </c>
      <c r="C261" s="2">
        <v>1183</v>
      </c>
      <c r="D261" s="2">
        <v>268</v>
      </c>
      <c r="E261" s="3">
        <v>3696.48</v>
      </c>
      <c r="F261" s="4" t="str">
        <f>IF(campaignData[[#This Row],[Campaign]]="Old_Campaign", "A", "B")</f>
        <v>B</v>
      </c>
    </row>
    <row r="262" spans="1:6" x14ac:dyDescent="0.2">
      <c r="A262" s="1">
        <v>44327</v>
      </c>
      <c r="B262" s="5" t="s">
        <v>5</v>
      </c>
      <c r="C262" s="2">
        <v>1222</v>
      </c>
      <c r="D262" s="2">
        <v>246</v>
      </c>
      <c r="E262" s="3">
        <v>3960.63</v>
      </c>
      <c r="F262" s="4" t="str">
        <f>IF(campaignData[[#This Row],[Campaign]]="Old_Campaign", "A", "B")</f>
        <v>A</v>
      </c>
    </row>
    <row r="263" spans="1:6" x14ac:dyDescent="0.2">
      <c r="A263" s="1">
        <v>44327</v>
      </c>
      <c r="B263" s="5" t="s">
        <v>6</v>
      </c>
      <c r="C263" s="2">
        <v>1115</v>
      </c>
      <c r="D263" s="2">
        <v>240</v>
      </c>
      <c r="E263" s="3">
        <v>3375.19</v>
      </c>
      <c r="F263" s="4" t="str">
        <f>IF(campaignData[[#This Row],[Campaign]]="Old_Campaign", "A", "B")</f>
        <v>B</v>
      </c>
    </row>
    <row r="264" spans="1:6" x14ac:dyDescent="0.2">
      <c r="A264" s="1">
        <v>44328</v>
      </c>
      <c r="B264" s="5" t="s">
        <v>5</v>
      </c>
      <c r="C264" s="2">
        <v>1207</v>
      </c>
      <c r="D264" s="2">
        <v>261</v>
      </c>
      <c r="E264" s="3">
        <v>4031.88</v>
      </c>
      <c r="F264" s="4" t="str">
        <f>IF(campaignData[[#This Row],[Campaign]]="Old_Campaign", "A", "B")</f>
        <v>A</v>
      </c>
    </row>
    <row r="265" spans="1:6" x14ac:dyDescent="0.2">
      <c r="A265" s="1">
        <v>44328</v>
      </c>
      <c r="B265" s="5" t="s">
        <v>6</v>
      </c>
      <c r="C265" s="2">
        <v>1228</v>
      </c>
      <c r="D265" s="2">
        <v>286</v>
      </c>
      <c r="E265" s="3">
        <v>5356.29</v>
      </c>
      <c r="F265" s="4" t="str">
        <f>IF(campaignData[[#This Row],[Campaign]]="Old_Campaign", "A", "B")</f>
        <v>B</v>
      </c>
    </row>
    <row r="266" spans="1:6" x14ac:dyDescent="0.2">
      <c r="A266" s="1">
        <v>44329</v>
      </c>
      <c r="B266" s="5" t="s">
        <v>5</v>
      </c>
      <c r="C266" s="2">
        <v>1211</v>
      </c>
      <c r="D266" s="2">
        <v>238</v>
      </c>
      <c r="E266" s="3">
        <v>3228.04</v>
      </c>
      <c r="F266" s="4" t="str">
        <f>IF(campaignData[[#This Row],[Campaign]]="Old_Campaign", "A", "B")</f>
        <v>A</v>
      </c>
    </row>
    <row r="267" spans="1:6" x14ac:dyDescent="0.2">
      <c r="A267" s="1">
        <v>44329</v>
      </c>
      <c r="B267" s="5" t="s">
        <v>6</v>
      </c>
      <c r="C267" s="2">
        <v>1186</v>
      </c>
      <c r="D267" s="2">
        <v>246</v>
      </c>
      <c r="E267" s="3">
        <v>4376.3</v>
      </c>
      <c r="F267" s="4" t="str">
        <f>IF(campaignData[[#This Row],[Campaign]]="Old_Campaign", "A", "B")</f>
        <v>B</v>
      </c>
    </row>
    <row r="268" spans="1:6" x14ac:dyDescent="0.2">
      <c r="A268" s="1">
        <v>44330</v>
      </c>
      <c r="B268" s="5" t="s">
        <v>5</v>
      </c>
      <c r="C268" s="2">
        <v>1212</v>
      </c>
      <c r="D268" s="2">
        <v>250</v>
      </c>
      <c r="E268" s="3">
        <v>4066.89</v>
      </c>
      <c r="F268" s="4" t="str">
        <f>IF(campaignData[[#This Row],[Campaign]]="Old_Campaign", "A", "B")</f>
        <v>A</v>
      </c>
    </row>
    <row r="269" spans="1:6" x14ac:dyDescent="0.2">
      <c r="A269" s="1">
        <v>44330</v>
      </c>
      <c r="B269" s="5" t="s">
        <v>6</v>
      </c>
      <c r="C269" s="2">
        <v>1120</v>
      </c>
      <c r="D269" s="2">
        <v>240</v>
      </c>
      <c r="E269" s="3">
        <v>4038.62</v>
      </c>
      <c r="F269" s="4" t="str">
        <f>IF(campaignData[[#This Row],[Campaign]]="Old_Campaign", "A", "B")</f>
        <v>B</v>
      </c>
    </row>
    <row r="270" spans="1:6" x14ac:dyDescent="0.2">
      <c r="A270" s="1">
        <v>44331</v>
      </c>
      <c r="B270" s="5" t="s">
        <v>5</v>
      </c>
      <c r="C270" s="2">
        <v>1211</v>
      </c>
      <c r="D270" s="2">
        <v>229</v>
      </c>
      <c r="E270" s="3">
        <v>3394.57</v>
      </c>
      <c r="F270" s="4" t="str">
        <f>IF(campaignData[[#This Row],[Campaign]]="Old_Campaign", "A", "B")</f>
        <v>A</v>
      </c>
    </row>
    <row r="271" spans="1:6" x14ac:dyDescent="0.2">
      <c r="A271" s="1">
        <v>44331</v>
      </c>
      <c r="B271" s="5" t="s">
        <v>6</v>
      </c>
      <c r="C271" s="2">
        <v>1170</v>
      </c>
      <c r="D271" s="2">
        <v>267</v>
      </c>
      <c r="E271" s="3">
        <v>5649.56</v>
      </c>
      <c r="F271" s="4" t="str">
        <f>IF(campaignData[[#This Row],[Campaign]]="Old_Campaign", "A", "B")</f>
        <v>B</v>
      </c>
    </row>
    <row r="272" spans="1:6" x14ac:dyDescent="0.2">
      <c r="A272" s="1">
        <v>44332</v>
      </c>
      <c r="B272" s="5" t="s">
        <v>5</v>
      </c>
      <c r="C272" s="2">
        <v>1155</v>
      </c>
      <c r="D272" s="2">
        <v>209</v>
      </c>
      <c r="E272" s="3">
        <v>2976.52</v>
      </c>
      <c r="F272" s="4" t="str">
        <f>IF(campaignData[[#This Row],[Campaign]]="Old_Campaign", "A", "B")</f>
        <v>A</v>
      </c>
    </row>
    <row r="273" spans="1:6" x14ac:dyDescent="0.2">
      <c r="A273" s="1">
        <v>44332</v>
      </c>
      <c r="B273" s="5" t="s">
        <v>6</v>
      </c>
      <c r="C273" s="2">
        <v>1094</v>
      </c>
      <c r="D273" s="2">
        <v>250</v>
      </c>
      <c r="E273" s="3">
        <v>3898.21</v>
      </c>
      <c r="F273" s="4" t="str">
        <f>IF(campaignData[[#This Row],[Campaign]]="Old_Campaign", "A", "B")</f>
        <v>B</v>
      </c>
    </row>
    <row r="274" spans="1:6" x14ac:dyDescent="0.2">
      <c r="A274" s="1">
        <v>44333</v>
      </c>
      <c r="B274" s="5" t="s">
        <v>5</v>
      </c>
      <c r="C274" s="2">
        <v>1171</v>
      </c>
      <c r="D274" s="2">
        <v>212</v>
      </c>
      <c r="E274" s="3">
        <v>3279.13</v>
      </c>
      <c r="F274" s="4" t="str">
        <f>IF(campaignData[[#This Row],[Campaign]]="Old_Campaign", "A", "B")</f>
        <v>A</v>
      </c>
    </row>
    <row r="275" spans="1:6" x14ac:dyDescent="0.2">
      <c r="A275" s="1">
        <v>44333</v>
      </c>
      <c r="B275" s="5" t="s">
        <v>6</v>
      </c>
      <c r="C275" s="2">
        <v>1196</v>
      </c>
      <c r="D275" s="2">
        <v>289</v>
      </c>
      <c r="E275" s="3">
        <v>3724.69</v>
      </c>
      <c r="F275" s="4" t="str">
        <f>IF(campaignData[[#This Row],[Campaign]]="Old_Campaign", "A", "B")</f>
        <v>B</v>
      </c>
    </row>
    <row r="276" spans="1:6" x14ac:dyDescent="0.2">
      <c r="A276" s="1">
        <v>44334</v>
      </c>
      <c r="B276" s="5" t="s">
        <v>5</v>
      </c>
      <c r="C276" s="2">
        <v>1183</v>
      </c>
      <c r="D276" s="2">
        <v>228</v>
      </c>
      <c r="E276" s="3">
        <v>3098.51</v>
      </c>
      <c r="F276" s="4" t="str">
        <f>IF(campaignData[[#This Row],[Campaign]]="Old_Campaign", "A", "B")</f>
        <v>A</v>
      </c>
    </row>
    <row r="277" spans="1:6" x14ac:dyDescent="0.2">
      <c r="A277" s="1">
        <v>44334</v>
      </c>
      <c r="B277" s="5" t="s">
        <v>6</v>
      </c>
      <c r="C277" s="2">
        <v>1156</v>
      </c>
      <c r="D277" s="2">
        <v>254</v>
      </c>
      <c r="E277" s="3">
        <v>4035.67</v>
      </c>
      <c r="F277" s="4" t="str">
        <f>IF(campaignData[[#This Row],[Campaign]]="Old_Campaign", "A", "B")</f>
        <v>B</v>
      </c>
    </row>
    <row r="278" spans="1:6" x14ac:dyDescent="0.2">
      <c r="A278" s="1">
        <v>44335</v>
      </c>
      <c r="B278" s="5" t="s">
        <v>5</v>
      </c>
      <c r="C278" s="2">
        <v>1167</v>
      </c>
      <c r="D278" s="2">
        <v>213</v>
      </c>
      <c r="E278" s="3">
        <v>2881.66</v>
      </c>
      <c r="F278" s="4" t="str">
        <f>IF(campaignData[[#This Row],[Campaign]]="Old_Campaign", "A", "B")</f>
        <v>A</v>
      </c>
    </row>
    <row r="279" spans="1:6" x14ac:dyDescent="0.2">
      <c r="A279" s="1">
        <v>44335</v>
      </c>
      <c r="B279" s="5" t="s">
        <v>6</v>
      </c>
      <c r="C279" s="2">
        <v>1166</v>
      </c>
      <c r="D279" s="2">
        <v>296</v>
      </c>
      <c r="E279" s="3">
        <v>5467.77</v>
      </c>
      <c r="F279" s="4" t="str">
        <f>IF(campaignData[[#This Row],[Campaign]]="Old_Campaign", "A", "B")</f>
        <v>B</v>
      </c>
    </row>
    <row r="280" spans="1:6" x14ac:dyDescent="0.2">
      <c r="A280" s="1">
        <v>44336</v>
      </c>
      <c r="B280" s="5" t="s">
        <v>5</v>
      </c>
      <c r="C280" s="2">
        <v>1190</v>
      </c>
      <c r="D280" s="2">
        <v>226</v>
      </c>
      <c r="E280" s="3">
        <v>4438.34</v>
      </c>
      <c r="F280" s="4" t="str">
        <f>IF(campaignData[[#This Row],[Campaign]]="Old_Campaign", "A", "B")</f>
        <v>A</v>
      </c>
    </row>
    <row r="281" spans="1:6" x14ac:dyDescent="0.2">
      <c r="A281" s="1">
        <v>44336</v>
      </c>
      <c r="B281" s="5" t="s">
        <v>6</v>
      </c>
      <c r="C281" s="2">
        <v>1095</v>
      </c>
      <c r="D281" s="2">
        <v>235</v>
      </c>
      <c r="E281" s="3">
        <v>3944.86</v>
      </c>
      <c r="F281" s="4" t="str">
        <f>IF(campaignData[[#This Row],[Campaign]]="Old_Campaign", "A", "B")</f>
        <v>B</v>
      </c>
    </row>
    <row r="282" spans="1:6" x14ac:dyDescent="0.2">
      <c r="A282" s="1">
        <v>44337</v>
      </c>
      <c r="B282" s="5" t="s">
        <v>5</v>
      </c>
      <c r="C282" s="2">
        <v>1230</v>
      </c>
      <c r="D282" s="2">
        <v>226</v>
      </c>
      <c r="E282" s="3">
        <v>3034.73</v>
      </c>
      <c r="F282" s="4" t="str">
        <f>IF(campaignData[[#This Row],[Campaign]]="Old_Campaign", "A", "B")</f>
        <v>A</v>
      </c>
    </row>
    <row r="283" spans="1:6" x14ac:dyDescent="0.2">
      <c r="A283" s="1">
        <v>44337</v>
      </c>
      <c r="B283" s="5" t="s">
        <v>6</v>
      </c>
      <c r="C283" s="2">
        <v>1094</v>
      </c>
      <c r="D283" s="2">
        <v>266</v>
      </c>
      <c r="E283" s="3">
        <v>3547.78</v>
      </c>
      <c r="F283" s="4" t="str">
        <f>IF(campaignData[[#This Row],[Campaign]]="Old_Campaign", "A", "B")</f>
        <v>B</v>
      </c>
    </row>
    <row r="284" spans="1:6" x14ac:dyDescent="0.2">
      <c r="A284" s="1">
        <v>44338</v>
      </c>
      <c r="B284" s="5" t="s">
        <v>5</v>
      </c>
      <c r="C284" s="2">
        <v>1190</v>
      </c>
      <c r="D284" s="2">
        <v>237</v>
      </c>
      <c r="E284" s="3">
        <v>3552.12</v>
      </c>
      <c r="F284" s="4" t="str">
        <f>IF(campaignData[[#This Row],[Campaign]]="Old_Campaign", "A", "B")</f>
        <v>A</v>
      </c>
    </row>
    <row r="285" spans="1:6" x14ac:dyDescent="0.2">
      <c r="A285" s="1">
        <v>44338</v>
      </c>
      <c r="B285" s="5" t="s">
        <v>6</v>
      </c>
      <c r="C285" s="2">
        <v>1103</v>
      </c>
      <c r="D285" s="2">
        <v>245</v>
      </c>
      <c r="E285" s="3">
        <v>4330.8599999999997</v>
      </c>
      <c r="F285" s="4" t="str">
        <f>IF(campaignData[[#This Row],[Campaign]]="Old_Campaign", "A", "B")</f>
        <v>B</v>
      </c>
    </row>
    <row r="286" spans="1:6" x14ac:dyDescent="0.2">
      <c r="A286" s="1">
        <v>44339</v>
      </c>
      <c r="B286" s="5" t="s">
        <v>5</v>
      </c>
      <c r="C286" s="2">
        <v>1244</v>
      </c>
      <c r="D286" s="2">
        <v>229</v>
      </c>
      <c r="E286" s="3">
        <v>3680.72</v>
      </c>
      <c r="F286" s="4" t="str">
        <f>IF(campaignData[[#This Row],[Campaign]]="Old_Campaign", "A", "B")</f>
        <v>A</v>
      </c>
    </row>
    <row r="287" spans="1:6" x14ac:dyDescent="0.2">
      <c r="A287" s="1">
        <v>44339</v>
      </c>
      <c r="B287" s="5" t="s">
        <v>6</v>
      </c>
      <c r="C287" s="2">
        <v>1135</v>
      </c>
      <c r="D287" s="2">
        <v>265</v>
      </c>
      <c r="E287" s="3">
        <v>3763.81</v>
      </c>
      <c r="F287" s="4" t="str">
        <f>IF(campaignData[[#This Row],[Campaign]]="Old_Campaign", "A", "B")</f>
        <v>B</v>
      </c>
    </row>
    <row r="288" spans="1:6" x14ac:dyDescent="0.2">
      <c r="A288" s="1">
        <v>44340</v>
      </c>
      <c r="B288" s="5" t="s">
        <v>5</v>
      </c>
      <c r="C288" s="2">
        <v>1156</v>
      </c>
      <c r="D288" s="2">
        <v>189</v>
      </c>
      <c r="E288" s="3">
        <v>3360.5</v>
      </c>
      <c r="F288" s="4" t="str">
        <f>IF(campaignData[[#This Row],[Campaign]]="Old_Campaign", "A", "B")</f>
        <v>A</v>
      </c>
    </row>
    <row r="289" spans="1:6" x14ac:dyDescent="0.2">
      <c r="A289" s="1">
        <v>44340</v>
      </c>
      <c r="B289" s="5" t="s">
        <v>6</v>
      </c>
      <c r="C289" s="2">
        <v>1114</v>
      </c>
      <c r="D289" s="2">
        <v>269</v>
      </c>
      <c r="E289" s="3">
        <v>4604.1000000000004</v>
      </c>
      <c r="F289" s="4" t="str">
        <f>IF(campaignData[[#This Row],[Campaign]]="Old_Campaign", "A", "B")</f>
        <v>B</v>
      </c>
    </row>
    <row r="290" spans="1:6" x14ac:dyDescent="0.2">
      <c r="A290" s="1">
        <v>44341</v>
      </c>
      <c r="B290" s="5" t="s">
        <v>5</v>
      </c>
      <c r="C290" s="2">
        <v>1187</v>
      </c>
      <c r="D290" s="2">
        <v>223</v>
      </c>
      <c r="E290" s="3">
        <v>3370.27</v>
      </c>
      <c r="F290" s="4" t="str">
        <f>IF(campaignData[[#This Row],[Campaign]]="Old_Campaign", "A", "B")</f>
        <v>A</v>
      </c>
    </row>
    <row r="291" spans="1:6" x14ac:dyDescent="0.2">
      <c r="A291" s="1">
        <v>44341</v>
      </c>
      <c r="B291" s="5" t="s">
        <v>6</v>
      </c>
      <c r="C291" s="2">
        <v>1131</v>
      </c>
      <c r="D291" s="2">
        <v>276</v>
      </c>
      <c r="E291" s="3">
        <v>4708.3900000000003</v>
      </c>
      <c r="F291" s="4" t="str">
        <f>IF(campaignData[[#This Row],[Campaign]]="Old_Campaign", "A", "B")</f>
        <v>B</v>
      </c>
    </row>
    <row r="292" spans="1:6" x14ac:dyDescent="0.2">
      <c r="A292" s="1">
        <v>44342</v>
      </c>
      <c r="B292" s="5" t="s">
        <v>5</v>
      </c>
      <c r="C292" s="2">
        <v>1214</v>
      </c>
      <c r="D292" s="2">
        <v>238</v>
      </c>
      <c r="E292" s="3">
        <v>3468.4</v>
      </c>
      <c r="F292" s="4" t="str">
        <f>IF(campaignData[[#This Row],[Campaign]]="Old_Campaign", "A", "B")</f>
        <v>A</v>
      </c>
    </row>
    <row r="293" spans="1:6" x14ac:dyDescent="0.2">
      <c r="A293" s="1">
        <v>44342</v>
      </c>
      <c r="B293" s="5" t="s">
        <v>6</v>
      </c>
      <c r="C293" s="2">
        <v>1080</v>
      </c>
      <c r="D293" s="2">
        <v>285</v>
      </c>
      <c r="E293" s="3">
        <v>5409.71</v>
      </c>
      <c r="F293" s="4" t="str">
        <f>IF(campaignData[[#This Row],[Campaign]]="Old_Campaign", "A", "B")</f>
        <v>B</v>
      </c>
    </row>
    <row r="294" spans="1:6" x14ac:dyDescent="0.2">
      <c r="A294" s="1">
        <v>44343</v>
      </c>
      <c r="B294" s="5" t="s">
        <v>5</v>
      </c>
      <c r="C294" s="2">
        <v>1157</v>
      </c>
      <c r="D294" s="2">
        <v>230</v>
      </c>
      <c r="E294" s="3">
        <v>3271.44</v>
      </c>
      <c r="F294" s="4" t="str">
        <f>IF(campaignData[[#This Row],[Campaign]]="Old_Campaign", "A", "B")</f>
        <v>A</v>
      </c>
    </row>
    <row r="295" spans="1:6" x14ac:dyDescent="0.2">
      <c r="A295" s="1">
        <v>44343</v>
      </c>
      <c r="B295" s="5" t="s">
        <v>6</v>
      </c>
      <c r="C295" s="2">
        <v>1184</v>
      </c>
      <c r="D295" s="2">
        <v>267</v>
      </c>
      <c r="E295" s="3">
        <v>4363</v>
      </c>
      <c r="F295" s="4" t="str">
        <f>IF(campaignData[[#This Row],[Campaign]]="Old_Campaign", "A", "B")</f>
        <v>B</v>
      </c>
    </row>
    <row r="296" spans="1:6" x14ac:dyDescent="0.2">
      <c r="A296" s="1">
        <v>44344</v>
      </c>
      <c r="B296" s="5" t="s">
        <v>5</v>
      </c>
      <c r="C296" s="2">
        <v>1203</v>
      </c>
      <c r="D296" s="2">
        <v>210</v>
      </c>
      <c r="E296" s="3">
        <v>2575.91</v>
      </c>
      <c r="F296" s="4" t="str">
        <f>IF(campaignData[[#This Row],[Campaign]]="Old_Campaign", "A", "B")</f>
        <v>A</v>
      </c>
    </row>
    <row r="297" spans="1:6" x14ac:dyDescent="0.2">
      <c r="A297" s="1">
        <v>44344</v>
      </c>
      <c r="B297" s="5" t="s">
        <v>6</v>
      </c>
      <c r="C297" s="2">
        <v>1137</v>
      </c>
      <c r="D297" s="2">
        <v>268</v>
      </c>
      <c r="E297" s="3">
        <v>4167.53</v>
      </c>
      <c r="F297" s="4" t="str">
        <f>IF(campaignData[[#This Row],[Campaign]]="Old_Campaign", "A", "B")</f>
        <v>B</v>
      </c>
    </row>
    <row r="298" spans="1:6" x14ac:dyDescent="0.2">
      <c r="A298" s="1">
        <v>44345</v>
      </c>
      <c r="B298" s="5" t="s">
        <v>5</v>
      </c>
      <c r="C298" s="2">
        <v>1229</v>
      </c>
      <c r="D298" s="2">
        <v>237</v>
      </c>
      <c r="E298" s="3">
        <v>3296.08</v>
      </c>
      <c r="F298" s="4" t="str">
        <f>IF(campaignData[[#This Row],[Campaign]]="Old_Campaign", "A", "B")</f>
        <v>A</v>
      </c>
    </row>
    <row r="299" spans="1:6" x14ac:dyDescent="0.2">
      <c r="A299" s="1">
        <v>44345</v>
      </c>
      <c r="B299" s="5" t="s">
        <v>6</v>
      </c>
      <c r="C299" s="2">
        <v>1153</v>
      </c>
      <c r="D299" s="2">
        <v>259</v>
      </c>
      <c r="E299" s="3">
        <v>4346.95</v>
      </c>
      <c r="F299" s="4" t="str">
        <f>IF(campaignData[[#This Row],[Campaign]]="Old_Campaign", "A", "B")</f>
        <v>B</v>
      </c>
    </row>
    <row r="300" spans="1:6" x14ac:dyDescent="0.2">
      <c r="A300" s="1">
        <v>44346</v>
      </c>
      <c r="B300" s="5" t="s">
        <v>5</v>
      </c>
      <c r="C300" s="2">
        <v>1289</v>
      </c>
      <c r="D300" s="2">
        <v>235</v>
      </c>
      <c r="E300" s="3">
        <v>4087.39</v>
      </c>
      <c r="F300" s="4" t="str">
        <f>IF(campaignData[[#This Row],[Campaign]]="Old_Campaign", "A", "B")</f>
        <v>A</v>
      </c>
    </row>
    <row r="301" spans="1:6" x14ac:dyDescent="0.2">
      <c r="A301" s="1">
        <v>44346</v>
      </c>
      <c r="B301" s="5" t="s">
        <v>6</v>
      </c>
      <c r="C301" s="2">
        <v>1098</v>
      </c>
      <c r="D301" s="2">
        <v>249</v>
      </c>
      <c r="E301" s="3">
        <v>3905.05</v>
      </c>
      <c r="F301" s="4" t="str">
        <f>IF(campaignData[[#This Row],[Campaign]]="Old_Campaign", "A", "B")</f>
        <v>B</v>
      </c>
    </row>
    <row r="302" spans="1:6" x14ac:dyDescent="0.2">
      <c r="A302" s="1">
        <v>44347</v>
      </c>
      <c r="B302" s="5" t="s">
        <v>5</v>
      </c>
      <c r="C302" s="2">
        <v>1225</v>
      </c>
      <c r="D302" s="2">
        <v>237</v>
      </c>
      <c r="E302" s="3">
        <v>4252.33</v>
      </c>
      <c r="F302" s="4" t="str">
        <f>IF(campaignData[[#This Row],[Campaign]]="Old_Campaign", "A", "B")</f>
        <v>A</v>
      </c>
    </row>
    <row r="303" spans="1:6" x14ac:dyDescent="0.2">
      <c r="A303" s="1">
        <v>44347</v>
      </c>
      <c r="B303" s="5" t="s">
        <v>6</v>
      </c>
      <c r="C303" s="2">
        <v>1199</v>
      </c>
      <c r="D303" s="2">
        <v>254</v>
      </c>
      <c r="E303" s="3">
        <v>3957.66</v>
      </c>
      <c r="F303" s="4" t="str">
        <f>IF(campaignData[[#This Row],[Campaign]]="Old_Campaign", "A", "B")</f>
        <v>B</v>
      </c>
    </row>
    <row r="304" spans="1:6" x14ac:dyDescent="0.2">
      <c r="A304" s="1">
        <v>44348</v>
      </c>
      <c r="B304" s="5" t="s">
        <v>5</v>
      </c>
      <c r="C304" s="2">
        <v>1174</v>
      </c>
      <c r="D304" s="2">
        <v>202</v>
      </c>
      <c r="E304" s="3">
        <v>3901.55</v>
      </c>
      <c r="F304" s="4" t="str">
        <f>IF(campaignData[[#This Row],[Campaign]]="Old_Campaign", "A", "B")</f>
        <v>A</v>
      </c>
    </row>
    <row r="305" spans="1:6" x14ac:dyDescent="0.2">
      <c r="A305" s="1">
        <v>44348</v>
      </c>
      <c r="B305" s="5" t="s">
        <v>6</v>
      </c>
      <c r="C305" s="2">
        <v>1166</v>
      </c>
      <c r="D305" s="2">
        <v>278</v>
      </c>
      <c r="E305" s="3">
        <v>4111.22</v>
      </c>
      <c r="F305" s="4" t="str">
        <f>IF(campaignData[[#This Row],[Campaign]]="Old_Campaign", "A", "B")</f>
        <v>B</v>
      </c>
    </row>
    <row r="306" spans="1:6" x14ac:dyDescent="0.2">
      <c r="A306" s="1">
        <v>44349</v>
      </c>
      <c r="B306" s="5" t="s">
        <v>5</v>
      </c>
      <c r="C306" s="2">
        <v>1134</v>
      </c>
      <c r="D306" s="2">
        <v>202</v>
      </c>
      <c r="E306" s="3">
        <v>3843.41</v>
      </c>
      <c r="F306" s="4" t="str">
        <f>IF(campaignData[[#This Row],[Campaign]]="Old_Campaign", "A", "B")</f>
        <v>A</v>
      </c>
    </row>
    <row r="307" spans="1:6" x14ac:dyDescent="0.2">
      <c r="A307" s="1">
        <v>44349</v>
      </c>
      <c r="B307" s="5" t="s">
        <v>6</v>
      </c>
      <c r="C307" s="2">
        <v>1064</v>
      </c>
      <c r="D307" s="2">
        <v>230</v>
      </c>
      <c r="E307" s="3">
        <v>3742.81</v>
      </c>
      <c r="F307" s="4" t="str">
        <f>IF(campaignData[[#This Row],[Campaign]]="Old_Campaign", "A", "B")</f>
        <v>B</v>
      </c>
    </row>
    <row r="308" spans="1:6" x14ac:dyDescent="0.2">
      <c r="A308" s="1">
        <v>44350</v>
      </c>
      <c r="B308" s="5" t="s">
        <v>5</v>
      </c>
      <c r="C308" s="2">
        <v>1136</v>
      </c>
      <c r="D308" s="2">
        <v>223</v>
      </c>
      <c r="E308" s="3">
        <v>3880.38</v>
      </c>
      <c r="F308" s="4" t="str">
        <f>IF(campaignData[[#This Row],[Campaign]]="Old_Campaign", "A", "B")</f>
        <v>A</v>
      </c>
    </row>
    <row r="309" spans="1:6" x14ac:dyDescent="0.2">
      <c r="A309" s="1">
        <v>44350</v>
      </c>
      <c r="B309" s="5" t="s">
        <v>6</v>
      </c>
      <c r="C309" s="2">
        <v>1166</v>
      </c>
      <c r="D309" s="2">
        <v>273</v>
      </c>
      <c r="E309" s="3">
        <v>4009.34</v>
      </c>
      <c r="F309" s="4" t="str">
        <f>IF(campaignData[[#This Row],[Campaign]]="Old_Campaign", "A", "B")</f>
        <v>B</v>
      </c>
    </row>
    <row r="310" spans="1:6" x14ac:dyDescent="0.2">
      <c r="A310" s="1">
        <v>44351</v>
      </c>
      <c r="B310" s="5" t="s">
        <v>5</v>
      </c>
      <c r="C310" s="2">
        <v>1216</v>
      </c>
      <c r="D310" s="2">
        <v>241</v>
      </c>
      <c r="E310" s="3">
        <v>4095.09</v>
      </c>
      <c r="F310" s="4" t="str">
        <f>IF(campaignData[[#This Row],[Campaign]]="Old_Campaign", "A", "B")</f>
        <v>A</v>
      </c>
    </row>
    <row r="311" spans="1:6" x14ac:dyDescent="0.2">
      <c r="A311" s="1">
        <v>44351</v>
      </c>
      <c r="B311" s="5" t="s">
        <v>6</v>
      </c>
      <c r="C311" s="2">
        <v>1162</v>
      </c>
      <c r="D311" s="2">
        <v>272</v>
      </c>
      <c r="E311" s="3">
        <v>3940.3</v>
      </c>
      <c r="F311" s="4" t="str">
        <f>IF(campaignData[[#This Row],[Campaign]]="Old_Campaign", "A", "B")</f>
        <v>B</v>
      </c>
    </row>
    <row r="312" spans="1:6" x14ac:dyDescent="0.2">
      <c r="A312" s="1">
        <v>44352</v>
      </c>
      <c r="B312" s="5" t="s">
        <v>5</v>
      </c>
      <c r="C312" s="2">
        <v>1211</v>
      </c>
      <c r="D312" s="2">
        <v>242</v>
      </c>
      <c r="E312" s="3">
        <v>3318.54</v>
      </c>
      <c r="F312" s="4" t="str">
        <f>IF(campaignData[[#This Row],[Campaign]]="Old_Campaign", "A", "B")</f>
        <v>A</v>
      </c>
    </row>
    <row r="313" spans="1:6" x14ac:dyDescent="0.2">
      <c r="A313" s="1">
        <v>44352</v>
      </c>
      <c r="B313" s="5" t="s">
        <v>6</v>
      </c>
      <c r="C313" s="2">
        <v>1158</v>
      </c>
      <c r="D313" s="2">
        <v>262</v>
      </c>
      <c r="E313" s="3">
        <v>4678.1899999999996</v>
      </c>
      <c r="F313" s="4" t="str">
        <f>IF(campaignData[[#This Row],[Campaign]]="Old_Campaign", "A", "B")</f>
        <v>B</v>
      </c>
    </row>
    <row r="314" spans="1:6" x14ac:dyDescent="0.2">
      <c r="A314" s="1">
        <v>44353</v>
      </c>
      <c r="B314" s="5" t="s">
        <v>5</v>
      </c>
      <c r="C314" s="2">
        <v>1263</v>
      </c>
      <c r="D314" s="2">
        <v>244</v>
      </c>
      <c r="E314" s="3">
        <v>4663.43</v>
      </c>
      <c r="F314" s="4" t="str">
        <f>IF(campaignData[[#This Row],[Campaign]]="Old_Campaign", "A", "B")</f>
        <v>A</v>
      </c>
    </row>
    <row r="315" spans="1:6" x14ac:dyDescent="0.2">
      <c r="A315" s="1">
        <v>44353</v>
      </c>
      <c r="B315" s="5" t="s">
        <v>6</v>
      </c>
      <c r="C315" s="2">
        <v>1221</v>
      </c>
      <c r="D315" s="2">
        <v>281</v>
      </c>
      <c r="E315" s="3">
        <v>3876</v>
      </c>
      <c r="F315" s="4" t="str">
        <f>IF(campaignData[[#This Row],[Campaign]]="Old_Campaign", "A", "B")</f>
        <v>B</v>
      </c>
    </row>
    <row r="316" spans="1:6" x14ac:dyDescent="0.2">
      <c r="A316" s="1">
        <v>44354</v>
      </c>
      <c r="B316" s="5" t="s">
        <v>5</v>
      </c>
      <c r="C316" s="2">
        <v>1249</v>
      </c>
      <c r="D316" s="2">
        <v>227</v>
      </c>
      <c r="E316" s="3">
        <v>3329.13</v>
      </c>
      <c r="F316" s="4" t="str">
        <f>IF(campaignData[[#This Row],[Campaign]]="Old_Campaign", "A", "B")</f>
        <v>A</v>
      </c>
    </row>
    <row r="317" spans="1:6" x14ac:dyDescent="0.2">
      <c r="A317" s="1">
        <v>44354</v>
      </c>
      <c r="B317" s="5" t="s">
        <v>6</v>
      </c>
      <c r="C317" s="2">
        <v>1176</v>
      </c>
      <c r="D317" s="2">
        <v>262</v>
      </c>
      <c r="E317" s="3">
        <v>4340.07</v>
      </c>
      <c r="F317" s="4" t="str">
        <f>IF(campaignData[[#This Row],[Campaign]]="Old_Campaign", "A", "B")</f>
        <v>B</v>
      </c>
    </row>
    <row r="318" spans="1:6" x14ac:dyDescent="0.2">
      <c r="A318" s="1">
        <v>44355</v>
      </c>
      <c r="B318" s="5" t="s">
        <v>5</v>
      </c>
      <c r="C318" s="2">
        <v>1114</v>
      </c>
      <c r="D318" s="2">
        <v>198</v>
      </c>
      <c r="E318" s="3">
        <v>2760.67</v>
      </c>
      <c r="F318" s="4" t="str">
        <f>IF(campaignData[[#This Row],[Campaign]]="Old_Campaign", "A", "B")</f>
        <v>A</v>
      </c>
    </row>
    <row r="319" spans="1:6" x14ac:dyDescent="0.2">
      <c r="A319" s="1">
        <v>44355</v>
      </c>
      <c r="B319" s="5" t="s">
        <v>6</v>
      </c>
      <c r="C319" s="2">
        <v>1150</v>
      </c>
      <c r="D319" s="2">
        <v>252</v>
      </c>
      <c r="E319" s="3">
        <v>4327.53</v>
      </c>
      <c r="F319" s="4" t="str">
        <f>IF(campaignData[[#This Row],[Campaign]]="Old_Campaign", "A", "B")</f>
        <v>B</v>
      </c>
    </row>
    <row r="320" spans="1:6" x14ac:dyDescent="0.2">
      <c r="A320" s="1">
        <v>44356</v>
      </c>
      <c r="B320" s="5" t="s">
        <v>5</v>
      </c>
      <c r="C320" s="2">
        <v>1209</v>
      </c>
      <c r="D320" s="2">
        <v>226</v>
      </c>
      <c r="E320" s="3">
        <v>3730.51</v>
      </c>
      <c r="F320" s="4" t="str">
        <f>IF(campaignData[[#This Row],[Campaign]]="Old_Campaign", "A", "B")</f>
        <v>A</v>
      </c>
    </row>
    <row r="321" spans="1:6" x14ac:dyDescent="0.2">
      <c r="A321" s="1">
        <v>44356</v>
      </c>
      <c r="B321" s="5" t="s">
        <v>6</v>
      </c>
      <c r="C321" s="2">
        <v>1163</v>
      </c>
      <c r="D321" s="2">
        <v>261</v>
      </c>
      <c r="E321" s="3">
        <v>4374.96</v>
      </c>
      <c r="F321" s="4" t="str">
        <f>IF(campaignData[[#This Row],[Campaign]]="Old_Campaign", "A", "B")</f>
        <v>B</v>
      </c>
    </row>
    <row r="322" spans="1:6" x14ac:dyDescent="0.2">
      <c r="A322" s="1">
        <v>44357</v>
      </c>
      <c r="B322" s="5" t="s">
        <v>5</v>
      </c>
      <c r="C322" s="2">
        <v>1147</v>
      </c>
      <c r="D322" s="2">
        <v>221</v>
      </c>
      <c r="E322" s="3">
        <v>4053.1</v>
      </c>
      <c r="F322" s="4" t="str">
        <f>IF(campaignData[[#This Row],[Campaign]]="Old_Campaign", "A", "B")</f>
        <v>A</v>
      </c>
    </row>
    <row r="323" spans="1:6" x14ac:dyDescent="0.2">
      <c r="A323" s="1">
        <v>44357</v>
      </c>
      <c r="B323" s="5" t="s">
        <v>6</v>
      </c>
      <c r="C323" s="2">
        <v>1161</v>
      </c>
      <c r="D323" s="2">
        <v>260</v>
      </c>
      <c r="E323" s="3">
        <v>4365.2299999999996</v>
      </c>
      <c r="F323" s="4" t="str">
        <f>IF(campaignData[[#This Row],[Campaign]]="Old_Campaign", "A", "B")</f>
        <v>B</v>
      </c>
    </row>
    <row r="324" spans="1:6" x14ac:dyDescent="0.2">
      <c r="A324" s="1">
        <v>44358</v>
      </c>
      <c r="B324" s="5" t="s">
        <v>5</v>
      </c>
      <c r="C324" s="2">
        <v>1205</v>
      </c>
      <c r="D324" s="2">
        <v>224</v>
      </c>
      <c r="E324" s="3">
        <v>3008.37</v>
      </c>
      <c r="F324" s="4" t="str">
        <f>IF(campaignData[[#This Row],[Campaign]]="Old_Campaign", "A", "B")</f>
        <v>A</v>
      </c>
    </row>
    <row r="325" spans="1:6" x14ac:dyDescent="0.2">
      <c r="A325" s="1">
        <v>44358</v>
      </c>
      <c r="B325" s="5" t="s">
        <v>6</v>
      </c>
      <c r="C325" s="2">
        <v>1235</v>
      </c>
      <c r="D325" s="2">
        <v>294</v>
      </c>
      <c r="E325" s="3">
        <v>5085.1899999999996</v>
      </c>
      <c r="F325" s="4" t="str">
        <f>IF(campaignData[[#This Row],[Campaign]]="Old_Campaign", "A", "B")</f>
        <v>B</v>
      </c>
    </row>
    <row r="326" spans="1:6" x14ac:dyDescent="0.2">
      <c r="A326" s="1">
        <v>44359</v>
      </c>
      <c r="B326" s="5" t="s">
        <v>5</v>
      </c>
      <c r="C326" s="2">
        <v>1180</v>
      </c>
      <c r="D326" s="2">
        <v>223</v>
      </c>
      <c r="E326" s="3">
        <v>3445.21</v>
      </c>
      <c r="F326" s="4" t="str">
        <f>IF(campaignData[[#This Row],[Campaign]]="Old_Campaign", "A", "B")</f>
        <v>A</v>
      </c>
    </row>
    <row r="327" spans="1:6" x14ac:dyDescent="0.2">
      <c r="A327" s="1">
        <v>44359</v>
      </c>
      <c r="B327" s="5" t="s">
        <v>6</v>
      </c>
      <c r="C327" s="2">
        <v>1139</v>
      </c>
      <c r="D327" s="2">
        <v>243</v>
      </c>
      <c r="E327" s="3">
        <v>4341.24</v>
      </c>
      <c r="F327" s="4" t="str">
        <f>IF(campaignData[[#This Row],[Campaign]]="Old_Campaign", "A", "B")</f>
        <v>B</v>
      </c>
    </row>
    <row r="328" spans="1:6" x14ac:dyDescent="0.2">
      <c r="A328" s="1">
        <v>44360</v>
      </c>
      <c r="B328" s="5" t="s">
        <v>5</v>
      </c>
      <c r="C328" s="2">
        <v>1212</v>
      </c>
      <c r="D328" s="2">
        <v>232</v>
      </c>
      <c r="E328" s="3">
        <v>3223.94</v>
      </c>
      <c r="F328" s="4" t="str">
        <f>IF(campaignData[[#This Row],[Campaign]]="Old_Campaign", "A", "B")</f>
        <v>A</v>
      </c>
    </row>
    <row r="329" spans="1:6" x14ac:dyDescent="0.2">
      <c r="A329" s="1">
        <v>44360</v>
      </c>
      <c r="B329" s="5" t="s">
        <v>6</v>
      </c>
      <c r="C329" s="2">
        <v>1164</v>
      </c>
      <c r="D329" s="2">
        <v>276</v>
      </c>
      <c r="E329" s="3">
        <v>5828.13</v>
      </c>
      <c r="F329" s="4" t="str">
        <f>IF(campaignData[[#This Row],[Campaign]]="Old_Campaign", "A", "B")</f>
        <v>B</v>
      </c>
    </row>
    <row r="330" spans="1:6" x14ac:dyDescent="0.2">
      <c r="A330" s="1">
        <v>44361</v>
      </c>
      <c r="B330" s="5" t="s">
        <v>5</v>
      </c>
      <c r="C330" s="2">
        <v>1206</v>
      </c>
      <c r="D330" s="2">
        <v>218</v>
      </c>
      <c r="E330" s="3">
        <v>2913.27</v>
      </c>
      <c r="F330" s="4" t="str">
        <f>IF(campaignData[[#This Row],[Campaign]]="Old_Campaign", "A", "B")</f>
        <v>A</v>
      </c>
    </row>
    <row r="331" spans="1:6" x14ac:dyDescent="0.2">
      <c r="A331" s="1">
        <v>44361</v>
      </c>
      <c r="B331" s="5" t="s">
        <v>6</v>
      </c>
      <c r="C331" s="2">
        <v>1080</v>
      </c>
      <c r="D331" s="2">
        <v>262</v>
      </c>
      <c r="E331" s="3">
        <v>4190.2299999999996</v>
      </c>
      <c r="F331" s="4" t="str">
        <f>IF(campaignData[[#This Row],[Campaign]]="Old_Campaign", "A", "B")</f>
        <v>B</v>
      </c>
    </row>
    <row r="332" spans="1:6" x14ac:dyDescent="0.2">
      <c r="A332" s="1">
        <v>44362</v>
      </c>
      <c r="B332" s="5" t="s">
        <v>5</v>
      </c>
      <c r="C332" s="2">
        <v>1182</v>
      </c>
      <c r="D332" s="2">
        <v>222</v>
      </c>
      <c r="E332" s="3">
        <v>4001.97</v>
      </c>
      <c r="F332" s="4" t="str">
        <f>IF(campaignData[[#This Row],[Campaign]]="Old_Campaign", "A", "B")</f>
        <v>A</v>
      </c>
    </row>
    <row r="333" spans="1:6" x14ac:dyDescent="0.2">
      <c r="A333" s="1">
        <v>44362</v>
      </c>
      <c r="B333" s="5" t="s">
        <v>6</v>
      </c>
      <c r="C333" s="2">
        <v>1164</v>
      </c>
      <c r="D333" s="2">
        <v>272</v>
      </c>
      <c r="E333" s="3">
        <v>4695.16</v>
      </c>
      <c r="F333" s="4" t="str">
        <f>IF(campaignData[[#This Row],[Campaign]]="Old_Campaign", "A", "B")</f>
        <v>B</v>
      </c>
    </row>
    <row r="334" spans="1:6" x14ac:dyDescent="0.2">
      <c r="A334" s="1">
        <v>44363</v>
      </c>
      <c r="B334" s="5" t="s">
        <v>5</v>
      </c>
      <c r="C334" s="2">
        <v>1152</v>
      </c>
      <c r="D334" s="2">
        <v>230</v>
      </c>
      <c r="E334" s="3">
        <v>4316.91</v>
      </c>
      <c r="F334" s="4" t="str">
        <f>IF(campaignData[[#This Row],[Campaign]]="Old_Campaign", "A", "B")</f>
        <v>A</v>
      </c>
    </row>
    <row r="335" spans="1:6" x14ac:dyDescent="0.2">
      <c r="A335" s="1">
        <v>44363</v>
      </c>
      <c r="B335" s="5" t="s">
        <v>6</v>
      </c>
      <c r="C335" s="2">
        <v>1115</v>
      </c>
      <c r="D335" s="2">
        <v>269</v>
      </c>
      <c r="E335" s="3">
        <v>5134.2700000000004</v>
      </c>
      <c r="F335" s="4" t="str">
        <f>IF(campaignData[[#This Row],[Campaign]]="Old_Campaign", "A", "B")</f>
        <v>B</v>
      </c>
    </row>
    <row r="336" spans="1:6" x14ac:dyDescent="0.2">
      <c r="A336" s="1">
        <v>44364</v>
      </c>
      <c r="B336" s="5" t="s">
        <v>5</v>
      </c>
      <c r="C336" s="2">
        <v>1176</v>
      </c>
      <c r="D336" s="2">
        <v>211</v>
      </c>
      <c r="E336" s="3">
        <v>2968.33</v>
      </c>
      <c r="F336" s="4" t="str">
        <f>IF(campaignData[[#This Row],[Campaign]]="Old_Campaign", "A", "B")</f>
        <v>A</v>
      </c>
    </row>
    <row r="337" spans="1:6" x14ac:dyDescent="0.2">
      <c r="A337" s="1">
        <v>44364</v>
      </c>
      <c r="B337" s="5" t="s">
        <v>6</v>
      </c>
      <c r="C337" s="2">
        <v>1195</v>
      </c>
      <c r="D337" s="2">
        <v>260</v>
      </c>
      <c r="E337" s="3">
        <v>3330.75</v>
      </c>
      <c r="F337" s="4" t="str">
        <f>IF(campaignData[[#This Row],[Campaign]]="Old_Campaign", "A", "B")</f>
        <v>B</v>
      </c>
    </row>
    <row r="338" spans="1:6" x14ac:dyDescent="0.2">
      <c r="A338" s="1">
        <v>44365</v>
      </c>
      <c r="B338" s="5" t="s">
        <v>5</v>
      </c>
      <c r="C338" s="2">
        <v>1196</v>
      </c>
      <c r="D338" s="2">
        <v>230</v>
      </c>
      <c r="E338" s="3">
        <v>3437.34</v>
      </c>
      <c r="F338" s="4" t="str">
        <f>IF(campaignData[[#This Row],[Campaign]]="Old_Campaign", "A", "B")</f>
        <v>A</v>
      </c>
    </row>
    <row r="339" spans="1:6" x14ac:dyDescent="0.2">
      <c r="A339" s="1">
        <v>44365</v>
      </c>
      <c r="B339" s="5" t="s">
        <v>6</v>
      </c>
      <c r="C339" s="2">
        <v>1144</v>
      </c>
      <c r="D339" s="2">
        <v>258</v>
      </c>
      <c r="E339" s="3">
        <v>5042.4799999999996</v>
      </c>
      <c r="F339" s="4" t="str">
        <f>IF(campaignData[[#This Row],[Campaign]]="Old_Campaign", "A", "B")</f>
        <v>B</v>
      </c>
    </row>
    <row r="340" spans="1:6" x14ac:dyDescent="0.2">
      <c r="A340" s="1">
        <v>44366</v>
      </c>
      <c r="B340" s="5" t="s">
        <v>5</v>
      </c>
      <c r="C340" s="2">
        <v>1211</v>
      </c>
      <c r="D340" s="2">
        <v>224</v>
      </c>
      <c r="E340" s="3">
        <v>3315.13</v>
      </c>
      <c r="F340" s="4" t="str">
        <f>IF(campaignData[[#This Row],[Campaign]]="Old_Campaign", "A", "B")</f>
        <v>A</v>
      </c>
    </row>
    <row r="341" spans="1:6" x14ac:dyDescent="0.2">
      <c r="A341" s="1">
        <v>44366</v>
      </c>
      <c r="B341" s="5" t="s">
        <v>6</v>
      </c>
      <c r="C341" s="2">
        <v>1125</v>
      </c>
      <c r="D341" s="2">
        <v>281</v>
      </c>
      <c r="E341" s="3">
        <v>4381.54</v>
      </c>
      <c r="F341" s="4" t="str">
        <f>IF(campaignData[[#This Row],[Campaign]]="Old_Campaign", "A", "B")</f>
        <v>B</v>
      </c>
    </row>
    <row r="342" spans="1:6" x14ac:dyDescent="0.2">
      <c r="A342" s="1">
        <v>44367</v>
      </c>
      <c r="B342" s="5" t="s">
        <v>5</v>
      </c>
      <c r="C342" s="2">
        <v>1176</v>
      </c>
      <c r="D342" s="2">
        <v>221</v>
      </c>
      <c r="E342" s="3">
        <v>3305.56</v>
      </c>
      <c r="F342" s="4" t="str">
        <f>IF(campaignData[[#This Row],[Campaign]]="Old_Campaign", "A", "B")</f>
        <v>A</v>
      </c>
    </row>
    <row r="343" spans="1:6" x14ac:dyDescent="0.2">
      <c r="A343" s="1">
        <v>44367</v>
      </c>
      <c r="B343" s="5" t="s">
        <v>6</v>
      </c>
      <c r="C343" s="2">
        <v>1051</v>
      </c>
      <c r="D343" s="2">
        <v>264</v>
      </c>
      <c r="E343" s="3">
        <v>3829.47</v>
      </c>
      <c r="F343" s="4" t="str">
        <f>IF(campaignData[[#This Row],[Campaign]]="Old_Campaign", "A", "B")</f>
        <v>B</v>
      </c>
    </row>
    <row r="344" spans="1:6" x14ac:dyDescent="0.2">
      <c r="A344" s="1">
        <v>44368</v>
      </c>
      <c r="B344" s="5" t="s">
        <v>5</v>
      </c>
      <c r="C344" s="2">
        <v>1203</v>
      </c>
      <c r="D344" s="2">
        <v>218</v>
      </c>
      <c r="E344" s="3">
        <v>3299.21</v>
      </c>
      <c r="F344" s="4" t="str">
        <f>IF(campaignData[[#This Row],[Campaign]]="Old_Campaign", "A", "B")</f>
        <v>A</v>
      </c>
    </row>
    <row r="345" spans="1:6" x14ac:dyDescent="0.2">
      <c r="A345" s="1">
        <v>44368</v>
      </c>
      <c r="B345" s="5" t="s">
        <v>6</v>
      </c>
      <c r="C345" s="2">
        <v>1217</v>
      </c>
      <c r="D345" s="2">
        <v>291</v>
      </c>
      <c r="E345" s="3">
        <v>4956.28</v>
      </c>
      <c r="F345" s="4" t="str">
        <f>IF(campaignData[[#This Row],[Campaign]]="Old_Campaign", "A", "B")</f>
        <v>B</v>
      </c>
    </row>
    <row r="346" spans="1:6" x14ac:dyDescent="0.2">
      <c r="A346" s="1">
        <v>44369</v>
      </c>
      <c r="B346" s="5" t="s">
        <v>5</v>
      </c>
      <c r="C346" s="2">
        <v>1174</v>
      </c>
      <c r="D346" s="2">
        <v>216</v>
      </c>
      <c r="E346" s="3">
        <v>3441.5</v>
      </c>
      <c r="F346" s="4" t="str">
        <f>IF(campaignData[[#This Row],[Campaign]]="Old_Campaign", "A", "B")</f>
        <v>A</v>
      </c>
    </row>
    <row r="347" spans="1:6" x14ac:dyDescent="0.2">
      <c r="A347" s="1">
        <v>44369</v>
      </c>
      <c r="B347" s="5" t="s">
        <v>6</v>
      </c>
      <c r="C347" s="2">
        <v>1161</v>
      </c>
      <c r="D347" s="2">
        <v>268</v>
      </c>
      <c r="E347" s="3">
        <v>4268.8999999999996</v>
      </c>
      <c r="F347" s="4" t="str">
        <f>IF(campaignData[[#This Row],[Campaign]]="Old_Campaign", "A", "B")</f>
        <v>B</v>
      </c>
    </row>
    <row r="348" spans="1:6" x14ac:dyDescent="0.2">
      <c r="A348" s="1">
        <v>44370</v>
      </c>
      <c r="B348" s="5" t="s">
        <v>5</v>
      </c>
      <c r="C348" s="2">
        <v>1170</v>
      </c>
      <c r="D348" s="2">
        <v>235</v>
      </c>
      <c r="E348" s="3">
        <v>3047.56</v>
      </c>
      <c r="F348" s="4" t="str">
        <f>IF(campaignData[[#This Row],[Campaign]]="Old_Campaign", "A", "B")</f>
        <v>A</v>
      </c>
    </row>
    <row r="349" spans="1:6" x14ac:dyDescent="0.2">
      <c r="A349" s="1">
        <v>44370</v>
      </c>
      <c r="B349" s="5" t="s">
        <v>6</v>
      </c>
      <c r="C349" s="2">
        <v>1192</v>
      </c>
      <c r="D349" s="2">
        <v>257</v>
      </c>
      <c r="E349" s="3">
        <v>4143.7</v>
      </c>
      <c r="F349" s="4" t="str">
        <f>IF(campaignData[[#This Row],[Campaign]]="Old_Campaign", "A", "B")</f>
        <v>B</v>
      </c>
    </row>
    <row r="350" spans="1:6" x14ac:dyDescent="0.2">
      <c r="A350" s="1">
        <v>44371</v>
      </c>
      <c r="B350" s="5" t="s">
        <v>5</v>
      </c>
      <c r="C350" s="2">
        <v>1204</v>
      </c>
      <c r="D350" s="2">
        <v>234</v>
      </c>
      <c r="E350" s="3">
        <v>3714.31</v>
      </c>
      <c r="F350" s="4" t="str">
        <f>IF(campaignData[[#This Row],[Campaign]]="Old_Campaign", "A", "B")</f>
        <v>A</v>
      </c>
    </row>
    <row r="351" spans="1:6" x14ac:dyDescent="0.2">
      <c r="A351" s="1">
        <v>44371</v>
      </c>
      <c r="B351" s="5" t="s">
        <v>6</v>
      </c>
      <c r="C351" s="2">
        <v>1146</v>
      </c>
      <c r="D351" s="2">
        <v>275</v>
      </c>
      <c r="E351" s="3">
        <v>4897.16</v>
      </c>
      <c r="F351" s="4" t="str">
        <f>IF(campaignData[[#This Row],[Campaign]]="Old_Campaign", "A", "B")</f>
        <v>B</v>
      </c>
    </row>
    <row r="352" spans="1:6" x14ac:dyDescent="0.2">
      <c r="A352" s="1">
        <v>44372</v>
      </c>
      <c r="B352" s="5" t="s">
        <v>5</v>
      </c>
      <c r="C352" s="2">
        <v>1131</v>
      </c>
      <c r="D352" s="2">
        <v>197</v>
      </c>
      <c r="E352" s="3">
        <v>2700.49</v>
      </c>
      <c r="F352" s="4" t="str">
        <f>IF(campaignData[[#This Row],[Campaign]]="Old_Campaign", "A", "B")</f>
        <v>A</v>
      </c>
    </row>
    <row r="353" spans="1:6" x14ac:dyDescent="0.2">
      <c r="A353" s="1">
        <v>44372</v>
      </c>
      <c r="B353" s="5" t="s">
        <v>6</v>
      </c>
      <c r="C353" s="2">
        <v>1112</v>
      </c>
      <c r="D353" s="2">
        <v>248</v>
      </c>
      <c r="E353" s="3">
        <v>3571.6</v>
      </c>
      <c r="F353" s="4" t="str">
        <f>IF(campaignData[[#This Row],[Campaign]]="Old_Campaign", "A", "B")</f>
        <v>B</v>
      </c>
    </row>
    <row r="354" spans="1:6" x14ac:dyDescent="0.2">
      <c r="A354" s="1">
        <v>44373</v>
      </c>
      <c r="B354" s="5" t="s">
        <v>5</v>
      </c>
      <c r="C354" s="2">
        <v>1168</v>
      </c>
      <c r="D354" s="2">
        <v>220</v>
      </c>
      <c r="E354" s="3">
        <v>3688.57</v>
      </c>
      <c r="F354" s="4" t="str">
        <f>IF(campaignData[[#This Row],[Campaign]]="Old_Campaign", "A", "B")</f>
        <v>A</v>
      </c>
    </row>
    <row r="355" spans="1:6" x14ac:dyDescent="0.2">
      <c r="A355" s="1">
        <v>44373</v>
      </c>
      <c r="B355" s="5" t="s">
        <v>6</v>
      </c>
      <c r="C355" s="2">
        <v>1154</v>
      </c>
      <c r="D355" s="2">
        <v>251</v>
      </c>
      <c r="E355" s="3">
        <v>3976.93</v>
      </c>
      <c r="F355" s="4" t="str">
        <f>IF(campaignData[[#This Row],[Campaign]]="Old_Campaign", "A", "B")</f>
        <v>B</v>
      </c>
    </row>
    <row r="356" spans="1:6" x14ac:dyDescent="0.2">
      <c r="A356" s="1">
        <v>44374</v>
      </c>
      <c r="B356" s="5" t="s">
        <v>5</v>
      </c>
      <c r="C356" s="2">
        <v>1236</v>
      </c>
      <c r="D356" s="2">
        <v>229</v>
      </c>
      <c r="E356" s="3">
        <v>3856.01</v>
      </c>
      <c r="F356" s="4" t="str">
        <f>IF(campaignData[[#This Row],[Campaign]]="Old_Campaign", "A", "B")</f>
        <v>A</v>
      </c>
    </row>
    <row r="357" spans="1:6" x14ac:dyDescent="0.2">
      <c r="A357" s="1">
        <v>44374</v>
      </c>
      <c r="B357" s="5" t="s">
        <v>6</v>
      </c>
      <c r="C357" s="2">
        <v>1157</v>
      </c>
      <c r="D357" s="2">
        <v>291</v>
      </c>
      <c r="E357" s="3">
        <v>4267.1400000000003</v>
      </c>
      <c r="F357" s="4" t="str">
        <f>IF(campaignData[[#This Row],[Campaign]]="Old_Campaign", "A", "B")</f>
        <v>B</v>
      </c>
    </row>
    <row r="358" spans="1:6" x14ac:dyDescent="0.2">
      <c r="A358" s="1">
        <v>44375</v>
      </c>
      <c r="B358" s="5" t="s">
        <v>5</v>
      </c>
      <c r="C358" s="2">
        <v>1160</v>
      </c>
      <c r="D358" s="2">
        <v>222</v>
      </c>
      <c r="E358" s="3">
        <v>3181.36</v>
      </c>
      <c r="F358" s="4" t="str">
        <f>IF(campaignData[[#This Row],[Campaign]]="Old_Campaign", "A", "B")</f>
        <v>A</v>
      </c>
    </row>
    <row r="359" spans="1:6" x14ac:dyDescent="0.2">
      <c r="A359" s="1">
        <v>44375</v>
      </c>
      <c r="B359" s="5" t="s">
        <v>6</v>
      </c>
      <c r="C359" s="2">
        <v>1115</v>
      </c>
      <c r="D359" s="2">
        <v>229</v>
      </c>
      <c r="E359" s="3">
        <v>3479.13</v>
      </c>
      <c r="F359" s="4" t="str">
        <f>IF(campaignData[[#This Row],[Campaign]]="Old_Campaign", "A", "B")</f>
        <v>B</v>
      </c>
    </row>
    <row r="360" spans="1:6" x14ac:dyDescent="0.2">
      <c r="A360" s="1">
        <v>44376</v>
      </c>
      <c r="B360" s="5" t="s">
        <v>5</v>
      </c>
      <c r="C360" s="2">
        <v>1194</v>
      </c>
      <c r="D360" s="2">
        <v>207</v>
      </c>
      <c r="E360" s="3">
        <v>3115.03</v>
      </c>
      <c r="F360" s="4" t="str">
        <f>IF(campaignData[[#This Row],[Campaign]]="Old_Campaign", "A", "B")</f>
        <v>A</v>
      </c>
    </row>
    <row r="361" spans="1:6" x14ac:dyDescent="0.2">
      <c r="A361" s="1">
        <v>44376</v>
      </c>
      <c r="B361" s="5" t="s">
        <v>6</v>
      </c>
      <c r="C361" s="2">
        <v>1163</v>
      </c>
      <c r="D361" s="2">
        <v>286</v>
      </c>
      <c r="E361" s="3">
        <v>5383.79</v>
      </c>
      <c r="F361" s="4" t="str">
        <f>IF(campaignData[[#This Row],[Campaign]]="Old_Campaign", "A", "B")</f>
        <v>B</v>
      </c>
    </row>
    <row r="362" spans="1:6" x14ac:dyDescent="0.2">
      <c r="A362" s="1">
        <v>44377</v>
      </c>
      <c r="B362" s="5" t="s">
        <v>5</v>
      </c>
      <c r="C362" s="2">
        <v>1161</v>
      </c>
      <c r="D362" s="2">
        <v>229</v>
      </c>
      <c r="E362" s="3">
        <v>3700.47</v>
      </c>
      <c r="F362" s="4" t="str">
        <f>IF(campaignData[[#This Row],[Campaign]]="Old_Campaign", "A", "B")</f>
        <v>A</v>
      </c>
    </row>
    <row r="363" spans="1:6" x14ac:dyDescent="0.2">
      <c r="A363" s="1">
        <v>44377</v>
      </c>
      <c r="B363" s="5" t="s">
        <v>6</v>
      </c>
      <c r="C363" s="2">
        <v>1091</v>
      </c>
      <c r="D363" s="2">
        <v>236</v>
      </c>
      <c r="E363" s="3">
        <v>3929.78</v>
      </c>
      <c r="F363" s="4" t="str">
        <f>IF(campaignData[[#This Row],[Campaign]]="Old_Campaign", "A", "B")</f>
        <v>B</v>
      </c>
    </row>
    <row r="364" spans="1:6" x14ac:dyDescent="0.2">
      <c r="A364" s="1">
        <v>44378</v>
      </c>
      <c r="B364" s="5" t="s">
        <v>5</v>
      </c>
      <c r="C364" s="2">
        <v>1236</v>
      </c>
      <c r="D364" s="2">
        <v>221</v>
      </c>
      <c r="E364" s="3">
        <v>3897.16</v>
      </c>
      <c r="F364" s="4" t="str">
        <f>IF(campaignData[[#This Row],[Campaign]]="Old_Campaign", "A", "B")</f>
        <v>A</v>
      </c>
    </row>
    <row r="365" spans="1:6" x14ac:dyDescent="0.2">
      <c r="A365" s="1">
        <v>44378</v>
      </c>
      <c r="B365" s="5" t="s">
        <v>6</v>
      </c>
      <c r="C365" s="2">
        <v>1146</v>
      </c>
      <c r="D365" s="2">
        <v>261</v>
      </c>
      <c r="E365" s="3">
        <v>4114.37</v>
      </c>
      <c r="F365" s="4" t="str">
        <f>IF(campaignData[[#This Row],[Campaign]]="Old_Campaign", "A", "B")</f>
        <v>B</v>
      </c>
    </row>
    <row r="366" spans="1:6" x14ac:dyDescent="0.2">
      <c r="A366" s="1">
        <v>44379</v>
      </c>
      <c r="B366" s="5" t="s">
        <v>5</v>
      </c>
      <c r="C366" s="2">
        <v>1183</v>
      </c>
      <c r="D366" s="2">
        <v>222</v>
      </c>
      <c r="E366" s="3">
        <v>3156.06</v>
      </c>
      <c r="F366" s="4" t="str">
        <f>IF(campaignData[[#This Row],[Campaign]]="Old_Campaign", "A", "B")</f>
        <v>A</v>
      </c>
    </row>
    <row r="367" spans="1:6" x14ac:dyDescent="0.2">
      <c r="A367" s="1">
        <v>44379</v>
      </c>
      <c r="B367" s="5" t="s">
        <v>6</v>
      </c>
      <c r="C367" s="2">
        <v>1145</v>
      </c>
      <c r="D367" s="2">
        <v>273</v>
      </c>
      <c r="E367" s="3">
        <v>3864.36</v>
      </c>
      <c r="F367" s="4" t="str">
        <f>IF(campaignData[[#This Row],[Campaign]]="Old_Campaign", "A", "B")</f>
        <v>B</v>
      </c>
    </row>
    <row r="368" spans="1:6" x14ac:dyDescent="0.2">
      <c r="A368" s="1">
        <v>44380</v>
      </c>
      <c r="B368" s="5" t="s">
        <v>5</v>
      </c>
      <c r="C368" s="2">
        <v>1185</v>
      </c>
      <c r="D368" s="2">
        <v>219</v>
      </c>
      <c r="E368" s="3">
        <v>2889.18</v>
      </c>
      <c r="F368" s="4" t="str">
        <f>IF(campaignData[[#This Row],[Campaign]]="Old_Campaign", "A", "B")</f>
        <v>A</v>
      </c>
    </row>
    <row r="369" spans="1:6" x14ac:dyDescent="0.2">
      <c r="A369" s="1">
        <v>44380</v>
      </c>
      <c r="B369" s="5" t="s">
        <v>6</v>
      </c>
      <c r="C369" s="2">
        <v>1167</v>
      </c>
      <c r="D369" s="2">
        <v>245</v>
      </c>
      <c r="E369" s="3">
        <v>4078.94</v>
      </c>
      <c r="F369" s="4" t="str">
        <f>IF(campaignData[[#This Row],[Campaign]]="Old_Campaign", "A", "B")</f>
        <v>B</v>
      </c>
    </row>
    <row r="370" spans="1:6" x14ac:dyDescent="0.2">
      <c r="A370" s="1">
        <v>44381</v>
      </c>
      <c r="B370" s="5" t="s">
        <v>5</v>
      </c>
      <c r="C370" s="2">
        <v>1163</v>
      </c>
      <c r="D370" s="2">
        <v>209</v>
      </c>
      <c r="E370" s="3">
        <v>3499.2</v>
      </c>
      <c r="F370" s="4" t="str">
        <f>IF(campaignData[[#This Row],[Campaign]]="Old_Campaign", "A", "B")</f>
        <v>A</v>
      </c>
    </row>
    <row r="371" spans="1:6" x14ac:dyDescent="0.2">
      <c r="A371" s="1">
        <v>44381</v>
      </c>
      <c r="B371" s="5" t="s">
        <v>6</v>
      </c>
      <c r="C371" s="2">
        <v>1169</v>
      </c>
      <c r="D371" s="2">
        <v>276</v>
      </c>
      <c r="E371" s="3">
        <v>3673.02</v>
      </c>
      <c r="F371" s="4" t="str">
        <f>IF(campaignData[[#This Row],[Campaign]]="Old_Campaign", "A", "B")</f>
        <v>B</v>
      </c>
    </row>
    <row r="372" spans="1:6" x14ac:dyDescent="0.2">
      <c r="A372" s="1">
        <v>44382</v>
      </c>
      <c r="B372" s="5" t="s">
        <v>5</v>
      </c>
      <c r="C372" s="2">
        <v>1215</v>
      </c>
      <c r="D372" s="2">
        <v>218</v>
      </c>
      <c r="E372" s="3">
        <v>3563.24</v>
      </c>
      <c r="F372" s="4" t="str">
        <f>IF(campaignData[[#This Row],[Campaign]]="Old_Campaign", "A", "B")</f>
        <v>A</v>
      </c>
    </row>
    <row r="373" spans="1:6" x14ac:dyDescent="0.2">
      <c r="A373" s="1">
        <v>44382</v>
      </c>
      <c r="B373" s="5" t="s">
        <v>6</v>
      </c>
      <c r="C373" s="2">
        <v>1102</v>
      </c>
      <c r="D373" s="2">
        <v>249</v>
      </c>
      <c r="E373" s="3">
        <v>4930.1400000000003</v>
      </c>
      <c r="F373" s="4" t="str">
        <f>IF(campaignData[[#This Row],[Campaign]]="Old_Campaign", "A", "B")</f>
        <v>B</v>
      </c>
    </row>
    <row r="374" spans="1:6" x14ac:dyDescent="0.2">
      <c r="A374" s="1">
        <v>44383</v>
      </c>
      <c r="B374" s="5" t="s">
        <v>5</v>
      </c>
      <c r="C374" s="2">
        <v>1205</v>
      </c>
      <c r="D374" s="2">
        <v>271</v>
      </c>
      <c r="E374" s="3">
        <v>3774.85</v>
      </c>
      <c r="F374" s="4" t="str">
        <f>IF(campaignData[[#This Row],[Campaign]]="Old_Campaign", "A", "B")</f>
        <v>A</v>
      </c>
    </row>
    <row r="375" spans="1:6" x14ac:dyDescent="0.2">
      <c r="A375" s="1">
        <v>44383</v>
      </c>
      <c r="B375" s="5" t="s">
        <v>6</v>
      </c>
      <c r="C375" s="2">
        <v>1175</v>
      </c>
      <c r="D375" s="2">
        <v>258</v>
      </c>
      <c r="E375" s="3">
        <v>4081.28</v>
      </c>
      <c r="F375" s="4" t="str">
        <f>IF(campaignData[[#This Row],[Campaign]]="Old_Campaign", "A", "B")</f>
        <v>B</v>
      </c>
    </row>
    <row r="376" spans="1:6" x14ac:dyDescent="0.2">
      <c r="A376" s="1">
        <v>44384</v>
      </c>
      <c r="B376" s="5" t="s">
        <v>5</v>
      </c>
      <c r="C376" s="2">
        <v>1178</v>
      </c>
      <c r="D376" s="2">
        <v>200</v>
      </c>
      <c r="E376" s="3">
        <v>2625.82</v>
      </c>
      <c r="F376" s="4" t="str">
        <f>IF(campaignData[[#This Row],[Campaign]]="Old_Campaign", "A", "B")</f>
        <v>A</v>
      </c>
    </row>
    <row r="377" spans="1:6" x14ac:dyDescent="0.2">
      <c r="A377" s="1">
        <v>44384</v>
      </c>
      <c r="B377" s="5" t="s">
        <v>6</v>
      </c>
      <c r="C377" s="2">
        <v>1187</v>
      </c>
      <c r="D377" s="2">
        <v>290</v>
      </c>
      <c r="E377" s="3">
        <v>5269.87</v>
      </c>
      <c r="F377" s="4" t="str">
        <f>IF(campaignData[[#This Row],[Campaign]]="Old_Campaign", "A", "B")</f>
        <v>B</v>
      </c>
    </row>
    <row r="378" spans="1:6" x14ac:dyDescent="0.2">
      <c r="A378" s="1">
        <v>44385</v>
      </c>
      <c r="B378" s="5" t="s">
        <v>5</v>
      </c>
      <c r="C378" s="2">
        <v>1221</v>
      </c>
      <c r="D378" s="2">
        <v>230</v>
      </c>
      <c r="E378" s="3">
        <v>3441.07</v>
      </c>
      <c r="F378" s="4" t="str">
        <f>IF(campaignData[[#This Row],[Campaign]]="Old_Campaign", "A", "B")</f>
        <v>A</v>
      </c>
    </row>
    <row r="379" spans="1:6" x14ac:dyDescent="0.2">
      <c r="A379" s="1">
        <v>44385</v>
      </c>
      <c r="B379" s="5" t="s">
        <v>6</v>
      </c>
      <c r="C379" s="2">
        <v>1130</v>
      </c>
      <c r="D379" s="2">
        <v>264</v>
      </c>
      <c r="E379" s="3">
        <v>4063.92</v>
      </c>
      <c r="F379" s="4" t="str">
        <f>IF(campaignData[[#This Row],[Campaign]]="Old_Campaign", "A", "B")</f>
        <v>B</v>
      </c>
    </row>
    <row r="380" spans="1:6" x14ac:dyDescent="0.2">
      <c r="A380" s="1">
        <v>44386</v>
      </c>
      <c r="B380" s="5" t="s">
        <v>5</v>
      </c>
      <c r="C380" s="2">
        <v>1226</v>
      </c>
      <c r="D380" s="2">
        <v>253</v>
      </c>
      <c r="E380" s="3">
        <v>3742.15</v>
      </c>
      <c r="F380" s="4" t="str">
        <f>IF(campaignData[[#This Row],[Campaign]]="Old_Campaign", "A", "B")</f>
        <v>A</v>
      </c>
    </row>
    <row r="381" spans="1:6" x14ac:dyDescent="0.2">
      <c r="A381" s="1">
        <v>44386</v>
      </c>
      <c r="B381" s="5" t="s">
        <v>6</v>
      </c>
      <c r="C381" s="2">
        <v>1181</v>
      </c>
      <c r="D381" s="2">
        <v>268</v>
      </c>
      <c r="E381" s="3">
        <v>4197.51</v>
      </c>
      <c r="F381" s="4" t="str">
        <f>IF(campaignData[[#This Row],[Campaign]]="Old_Campaign", "A", "B")</f>
        <v>B</v>
      </c>
    </row>
    <row r="382" spans="1:6" x14ac:dyDescent="0.2">
      <c r="A382" s="1">
        <v>44387</v>
      </c>
      <c r="B382" s="5" t="s">
        <v>5</v>
      </c>
      <c r="C382" s="2">
        <v>1242</v>
      </c>
      <c r="D382" s="2">
        <v>217</v>
      </c>
      <c r="E382" s="3">
        <v>2852.53</v>
      </c>
      <c r="F382" s="4" t="str">
        <f>IF(campaignData[[#This Row],[Campaign]]="Old_Campaign", "A", "B")</f>
        <v>A</v>
      </c>
    </row>
    <row r="383" spans="1:6" x14ac:dyDescent="0.2">
      <c r="A383" s="1">
        <v>44387</v>
      </c>
      <c r="B383" s="5" t="s">
        <v>6</v>
      </c>
      <c r="C383" s="2">
        <v>1097</v>
      </c>
      <c r="D383" s="2">
        <v>262</v>
      </c>
      <c r="E383" s="3">
        <v>4316.91</v>
      </c>
      <c r="F383" s="4" t="str">
        <f>IF(campaignData[[#This Row],[Campaign]]="Old_Campaign", "A", "B")</f>
        <v>B</v>
      </c>
    </row>
    <row r="384" spans="1:6" x14ac:dyDescent="0.2">
      <c r="A384" s="1">
        <v>44388</v>
      </c>
      <c r="B384" s="5" t="s">
        <v>5</v>
      </c>
      <c r="C384" s="2">
        <v>1181</v>
      </c>
      <c r="D384" s="2">
        <v>244</v>
      </c>
      <c r="E384" s="3">
        <v>4446.79</v>
      </c>
      <c r="F384" s="4" t="str">
        <f>IF(campaignData[[#This Row],[Campaign]]="Old_Campaign", "A", "B")</f>
        <v>A</v>
      </c>
    </row>
    <row r="385" spans="1:6" x14ac:dyDescent="0.2">
      <c r="A385" s="1">
        <v>44388</v>
      </c>
      <c r="B385" s="5" t="s">
        <v>6</v>
      </c>
      <c r="C385" s="2">
        <v>1159</v>
      </c>
      <c r="D385" s="2">
        <v>262</v>
      </c>
      <c r="E385" s="3">
        <v>4881.0200000000004</v>
      </c>
      <c r="F385" s="4" t="str">
        <f>IF(campaignData[[#This Row],[Campaign]]="Old_Campaign", "A", "B")</f>
        <v>B</v>
      </c>
    </row>
    <row r="386" spans="1:6" x14ac:dyDescent="0.2">
      <c r="A386" s="1">
        <v>44389</v>
      </c>
      <c r="B386" s="5" t="s">
        <v>5</v>
      </c>
      <c r="C386" s="2">
        <v>1149</v>
      </c>
      <c r="D386" s="2">
        <v>221</v>
      </c>
      <c r="E386" s="3">
        <v>3369.46</v>
      </c>
      <c r="F386" s="4" t="str">
        <f>IF(campaignData[[#This Row],[Campaign]]="Old_Campaign", "A", "B")</f>
        <v>A</v>
      </c>
    </row>
    <row r="387" spans="1:6" x14ac:dyDescent="0.2">
      <c r="A387" s="1">
        <v>44389</v>
      </c>
      <c r="B387" s="5" t="s">
        <v>6</v>
      </c>
      <c r="C387" s="2">
        <v>1175</v>
      </c>
      <c r="D387" s="2">
        <v>295</v>
      </c>
      <c r="E387" s="3">
        <v>5045.38</v>
      </c>
      <c r="F387" s="4" t="str">
        <f>IF(campaignData[[#This Row],[Campaign]]="Old_Campaign", "A", "B")</f>
        <v>B</v>
      </c>
    </row>
    <row r="388" spans="1:6" x14ac:dyDescent="0.2">
      <c r="A388" s="1">
        <v>44390</v>
      </c>
      <c r="B388" s="5" t="s">
        <v>5</v>
      </c>
      <c r="C388" s="2">
        <v>1174</v>
      </c>
      <c r="D388" s="2">
        <v>241</v>
      </c>
      <c r="E388" s="3">
        <v>3408.08</v>
      </c>
      <c r="F388" s="4" t="str">
        <f>IF(campaignData[[#This Row],[Campaign]]="Old_Campaign", "A", "B")</f>
        <v>A</v>
      </c>
    </row>
    <row r="389" spans="1:6" x14ac:dyDescent="0.2">
      <c r="A389" s="1">
        <v>44390</v>
      </c>
      <c r="B389" s="5" t="s">
        <v>6</v>
      </c>
      <c r="C389" s="2">
        <v>1148</v>
      </c>
      <c r="D389" s="2">
        <v>282</v>
      </c>
      <c r="E389" s="3">
        <v>4121.47</v>
      </c>
      <c r="F389" s="4" t="str">
        <f>IF(campaignData[[#This Row],[Campaign]]="Old_Campaign", "A", "B")</f>
        <v>B</v>
      </c>
    </row>
    <row r="390" spans="1:6" x14ac:dyDescent="0.2">
      <c r="A390" s="1">
        <v>44391</v>
      </c>
      <c r="B390" s="5" t="s">
        <v>5</v>
      </c>
      <c r="C390" s="2">
        <v>1168</v>
      </c>
      <c r="D390" s="2">
        <v>222</v>
      </c>
      <c r="E390" s="3">
        <v>3192.71</v>
      </c>
      <c r="F390" s="4" t="str">
        <f>IF(campaignData[[#This Row],[Campaign]]="Old_Campaign", "A", "B")</f>
        <v>A</v>
      </c>
    </row>
    <row r="391" spans="1:6" x14ac:dyDescent="0.2">
      <c r="A391" s="1">
        <v>44391</v>
      </c>
      <c r="B391" s="5" t="s">
        <v>6</v>
      </c>
      <c r="C391" s="2">
        <v>1183</v>
      </c>
      <c r="D391" s="2">
        <v>286</v>
      </c>
      <c r="E391" s="3">
        <v>4145.7700000000004</v>
      </c>
      <c r="F391" s="4" t="str">
        <f>IF(campaignData[[#This Row],[Campaign]]="Old_Campaign", "A", "B")</f>
        <v>B</v>
      </c>
    </row>
    <row r="392" spans="1:6" x14ac:dyDescent="0.2">
      <c r="A392" s="1">
        <v>44392</v>
      </c>
      <c r="B392" s="5" t="s">
        <v>5</v>
      </c>
      <c r="C392" s="2">
        <v>1265</v>
      </c>
      <c r="D392" s="2">
        <v>227</v>
      </c>
      <c r="E392" s="3">
        <v>3260.15</v>
      </c>
      <c r="F392" s="4" t="str">
        <f>IF(campaignData[[#This Row],[Campaign]]="Old_Campaign", "A", "B")</f>
        <v>A</v>
      </c>
    </row>
    <row r="393" spans="1:6" x14ac:dyDescent="0.2">
      <c r="A393" s="1">
        <v>44392</v>
      </c>
      <c r="B393" s="5" t="s">
        <v>6</v>
      </c>
      <c r="C393" s="2">
        <v>1151</v>
      </c>
      <c r="D393" s="2">
        <v>265</v>
      </c>
      <c r="E393" s="3">
        <v>3818.11</v>
      </c>
      <c r="F393" s="4" t="str">
        <f>IF(campaignData[[#This Row],[Campaign]]="Old_Campaign", "A", "B")</f>
        <v>B</v>
      </c>
    </row>
    <row r="394" spans="1:6" x14ac:dyDescent="0.2">
      <c r="A394" s="1">
        <v>44393</v>
      </c>
      <c r="B394" s="5" t="s">
        <v>5</v>
      </c>
      <c r="C394" s="2">
        <v>1176</v>
      </c>
      <c r="D394" s="2">
        <v>229</v>
      </c>
      <c r="E394" s="3">
        <v>3557.34</v>
      </c>
      <c r="F394" s="4" t="str">
        <f>IF(campaignData[[#This Row],[Campaign]]="Old_Campaign", "A", "B")</f>
        <v>A</v>
      </c>
    </row>
    <row r="395" spans="1:6" x14ac:dyDescent="0.2">
      <c r="A395" s="1">
        <v>44393</v>
      </c>
      <c r="B395" s="5" t="s">
        <v>6</v>
      </c>
      <c r="C395" s="2">
        <v>1160</v>
      </c>
      <c r="D395" s="2">
        <v>273</v>
      </c>
      <c r="E395" s="3">
        <v>4645.76</v>
      </c>
      <c r="F395" s="4" t="str">
        <f>IF(campaignData[[#This Row],[Campaign]]="Old_Campaign", "A", "B")</f>
        <v>B</v>
      </c>
    </row>
    <row r="396" spans="1:6" x14ac:dyDescent="0.2">
      <c r="A396" s="1">
        <v>44394</v>
      </c>
      <c r="B396" s="5" t="s">
        <v>5</v>
      </c>
      <c r="C396" s="2">
        <v>1214</v>
      </c>
      <c r="D396" s="2">
        <v>239</v>
      </c>
      <c r="E396" s="3">
        <v>4355.6400000000003</v>
      </c>
      <c r="F396" s="4" t="str">
        <f>IF(campaignData[[#This Row],[Campaign]]="Old_Campaign", "A", "B")</f>
        <v>A</v>
      </c>
    </row>
    <row r="397" spans="1:6" x14ac:dyDescent="0.2">
      <c r="A397" s="1">
        <v>44394</v>
      </c>
      <c r="B397" s="5" t="s">
        <v>6</v>
      </c>
      <c r="C397" s="2">
        <v>1102</v>
      </c>
      <c r="D397" s="2">
        <v>262</v>
      </c>
      <c r="E397" s="3">
        <v>4661.9399999999996</v>
      </c>
      <c r="F397" s="4" t="str">
        <f>IF(campaignData[[#This Row],[Campaign]]="Old_Campaign", "A", "B")</f>
        <v>B</v>
      </c>
    </row>
    <row r="398" spans="1:6" x14ac:dyDescent="0.2">
      <c r="A398" s="1">
        <v>44395</v>
      </c>
      <c r="B398" s="5" t="s">
        <v>5</v>
      </c>
      <c r="C398" s="2">
        <v>1153</v>
      </c>
      <c r="D398" s="2">
        <v>214</v>
      </c>
      <c r="E398" s="3">
        <v>3113.76</v>
      </c>
      <c r="F398" s="4" t="str">
        <f>IF(campaignData[[#This Row],[Campaign]]="Old_Campaign", "A", "B")</f>
        <v>A</v>
      </c>
    </row>
    <row r="399" spans="1:6" x14ac:dyDescent="0.2">
      <c r="A399" s="1">
        <v>44395</v>
      </c>
      <c r="B399" s="5" t="s">
        <v>6</v>
      </c>
      <c r="C399" s="2">
        <v>1220</v>
      </c>
      <c r="D399" s="2">
        <v>256</v>
      </c>
      <c r="E399" s="3">
        <v>3763.2</v>
      </c>
      <c r="F399" s="4" t="str">
        <f>IF(campaignData[[#This Row],[Campaign]]="Old_Campaign", "A", "B")</f>
        <v>B</v>
      </c>
    </row>
    <row r="400" spans="1:6" x14ac:dyDescent="0.2">
      <c r="A400" s="1">
        <v>44396</v>
      </c>
      <c r="B400" s="5" t="s">
        <v>5</v>
      </c>
      <c r="C400" s="2">
        <v>1209</v>
      </c>
      <c r="D400" s="2">
        <v>231</v>
      </c>
      <c r="E400" s="3">
        <v>3905.35</v>
      </c>
      <c r="F400" s="4" t="str">
        <f>IF(campaignData[[#This Row],[Campaign]]="Old_Campaign", "A", "B")</f>
        <v>A</v>
      </c>
    </row>
    <row r="401" spans="1:6" x14ac:dyDescent="0.2">
      <c r="A401" s="1">
        <v>44396</v>
      </c>
      <c r="B401" s="5" t="s">
        <v>6</v>
      </c>
      <c r="C401" s="2">
        <v>1173</v>
      </c>
      <c r="D401" s="2">
        <v>293</v>
      </c>
      <c r="E401" s="3">
        <v>4856.25</v>
      </c>
      <c r="F401" s="4" t="str">
        <f>IF(campaignData[[#This Row],[Campaign]]="Old_Campaign", "A", "B")</f>
        <v>B</v>
      </c>
    </row>
    <row r="402" spans="1:6" x14ac:dyDescent="0.2">
      <c r="A402" s="1">
        <v>44397</v>
      </c>
      <c r="B402" s="5" t="s">
        <v>5</v>
      </c>
      <c r="C402" s="2">
        <v>1203</v>
      </c>
      <c r="D402" s="2">
        <v>217</v>
      </c>
      <c r="E402" s="3">
        <v>3199.21</v>
      </c>
      <c r="F402" s="4" t="str">
        <f>IF(campaignData[[#This Row],[Campaign]]="Old_Campaign", "A", "B")</f>
        <v>A</v>
      </c>
    </row>
    <row r="403" spans="1:6" x14ac:dyDescent="0.2">
      <c r="A403" s="1">
        <v>44397</v>
      </c>
      <c r="B403" s="5" t="s">
        <v>6</v>
      </c>
      <c r="C403" s="2">
        <v>1157</v>
      </c>
      <c r="D403" s="2">
        <v>256</v>
      </c>
      <c r="E403" s="3">
        <v>3132.49</v>
      </c>
      <c r="F403" s="4" t="str">
        <f>IF(campaignData[[#This Row],[Campaign]]="Old_Campaign", "A", "B")</f>
        <v>B</v>
      </c>
    </row>
    <row r="404" spans="1:6" x14ac:dyDescent="0.2">
      <c r="A404" s="1">
        <v>44398</v>
      </c>
      <c r="B404" s="5" t="s">
        <v>5</v>
      </c>
      <c r="C404" s="2">
        <v>1184</v>
      </c>
      <c r="D404" s="2">
        <v>209</v>
      </c>
      <c r="E404" s="3">
        <v>2636.06</v>
      </c>
      <c r="F404" s="4" t="str">
        <f>IF(campaignData[[#This Row],[Campaign]]="Old_Campaign", "A", "B")</f>
        <v>A</v>
      </c>
    </row>
    <row r="405" spans="1:6" x14ac:dyDescent="0.2">
      <c r="A405" s="1">
        <v>44398</v>
      </c>
      <c r="B405" s="5" t="s">
        <v>6</v>
      </c>
      <c r="C405" s="2">
        <v>1130</v>
      </c>
      <c r="D405" s="2">
        <v>257</v>
      </c>
      <c r="E405" s="3">
        <v>4584.45</v>
      </c>
      <c r="F405" s="4" t="str">
        <f>IF(campaignData[[#This Row],[Campaign]]="Old_Campaign", "A", "B")</f>
        <v>B</v>
      </c>
    </row>
    <row r="406" spans="1:6" x14ac:dyDescent="0.2">
      <c r="A406" s="1">
        <v>44399</v>
      </c>
      <c r="B406" s="5" t="s">
        <v>5</v>
      </c>
      <c r="C406" s="2">
        <v>1236</v>
      </c>
      <c r="D406" s="2">
        <v>260</v>
      </c>
      <c r="E406" s="3">
        <v>4312.6099999999997</v>
      </c>
      <c r="F406" s="4" t="str">
        <f>IF(campaignData[[#This Row],[Campaign]]="Old_Campaign", "A", "B")</f>
        <v>A</v>
      </c>
    </row>
    <row r="407" spans="1:6" x14ac:dyDescent="0.2">
      <c r="A407" s="1">
        <v>44399</v>
      </c>
      <c r="B407" s="5" t="s">
        <v>6</v>
      </c>
      <c r="C407" s="2">
        <v>1137</v>
      </c>
      <c r="D407" s="2">
        <v>272</v>
      </c>
      <c r="E407" s="3">
        <v>3400.8</v>
      </c>
      <c r="F407" s="4" t="str">
        <f>IF(campaignData[[#This Row],[Campaign]]="Old_Campaign", "A", "B")</f>
        <v>B</v>
      </c>
    </row>
    <row r="408" spans="1:6" x14ac:dyDescent="0.2">
      <c r="A408" s="1">
        <v>44400</v>
      </c>
      <c r="B408" s="5" t="s">
        <v>5</v>
      </c>
      <c r="C408" s="2">
        <v>1193</v>
      </c>
      <c r="D408" s="2">
        <v>246</v>
      </c>
      <c r="E408" s="3">
        <v>4334.67</v>
      </c>
      <c r="F408" s="4" t="str">
        <f>IF(campaignData[[#This Row],[Campaign]]="Old_Campaign", "A", "B")</f>
        <v>A</v>
      </c>
    </row>
    <row r="409" spans="1:6" x14ac:dyDescent="0.2">
      <c r="A409" s="1">
        <v>44400</v>
      </c>
      <c r="B409" s="5" t="s">
        <v>6</v>
      </c>
      <c r="C409" s="2">
        <v>1134</v>
      </c>
      <c r="D409" s="2">
        <v>270</v>
      </c>
      <c r="E409" s="3">
        <v>5073.67</v>
      </c>
      <c r="F409" s="4" t="str">
        <f>IF(campaignData[[#This Row],[Campaign]]="Old_Campaign", "A", "B")</f>
        <v>B</v>
      </c>
    </row>
    <row r="410" spans="1:6" x14ac:dyDescent="0.2">
      <c r="A410" s="1">
        <v>44401</v>
      </c>
      <c r="B410" s="5" t="s">
        <v>5</v>
      </c>
      <c r="C410" s="2">
        <v>1218</v>
      </c>
      <c r="D410" s="2">
        <v>240</v>
      </c>
      <c r="E410" s="3">
        <v>3587.33</v>
      </c>
      <c r="F410" s="4" t="str">
        <f>IF(campaignData[[#This Row],[Campaign]]="Old_Campaign", "A", "B")</f>
        <v>A</v>
      </c>
    </row>
    <row r="411" spans="1:6" x14ac:dyDescent="0.2">
      <c r="A411" s="1">
        <v>44401</v>
      </c>
      <c r="B411" s="5" t="s">
        <v>6</v>
      </c>
      <c r="C411" s="2">
        <v>1169</v>
      </c>
      <c r="D411" s="2">
        <v>289</v>
      </c>
      <c r="E411" s="3">
        <v>4785.93</v>
      </c>
      <c r="F411" s="4" t="str">
        <f>IF(campaignData[[#This Row],[Campaign]]="Old_Campaign", "A", "B")</f>
        <v>B</v>
      </c>
    </row>
    <row r="412" spans="1:6" x14ac:dyDescent="0.2">
      <c r="A412" s="1">
        <v>44402</v>
      </c>
      <c r="B412" s="5" t="s">
        <v>5</v>
      </c>
      <c r="C412" s="2">
        <v>1200</v>
      </c>
      <c r="D412" s="2">
        <v>243</v>
      </c>
      <c r="E412" s="3">
        <v>3602.06</v>
      </c>
      <c r="F412" s="4" t="str">
        <f>IF(campaignData[[#This Row],[Campaign]]="Old_Campaign", "A", "B")</f>
        <v>A</v>
      </c>
    </row>
    <row r="413" spans="1:6" x14ac:dyDescent="0.2">
      <c r="A413" s="1">
        <v>44402</v>
      </c>
      <c r="B413" s="5" t="s">
        <v>6</v>
      </c>
      <c r="C413" s="2">
        <v>1112</v>
      </c>
      <c r="D413" s="2">
        <v>248</v>
      </c>
      <c r="E413" s="3">
        <v>3784.47</v>
      </c>
      <c r="F413" s="4" t="str">
        <f>IF(campaignData[[#This Row],[Campaign]]="Old_Campaign", "A", "B")</f>
        <v>B</v>
      </c>
    </row>
    <row r="414" spans="1:6" x14ac:dyDescent="0.2">
      <c r="A414" s="1">
        <v>44403</v>
      </c>
      <c r="B414" s="5" t="s">
        <v>5</v>
      </c>
      <c r="C414" s="2">
        <v>1178</v>
      </c>
      <c r="D414" s="2">
        <v>204</v>
      </c>
      <c r="E414" s="3">
        <v>3344.36</v>
      </c>
      <c r="F414" s="4" t="str">
        <f>IF(campaignData[[#This Row],[Campaign]]="Old_Campaign", "A", "B")</f>
        <v>A</v>
      </c>
    </row>
    <row r="415" spans="1:6" x14ac:dyDescent="0.2">
      <c r="A415" s="1">
        <v>44403</v>
      </c>
      <c r="B415" s="5" t="s">
        <v>6</v>
      </c>
      <c r="C415" s="2">
        <v>1160</v>
      </c>
      <c r="D415" s="2">
        <v>304</v>
      </c>
      <c r="E415" s="3">
        <v>4661.04</v>
      </c>
      <c r="F415" s="4" t="str">
        <f>IF(campaignData[[#This Row],[Campaign]]="Old_Campaign", "A", "B")</f>
        <v>B</v>
      </c>
    </row>
    <row r="416" spans="1:6" x14ac:dyDescent="0.2">
      <c r="A416" s="1">
        <v>44404</v>
      </c>
      <c r="B416" s="5" t="s">
        <v>5</v>
      </c>
      <c r="C416" s="2">
        <v>1292</v>
      </c>
      <c r="D416" s="2">
        <v>252</v>
      </c>
      <c r="E416" s="3">
        <v>3178.26</v>
      </c>
      <c r="F416" s="4" t="str">
        <f>IF(campaignData[[#This Row],[Campaign]]="Old_Campaign", "A", "B")</f>
        <v>A</v>
      </c>
    </row>
    <row r="417" spans="1:6" x14ac:dyDescent="0.2">
      <c r="A417" s="1">
        <v>44404</v>
      </c>
      <c r="B417" s="5" t="s">
        <v>6</v>
      </c>
      <c r="C417" s="2">
        <v>1155</v>
      </c>
      <c r="D417" s="2">
        <v>275</v>
      </c>
      <c r="E417" s="3">
        <v>4478.62</v>
      </c>
      <c r="F417" s="4" t="str">
        <f>IF(campaignData[[#This Row],[Campaign]]="Old_Campaign", "A", "B")</f>
        <v>B</v>
      </c>
    </row>
    <row r="418" spans="1:6" x14ac:dyDescent="0.2">
      <c r="A418" s="1">
        <v>44405</v>
      </c>
      <c r="B418" s="5" t="s">
        <v>5</v>
      </c>
      <c r="C418" s="2">
        <v>1175</v>
      </c>
      <c r="D418" s="2">
        <v>217</v>
      </c>
      <c r="E418" s="3">
        <v>2395.98</v>
      </c>
      <c r="F418" s="4" t="str">
        <f>IF(campaignData[[#This Row],[Campaign]]="Old_Campaign", "A", "B")</f>
        <v>A</v>
      </c>
    </row>
    <row r="419" spans="1:6" x14ac:dyDescent="0.2">
      <c r="A419" s="1">
        <v>44405</v>
      </c>
      <c r="B419" s="5" t="s">
        <v>6</v>
      </c>
      <c r="C419" s="2">
        <v>1158</v>
      </c>
      <c r="D419" s="2">
        <v>267</v>
      </c>
      <c r="E419" s="3">
        <v>4671.38</v>
      </c>
      <c r="F419" s="4" t="str">
        <f>IF(campaignData[[#This Row],[Campaign]]="Old_Campaign", "A", "B")</f>
        <v>B</v>
      </c>
    </row>
    <row r="420" spans="1:6" x14ac:dyDescent="0.2">
      <c r="A420" s="1">
        <v>44406</v>
      </c>
      <c r="B420" s="5" t="s">
        <v>5</v>
      </c>
      <c r="C420" s="2">
        <v>1199</v>
      </c>
      <c r="D420" s="2">
        <v>239</v>
      </c>
      <c r="E420" s="3">
        <v>2997.28</v>
      </c>
      <c r="F420" s="4" t="str">
        <f>IF(campaignData[[#This Row],[Campaign]]="Old_Campaign", "A", "B")</f>
        <v>A</v>
      </c>
    </row>
    <row r="421" spans="1:6" x14ac:dyDescent="0.2">
      <c r="A421" s="1">
        <v>44406</v>
      </c>
      <c r="B421" s="5" t="s">
        <v>6</v>
      </c>
      <c r="C421" s="2">
        <v>1140</v>
      </c>
      <c r="D421" s="2">
        <v>267</v>
      </c>
      <c r="E421" s="3">
        <v>4537.24</v>
      </c>
      <c r="F421" s="4" t="str">
        <f>IF(campaignData[[#This Row],[Campaign]]="Old_Campaign", "A", "B")</f>
        <v>B</v>
      </c>
    </row>
    <row r="422" spans="1:6" x14ac:dyDescent="0.2">
      <c r="A422" s="1">
        <v>44407</v>
      </c>
      <c r="B422" s="5" t="s">
        <v>5</v>
      </c>
      <c r="C422" s="2">
        <v>1256</v>
      </c>
      <c r="D422" s="2">
        <v>237</v>
      </c>
      <c r="E422" s="3">
        <v>3701.02</v>
      </c>
      <c r="F422" s="4" t="str">
        <f>IF(campaignData[[#This Row],[Campaign]]="Old_Campaign", "A", "B")</f>
        <v>A</v>
      </c>
    </row>
    <row r="423" spans="1:6" x14ac:dyDescent="0.2">
      <c r="A423" s="1">
        <v>44407</v>
      </c>
      <c r="B423" s="5" t="s">
        <v>6</v>
      </c>
      <c r="C423" s="2">
        <v>1105</v>
      </c>
      <c r="D423" s="2">
        <v>241</v>
      </c>
      <c r="E423" s="3">
        <v>3667.23</v>
      </c>
      <c r="F423" s="4" t="str">
        <f>IF(campaignData[[#This Row],[Campaign]]="Old_Campaign", "A", "B")</f>
        <v>B</v>
      </c>
    </row>
    <row r="424" spans="1:6" x14ac:dyDescent="0.2">
      <c r="A424" s="1">
        <v>44408</v>
      </c>
      <c r="B424" s="5" t="s">
        <v>5</v>
      </c>
      <c r="C424" s="2">
        <v>1273</v>
      </c>
      <c r="D424" s="2">
        <v>235</v>
      </c>
      <c r="E424" s="3">
        <v>4054.24</v>
      </c>
      <c r="F424" s="4" t="str">
        <f>IF(campaignData[[#This Row],[Campaign]]="Old_Campaign", "A", "B")</f>
        <v>A</v>
      </c>
    </row>
    <row r="425" spans="1:6" x14ac:dyDescent="0.2">
      <c r="A425" s="1">
        <v>44408</v>
      </c>
      <c r="B425" s="5" t="s">
        <v>6</v>
      </c>
      <c r="C425" s="2">
        <v>1159</v>
      </c>
      <c r="D425" s="2">
        <v>272</v>
      </c>
      <c r="E425" s="3">
        <v>4324.04</v>
      </c>
      <c r="F425" s="4" t="str">
        <f>IF(campaignData[[#This Row],[Campaign]]="Old_Campaign", "A", "B")</f>
        <v>B</v>
      </c>
    </row>
    <row r="426" spans="1:6" x14ac:dyDescent="0.2">
      <c r="A426" s="1">
        <v>44409</v>
      </c>
      <c r="B426" s="5" t="s">
        <v>5</v>
      </c>
      <c r="C426" s="2">
        <v>1228</v>
      </c>
      <c r="D426" s="2">
        <v>241</v>
      </c>
      <c r="E426" s="3">
        <v>4124.0200000000004</v>
      </c>
      <c r="F426" s="4" t="str">
        <f>IF(campaignData[[#This Row],[Campaign]]="Old_Campaign", "A", "B")</f>
        <v>A</v>
      </c>
    </row>
    <row r="427" spans="1:6" x14ac:dyDescent="0.2">
      <c r="A427" s="1">
        <v>44409</v>
      </c>
      <c r="B427" s="5" t="s">
        <v>6</v>
      </c>
      <c r="C427" s="2">
        <v>1186</v>
      </c>
      <c r="D427" s="2">
        <v>271</v>
      </c>
      <c r="E427" s="3">
        <v>4457</v>
      </c>
      <c r="F427" s="4" t="str">
        <f>IF(campaignData[[#This Row],[Campaign]]="Old_Campaign", "A", "B")</f>
        <v>B</v>
      </c>
    </row>
    <row r="428" spans="1:6" x14ac:dyDescent="0.2">
      <c r="A428" s="1">
        <v>44410</v>
      </c>
      <c r="B428" s="5" t="s">
        <v>5</v>
      </c>
      <c r="C428" s="2">
        <v>1167</v>
      </c>
      <c r="D428" s="2">
        <v>234</v>
      </c>
      <c r="E428" s="3">
        <v>3787.78</v>
      </c>
      <c r="F428" s="4" t="str">
        <f>IF(campaignData[[#This Row],[Campaign]]="Old_Campaign", "A", "B")</f>
        <v>A</v>
      </c>
    </row>
    <row r="429" spans="1:6" x14ac:dyDescent="0.2">
      <c r="A429" s="1">
        <v>44410</v>
      </c>
      <c r="B429" s="5" t="s">
        <v>6</v>
      </c>
      <c r="C429" s="2">
        <v>1162</v>
      </c>
      <c r="D429" s="2">
        <v>255</v>
      </c>
      <c r="E429" s="3">
        <v>2580.4</v>
      </c>
      <c r="F429" s="4" t="str">
        <f>IF(campaignData[[#This Row],[Campaign]]="Old_Campaign", "A", "B")</f>
        <v>B</v>
      </c>
    </row>
    <row r="430" spans="1:6" x14ac:dyDescent="0.2">
      <c r="A430" s="1">
        <v>44411</v>
      </c>
      <c r="B430" s="5" t="s">
        <v>5</v>
      </c>
      <c r="C430" s="2">
        <v>1219</v>
      </c>
      <c r="D430" s="2">
        <v>214</v>
      </c>
      <c r="E430" s="3">
        <v>2794.13</v>
      </c>
      <c r="F430" s="4" t="str">
        <f>IF(campaignData[[#This Row],[Campaign]]="Old_Campaign", "A", "B")</f>
        <v>A</v>
      </c>
    </row>
    <row r="431" spans="1:6" x14ac:dyDescent="0.2">
      <c r="A431" s="1">
        <v>44411</v>
      </c>
      <c r="B431" s="5" t="s">
        <v>6</v>
      </c>
      <c r="C431" s="2">
        <v>1183</v>
      </c>
      <c r="D431" s="2">
        <v>254</v>
      </c>
      <c r="E431" s="3">
        <v>3363.15</v>
      </c>
      <c r="F431" s="4" t="str">
        <f>IF(campaignData[[#This Row],[Campaign]]="Old_Campaign", "A", "B")</f>
        <v>B</v>
      </c>
    </row>
    <row r="432" spans="1:6" x14ac:dyDescent="0.2">
      <c r="A432" s="1">
        <v>44412</v>
      </c>
      <c r="B432" s="5" t="s">
        <v>5</v>
      </c>
      <c r="C432" s="2">
        <v>1218</v>
      </c>
      <c r="D432" s="2">
        <v>243</v>
      </c>
      <c r="E432" s="3">
        <v>3997.4</v>
      </c>
      <c r="F432" s="4" t="str">
        <f>IF(campaignData[[#This Row],[Campaign]]="Old_Campaign", "A", "B")</f>
        <v>A</v>
      </c>
    </row>
    <row r="433" spans="1:6" x14ac:dyDescent="0.2">
      <c r="A433" s="1">
        <v>44412</v>
      </c>
      <c r="B433" s="5" t="s">
        <v>6</v>
      </c>
      <c r="C433" s="2">
        <v>1175</v>
      </c>
      <c r="D433" s="2">
        <v>277</v>
      </c>
      <c r="E433" s="3">
        <v>4717.96</v>
      </c>
      <c r="F433" s="4" t="str">
        <f>IF(campaignData[[#This Row],[Campaign]]="Old_Campaign", "A", "B")</f>
        <v>B</v>
      </c>
    </row>
    <row r="434" spans="1:6" x14ac:dyDescent="0.2">
      <c r="A434" s="1">
        <v>44413</v>
      </c>
      <c r="B434" s="5" t="s">
        <v>5</v>
      </c>
      <c r="C434" s="2">
        <v>1240</v>
      </c>
      <c r="D434" s="2">
        <v>226</v>
      </c>
      <c r="E434" s="3">
        <v>3316.29</v>
      </c>
      <c r="F434" s="4" t="str">
        <f>IF(campaignData[[#This Row],[Campaign]]="Old_Campaign", "A", "B")</f>
        <v>A</v>
      </c>
    </row>
    <row r="435" spans="1:6" x14ac:dyDescent="0.2">
      <c r="A435" s="1">
        <v>44413</v>
      </c>
      <c r="B435" s="5" t="s">
        <v>6</v>
      </c>
      <c r="C435" s="2">
        <v>1141</v>
      </c>
      <c r="D435" s="2">
        <v>274</v>
      </c>
      <c r="E435" s="3">
        <v>3975.79</v>
      </c>
      <c r="F435" s="4" t="str">
        <f>IF(campaignData[[#This Row],[Campaign]]="Old_Campaign", "A", "B")</f>
        <v>B</v>
      </c>
    </row>
    <row r="436" spans="1:6" x14ac:dyDescent="0.2">
      <c r="A436" s="1">
        <v>44414</v>
      </c>
      <c r="B436" s="5" t="s">
        <v>5</v>
      </c>
      <c r="C436" s="2">
        <v>1137</v>
      </c>
      <c r="D436" s="2">
        <v>229</v>
      </c>
      <c r="E436" s="3">
        <v>3435.55</v>
      </c>
      <c r="F436" s="4" t="str">
        <f>IF(campaignData[[#This Row],[Campaign]]="Old_Campaign", "A", "B")</f>
        <v>A</v>
      </c>
    </row>
    <row r="437" spans="1:6" x14ac:dyDescent="0.2">
      <c r="A437" s="1">
        <v>44414</v>
      </c>
      <c r="B437" s="5" t="s">
        <v>6</v>
      </c>
      <c r="C437" s="2">
        <v>1181</v>
      </c>
      <c r="D437" s="2">
        <v>271</v>
      </c>
      <c r="E437" s="3">
        <v>3893.14</v>
      </c>
      <c r="F437" s="4" t="str">
        <f>IF(campaignData[[#This Row],[Campaign]]="Old_Campaign", "A", "B")</f>
        <v>B</v>
      </c>
    </row>
    <row r="438" spans="1:6" x14ac:dyDescent="0.2">
      <c r="A438" s="1">
        <v>44415</v>
      </c>
      <c r="B438" s="5" t="s">
        <v>5</v>
      </c>
      <c r="C438" s="2">
        <v>1190</v>
      </c>
      <c r="D438" s="2">
        <v>228</v>
      </c>
      <c r="E438" s="3">
        <v>3798.24</v>
      </c>
      <c r="F438" s="4" t="str">
        <f>IF(campaignData[[#This Row],[Campaign]]="Old_Campaign", "A", "B")</f>
        <v>A</v>
      </c>
    </row>
    <row r="439" spans="1:6" x14ac:dyDescent="0.2">
      <c r="A439" s="1">
        <v>44415</v>
      </c>
      <c r="B439" s="5" t="s">
        <v>6</v>
      </c>
      <c r="C439" s="2">
        <v>1132</v>
      </c>
      <c r="D439" s="2">
        <v>252</v>
      </c>
      <c r="E439" s="3">
        <v>3934.31</v>
      </c>
      <c r="F439" s="4" t="str">
        <f>IF(campaignData[[#This Row],[Campaign]]="Old_Campaign", "A", "B")</f>
        <v>B</v>
      </c>
    </row>
    <row r="440" spans="1:6" x14ac:dyDescent="0.2">
      <c r="A440" s="1">
        <v>44416</v>
      </c>
      <c r="B440" s="5" t="s">
        <v>5</v>
      </c>
      <c r="C440" s="2">
        <v>1186</v>
      </c>
      <c r="D440" s="2">
        <v>207</v>
      </c>
      <c r="E440" s="3">
        <v>1854.92</v>
      </c>
      <c r="F440" s="4" t="str">
        <f>IF(campaignData[[#This Row],[Campaign]]="Old_Campaign", "A", "B")</f>
        <v>A</v>
      </c>
    </row>
    <row r="441" spans="1:6" x14ac:dyDescent="0.2">
      <c r="A441" s="1">
        <v>44416</v>
      </c>
      <c r="B441" s="5" t="s">
        <v>6</v>
      </c>
      <c r="C441" s="2">
        <v>1158</v>
      </c>
      <c r="D441" s="2">
        <v>250</v>
      </c>
      <c r="E441" s="3">
        <v>4091.92</v>
      </c>
      <c r="F441" s="4" t="str">
        <f>IF(campaignData[[#This Row],[Campaign]]="Old_Campaign", "A", "B")</f>
        <v>B</v>
      </c>
    </row>
    <row r="442" spans="1:6" x14ac:dyDescent="0.2">
      <c r="A442" s="1">
        <v>44417</v>
      </c>
      <c r="B442" s="5" t="s">
        <v>5</v>
      </c>
      <c r="C442" s="2">
        <v>1173</v>
      </c>
      <c r="D442" s="2">
        <v>232</v>
      </c>
      <c r="E442" s="3">
        <v>3662.08</v>
      </c>
      <c r="F442" s="4" t="str">
        <f>IF(campaignData[[#This Row],[Campaign]]="Old_Campaign", "A", "B")</f>
        <v>A</v>
      </c>
    </row>
    <row r="443" spans="1:6" x14ac:dyDescent="0.2">
      <c r="A443" s="1">
        <v>44417</v>
      </c>
      <c r="B443" s="5" t="s">
        <v>6</v>
      </c>
      <c r="C443" s="2">
        <v>1127</v>
      </c>
      <c r="D443" s="2">
        <v>267</v>
      </c>
      <c r="E443" s="3">
        <v>4000.21</v>
      </c>
      <c r="F443" s="4" t="str">
        <f>IF(campaignData[[#This Row],[Campaign]]="Old_Campaign", "A", "B")</f>
        <v>B</v>
      </c>
    </row>
    <row r="444" spans="1:6" x14ac:dyDescent="0.2">
      <c r="A444" s="1">
        <v>44418</v>
      </c>
      <c r="B444" s="5" t="s">
        <v>5</v>
      </c>
      <c r="C444" s="2">
        <v>1213</v>
      </c>
      <c r="D444" s="2">
        <v>223</v>
      </c>
      <c r="E444" s="3">
        <v>3345.09</v>
      </c>
      <c r="F444" s="4" t="str">
        <f>IF(campaignData[[#This Row],[Campaign]]="Old_Campaign", "A", "B")</f>
        <v>A</v>
      </c>
    </row>
    <row r="445" spans="1:6" x14ac:dyDescent="0.2">
      <c r="A445" s="1">
        <v>44418</v>
      </c>
      <c r="B445" s="5" t="s">
        <v>6</v>
      </c>
      <c r="C445" s="2">
        <v>1070</v>
      </c>
      <c r="D445" s="2">
        <v>231</v>
      </c>
      <c r="E445" s="3">
        <v>3691.7</v>
      </c>
      <c r="F445" s="4" t="str">
        <f>IF(campaignData[[#This Row],[Campaign]]="Old_Campaign", "A", "B")</f>
        <v>B</v>
      </c>
    </row>
    <row r="446" spans="1:6" x14ac:dyDescent="0.2">
      <c r="A446" s="1">
        <v>44419</v>
      </c>
      <c r="B446" s="5" t="s">
        <v>5</v>
      </c>
      <c r="C446" s="2">
        <v>1239</v>
      </c>
      <c r="D446" s="2">
        <v>226</v>
      </c>
      <c r="E446" s="3">
        <v>3092.53</v>
      </c>
      <c r="F446" s="4" t="str">
        <f>IF(campaignData[[#This Row],[Campaign]]="Old_Campaign", "A", "B")</f>
        <v>A</v>
      </c>
    </row>
    <row r="447" spans="1:6" x14ac:dyDescent="0.2">
      <c r="A447" s="1">
        <v>44419</v>
      </c>
      <c r="B447" s="5" t="s">
        <v>6</v>
      </c>
      <c r="C447" s="2">
        <v>1136</v>
      </c>
      <c r="D447" s="2">
        <v>271</v>
      </c>
      <c r="E447" s="3">
        <v>4171.38</v>
      </c>
      <c r="F447" s="4" t="str">
        <f>IF(campaignData[[#This Row],[Campaign]]="Old_Campaign", "A", "B")</f>
        <v>B</v>
      </c>
    </row>
    <row r="448" spans="1:6" x14ac:dyDescent="0.2">
      <c r="A448" s="1">
        <v>44420</v>
      </c>
      <c r="B448" s="5" t="s">
        <v>5</v>
      </c>
      <c r="C448" s="2">
        <v>1231</v>
      </c>
      <c r="D448" s="2">
        <v>228</v>
      </c>
      <c r="E448" s="3">
        <v>3598.05</v>
      </c>
      <c r="F448" s="4" t="str">
        <f>IF(campaignData[[#This Row],[Campaign]]="Old_Campaign", "A", "B")</f>
        <v>A</v>
      </c>
    </row>
    <row r="449" spans="1:6" x14ac:dyDescent="0.2">
      <c r="A449" s="1">
        <v>44420</v>
      </c>
      <c r="B449" s="5" t="s">
        <v>6</v>
      </c>
      <c r="C449" s="2">
        <v>1095</v>
      </c>
      <c r="D449" s="2">
        <v>262</v>
      </c>
      <c r="E449" s="3">
        <v>4137.91</v>
      </c>
      <c r="F449" s="4" t="str">
        <f>IF(campaignData[[#This Row],[Campaign]]="Old_Campaign", "A", "B")</f>
        <v>B</v>
      </c>
    </row>
    <row r="450" spans="1:6" x14ac:dyDescent="0.2">
      <c r="A450" s="1">
        <v>44421</v>
      </c>
      <c r="B450" s="5" t="s">
        <v>5</v>
      </c>
      <c r="C450" s="2">
        <v>1213</v>
      </c>
      <c r="D450" s="2">
        <v>226</v>
      </c>
      <c r="E450" s="3">
        <v>3826.36</v>
      </c>
      <c r="F450" s="4" t="str">
        <f>IF(campaignData[[#This Row],[Campaign]]="Old_Campaign", "A", "B")</f>
        <v>A</v>
      </c>
    </row>
    <row r="451" spans="1:6" x14ac:dyDescent="0.2">
      <c r="A451" s="1">
        <v>44421</v>
      </c>
      <c r="B451" s="5" t="s">
        <v>6</v>
      </c>
      <c r="C451" s="2">
        <v>1227</v>
      </c>
      <c r="D451" s="2">
        <v>292</v>
      </c>
      <c r="E451" s="3">
        <v>5393.9</v>
      </c>
      <c r="F451" s="4" t="str">
        <f>IF(campaignData[[#This Row],[Campaign]]="Old_Campaign", "A", "B")</f>
        <v>B</v>
      </c>
    </row>
    <row r="452" spans="1:6" x14ac:dyDescent="0.2">
      <c r="A452" s="1">
        <v>44422</v>
      </c>
      <c r="B452" s="5" t="s">
        <v>5</v>
      </c>
      <c r="C452" s="2">
        <v>1230</v>
      </c>
      <c r="D452" s="2">
        <v>225</v>
      </c>
      <c r="E452" s="3">
        <v>3375.24</v>
      </c>
      <c r="F452" s="4" t="str">
        <f>IF(campaignData[[#This Row],[Campaign]]="Old_Campaign", "A", "B")</f>
        <v>A</v>
      </c>
    </row>
    <row r="453" spans="1:6" x14ac:dyDescent="0.2">
      <c r="A453" s="1">
        <v>44422</v>
      </c>
      <c r="B453" s="5" t="s">
        <v>6</v>
      </c>
      <c r="C453" s="2">
        <v>1143</v>
      </c>
      <c r="D453" s="2">
        <v>262</v>
      </c>
      <c r="E453" s="3">
        <v>4507.03</v>
      </c>
      <c r="F453" s="4" t="str">
        <f>IF(campaignData[[#This Row],[Campaign]]="Old_Campaign", "A", "B")</f>
        <v>B</v>
      </c>
    </row>
    <row r="454" spans="1:6" x14ac:dyDescent="0.2">
      <c r="A454" s="1">
        <v>44423</v>
      </c>
      <c r="B454" s="5" t="s">
        <v>5</v>
      </c>
      <c r="C454" s="2">
        <v>1187</v>
      </c>
      <c r="D454" s="2">
        <v>217</v>
      </c>
      <c r="E454" s="3">
        <v>3705.97</v>
      </c>
      <c r="F454" s="4" t="str">
        <f>IF(campaignData[[#This Row],[Campaign]]="Old_Campaign", "A", "B")</f>
        <v>A</v>
      </c>
    </row>
    <row r="455" spans="1:6" x14ac:dyDescent="0.2">
      <c r="A455" s="1">
        <v>44423</v>
      </c>
      <c r="B455" s="5" t="s">
        <v>6</v>
      </c>
      <c r="C455" s="2">
        <v>1120</v>
      </c>
      <c r="D455" s="2">
        <v>274</v>
      </c>
      <c r="E455" s="3">
        <v>4342.4799999999996</v>
      </c>
      <c r="F455" s="4" t="str">
        <f>IF(campaignData[[#This Row],[Campaign]]="Old_Campaign", "A", "B")</f>
        <v>B</v>
      </c>
    </row>
    <row r="456" spans="1:6" x14ac:dyDescent="0.2">
      <c r="A456" s="1">
        <v>44424</v>
      </c>
      <c r="B456" s="5" t="s">
        <v>5</v>
      </c>
      <c r="C456" s="2">
        <v>1156</v>
      </c>
      <c r="D456" s="2">
        <v>211</v>
      </c>
      <c r="E456" s="3">
        <v>2663.07</v>
      </c>
      <c r="F456" s="4" t="str">
        <f>IF(campaignData[[#This Row],[Campaign]]="Old_Campaign", "A", "B")</f>
        <v>A</v>
      </c>
    </row>
    <row r="457" spans="1:6" x14ac:dyDescent="0.2">
      <c r="A457" s="1">
        <v>44424</v>
      </c>
      <c r="B457" s="5" t="s">
        <v>6</v>
      </c>
      <c r="C457" s="2">
        <v>1172</v>
      </c>
      <c r="D457" s="2">
        <v>289</v>
      </c>
      <c r="E457" s="3">
        <v>5573.46</v>
      </c>
      <c r="F457" s="4" t="str">
        <f>IF(campaignData[[#This Row],[Campaign]]="Old_Campaign", "A", "B")</f>
        <v>B</v>
      </c>
    </row>
    <row r="458" spans="1:6" x14ac:dyDescent="0.2">
      <c r="A458" s="1">
        <v>44425</v>
      </c>
      <c r="B458" s="5" t="s">
        <v>5</v>
      </c>
      <c r="C458" s="2">
        <v>1187</v>
      </c>
      <c r="D458" s="2">
        <v>216</v>
      </c>
      <c r="E458" s="3">
        <v>3560.04</v>
      </c>
      <c r="F458" s="4" t="str">
        <f>IF(campaignData[[#This Row],[Campaign]]="Old_Campaign", "A", "B")</f>
        <v>A</v>
      </c>
    </row>
    <row r="459" spans="1:6" x14ac:dyDescent="0.2">
      <c r="A459" s="1">
        <v>44425</v>
      </c>
      <c r="B459" s="5" t="s">
        <v>6</v>
      </c>
      <c r="C459" s="2">
        <v>1134</v>
      </c>
      <c r="D459" s="2">
        <v>255</v>
      </c>
      <c r="E459" s="3">
        <v>3818.26</v>
      </c>
      <c r="F459" s="4" t="str">
        <f>IF(campaignData[[#This Row],[Campaign]]="Old_Campaign", "A", "B")</f>
        <v>B</v>
      </c>
    </row>
    <row r="460" spans="1:6" x14ac:dyDescent="0.2">
      <c r="A460" s="1">
        <v>44426</v>
      </c>
      <c r="B460" s="5" t="s">
        <v>5</v>
      </c>
      <c r="C460" s="2">
        <v>1199</v>
      </c>
      <c r="D460" s="2">
        <v>234</v>
      </c>
      <c r="E460" s="3">
        <v>3500.99</v>
      </c>
      <c r="F460" s="4" t="str">
        <f>IF(campaignData[[#This Row],[Campaign]]="Old_Campaign", "A", "B")</f>
        <v>A</v>
      </c>
    </row>
    <row r="461" spans="1:6" x14ac:dyDescent="0.2">
      <c r="A461" s="1">
        <v>44426</v>
      </c>
      <c r="B461" s="5" t="s">
        <v>6</v>
      </c>
      <c r="C461" s="2">
        <v>1168</v>
      </c>
      <c r="D461" s="2">
        <v>263</v>
      </c>
      <c r="E461" s="3">
        <v>4069.72</v>
      </c>
      <c r="F461" s="4" t="str">
        <f>IF(campaignData[[#This Row],[Campaign]]="Old_Campaign", "A", "B")</f>
        <v>B</v>
      </c>
    </row>
    <row r="462" spans="1:6" x14ac:dyDescent="0.2">
      <c r="A462" s="1">
        <v>44427</v>
      </c>
      <c r="B462" s="5" t="s">
        <v>5</v>
      </c>
      <c r="C462" s="2">
        <v>1154</v>
      </c>
      <c r="D462" s="2">
        <v>217</v>
      </c>
      <c r="E462" s="3">
        <v>3299.21</v>
      </c>
      <c r="F462" s="4" t="str">
        <f>IF(campaignData[[#This Row],[Campaign]]="Old_Campaign", "A", "B")</f>
        <v>A</v>
      </c>
    </row>
    <row r="463" spans="1:6" x14ac:dyDescent="0.2">
      <c r="A463" s="1">
        <v>44427</v>
      </c>
      <c r="B463" s="5" t="s">
        <v>6</v>
      </c>
      <c r="C463" s="2">
        <v>1135</v>
      </c>
      <c r="D463" s="2">
        <v>253</v>
      </c>
      <c r="E463" s="3">
        <v>4831.8</v>
      </c>
      <c r="F463" s="4" t="str">
        <f>IF(campaignData[[#This Row],[Campaign]]="Old_Campaign", "A", "B")</f>
        <v>B</v>
      </c>
    </row>
    <row r="464" spans="1:6" x14ac:dyDescent="0.2">
      <c r="A464" s="1">
        <v>44428</v>
      </c>
      <c r="B464" s="5" t="s">
        <v>5</v>
      </c>
      <c r="C464" s="2">
        <v>1240</v>
      </c>
      <c r="D464" s="2">
        <v>243</v>
      </c>
      <c r="E464" s="3">
        <v>3594.82</v>
      </c>
      <c r="F464" s="4" t="str">
        <f>IF(campaignData[[#This Row],[Campaign]]="Old_Campaign", "A", "B")</f>
        <v>A</v>
      </c>
    </row>
    <row r="465" spans="1:6" x14ac:dyDescent="0.2">
      <c r="A465" s="1">
        <v>44428</v>
      </c>
      <c r="B465" s="5" t="s">
        <v>6</v>
      </c>
      <c r="C465" s="2">
        <v>1175</v>
      </c>
      <c r="D465" s="2">
        <v>245</v>
      </c>
      <c r="E465" s="3">
        <v>3114.84</v>
      </c>
      <c r="F465" s="4" t="str">
        <f>IF(campaignData[[#This Row],[Campaign]]="Old_Campaign", "A", "B")</f>
        <v>B</v>
      </c>
    </row>
    <row r="466" spans="1:6" x14ac:dyDescent="0.2">
      <c r="A466" s="1">
        <v>44429</v>
      </c>
      <c r="B466" s="5" t="s">
        <v>5</v>
      </c>
      <c r="C466" s="2">
        <v>1272</v>
      </c>
      <c r="D466" s="2">
        <v>272</v>
      </c>
      <c r="E466" s="3">
        <v>3394.47</v>
      </c>
      <c r="F466" s="4" t="str">
        <f>IF(campaignData[[#This Row],[Campaign]]="Old_Campaign", "A", "B")</f>
        <v>A</v>
      </c>
    </row>
    <row r="467" spans="1:6" x14ac:dyDescent="0.2">
      <c r="A467" s="1">
        <v>44429</v>
      </c>
      <c r="B467" s="5" t="s">
        <v>6</v>
      </c>
      <c r="C467" s="2">
        <v>1117</v>
      </c>
      <c r="D467" s="2">
        <v>262</v>
      </c>
      <c r="E467" s="3">
        <v>3869.03</v>
      </c>
      <c r="F467" s="4" t="str">
        <f>IF(campaignData[[#This Row],[Campaign]]="Old_Campaign", "A", "B")</f>
        <v>B</v>
      </c>
    </row>
    <row r="468" spans="1:6" x14ac:dyDescent="0.2">
      <c r="A468" s="1">
        <v>44430</v>
      </c>
      <c r="B468" s="5" t="s">
        <v>5</v>
      </c>
      <c r="C468" s="2">
        <v>1208</v>
      </c>
      <c r="D468" s="2">
        <v>227</v>
      </c>
      <c r="E468" s="3">
        <v>3036.87</v>
      </c>
      <c r="F468" s="4" t="str">
        <f>IF(campaignData[[#This Row],[Campaign]]="Old_Campaign", "A", "B")</f>
        <v>A</v>
      </c>
    </row>
    <row r="469" spans="1:6" x14ac:dyDescent="0.2">
      <c r="A469" s="1">
        <v>44430</v>
      </c>
      <c r="B469" s="5" t="s">
        <v>6</v>
      </c>
      <c r="C469" s="2">
        <v>1207</v>
      </c>
      <c r="D469" s="2">
        <v>272</v>
      </c>
      <c r="E469" s="3">
        <v>3667.88</v>
      </c>
      <c r="F469" s="4" t="str">
        <f>IF(campaignData[[#This Row],[Campaign]]="Old_Campaign", "A", "B")</f>
        <v>B</v>
      </c>
    </row>
    <row r="470" spans="1:6" x14ac:dyDescent="0.2">
      <c r="A470" s="1">
        <v>44431</v>
      </c>
      <c r="B470" s="5" t="s">
        <v>5</v>
      </c>
      <c r="C470" s="2">
        <v>1221</v>
      </c>
      <c r="D470" s="2">
        <v>238</v>
      </c>
      <c r="E470" s="3">
        <v>3172.47</v>
      </c>
      <c r="F470" s="4" t="str">
        <f>IF(campaignData[[#This Row],[Campaign]]="Old_Campaign", "A", "B")</f>
        <v>A</v>
      </c>
    </row>
    <row r="471" spans="1:6" x14ac:dyDescent="0.2">
      <c r="A471" s="1">
        <v>44431</v>
      </c>
      <c r="B471" s="5" t="s">
        <v>6</v>
      </c>
      <c r="C471" s="2">
        <v>1153</v>
      </c>
      <c r="D471" s="2">
        <v>267</v>
      </c>
      <c r="E471" s="3">
        <v>5387.81</v>
      </c>
      <c r="F471" s="4" t="str">
        <f>IF(campaignData[[#This Row],[Campaign]]="Old_Campaign", "A", "B")</f>
        <v>B</v>
      </c>
    </row>
    <row r="472" spans="1:6" x14ac:dyDescent="0.2">
      <c r="A472" s="1">
        <v>44432</v>
      </c>
      <c r="B472" s="5" t="s">
        <v>5</v>
      </c>
      <c r="C472" s="2">
        <v>1139</v>
      </c>
      <c r="D472" s="2">
        <v>221</v>
      </c>
      <c r="E472" s="3">
        <v>2337.36</v>
      </c>
      <c r="F472" s="4" t="str">
        <f>IF(campaignData[[#This Row],[Campaign]]="Old_Campaign", "A", "B")</f>
        <v>A</v>
      </c>
    </row>
    <row r="473" spans="1:6" x14ac:dyDescent="0.2">
      <c r="A473" s="1">
        <v>44432</v>
      </c>
      <c r="B473" s="5" t="s">
        <v>6</v>
      </c>
      <c r="C473" s="2">
        <v>1067</v>
      </c>
      <c r="D473" s="2">
        <v>258</v>
      </c>
      <c r="E473" s="3">
        <v>4919.25</v>
      </c>
      <c r="F473" s="4" t="str">
        <f>IF(campaignData[[#This Row],[Campaign]]="Old_Campaign", "A", "B")</f>
        <v>B</v>
      </c>
    </row>
    <row r="474" spans="1:6" x14ac:dyDescent="0.2">
      <c r="A474" s="1">
        <v>44433</v>
      </c>
      <c r="B474" s="5" t="s">
        <v>5</v>
      </c>
      <c r="C474" s="2">
        <v>1242</v>
      </c>
      <c r="D474" s="2">
        <v>253</v>
      </c>
      <c r="E474" s="3">
        <v>4819.3</v>
      </c>
      <c r="F474" s="4" t="str">
        <f>IF(campaignData[[#This Row],[Campaign]]="Old_Campaign", "A", "B")</f>
        <v>A</v>
      </c>
    </row>
    <row r="475" spans="1:6" x14ac:dyDescent="0.2">
      <c r="A475" s="1">
        <v>44433</v>
      </c>
      <c r="B475" s="5" t="s">
        <v>6</v>
      </c>
      <c r="C475" s="2">
        <v>1088</v>
      </c>
      <c r="D475" s="2">
        <v>289</v>
      </c>
      <c r="E475" s="3">
        <v>3836.09</v>
      </c>
      <c r="F475" s="4" t="str">
        <f>IF(campaignData[[#This Row],[Campaign]]="Old_Campaign", "A", "B")</f>
        <v>B</v>
      </c>
    </row>
    <row r="476" spans="1:6" x14ac:dyDescent="0.2">
      <c r="A476" s="1">
        <v>44434</v>
      </c>
      <c r="B476" s="5" t="s">
        <v>5</v>
      </c>
      <c r="C476" s="2">
        <v>1202</v>
      </c>
      <c r="D476" s="2">
        <v>223</v>
      </c>
      <c r="E476" s="3">
        <v>4149.74</v>
      </c>
      <c r="F476" s="4" t="str">
        <f>IF(campaignData[[#This Row],[Campaign]]="Old_Campaign", "A", "B")</f>
        <v>A</v>
      </c>
    </row>
    <row r="477" spans="1:6" x14ac:dyDescent="0.2">
      <c r="A477" s="1">
        <v>44434</v>
      </c>
      <c r="B477" s="5" t="s">
        <v>6</v>
      </c>
      <c r="C477" s="2">
        <v>1124</v>
      </c>
      <c r="D477" s="2">
        <v>233</v>
      </c>
      <c r="E477" s="3">
        <v>3639.04</v>
      </c>
      <c r="F477" s="4" t="str">
        <f>IF(campaignData[[#This Row],[Campaign]]="Old_Campaign", "A", "B")</f>
        <v>B</v>
      </c>
    </row>
    <row r="478" spans="1:6" x14ac:dyDescent="0.2">
      <c r="A478" s="1">
        <v>44435</v>
      </c>
      <c r="B478" s="5" t="s">
        <v>5</v>
      </c>
      <c r="C478" s="2">
        <v>1206</v>
      </c>
      <c r="D478" s="2">
        <v>249</v>
      </c>
      <c r="E478" s="3">
        <v>3112.3</v>
      </c>
      <c r="F478" s="4" t="str">
        <f>IF(campaignData[[#This Row],[Campaign]]="Old_Campaign", "A", "B")</f>
        <v>A</v>
      </c>
    </row>
    <row r="479" spans="1:6" x14ac:dyDescent="0.2">
      <c r="A479" s="1">
        <v>44435</v>
      </c>
      <c r="B479" s="5" t="s">
        <v>6</v>
      </c>
      <c r="C479" s="2">
        <v>1132</v>
      </c>
      <c r="D479" s="2">
        <v>247</v>
      </c>
      <c r="E479" s="3">
        <v>4250.63</v>
      </c>
      <c r="F479" s="4" t="str">
        <f>IF(campaignData[[#This Row],[Campaign]]="Old_Campaign", "A", "B")</f>
        <v>B</v>
      </c>
    </row>
    <row r="480" spans="1:6" x14ac:dyDescent="0.2">
      <c r="A480" s="1">
        <v>44436</v>
      </c>
      <c r="B480" s="5" t="s">
        <v>5</v>
      </c>
      <c r="C480" s="2">
        <v>1193</v>
      </c>
      <c r="D480" s="2">
        <v>228</v>
      </c>
      <c r="E480" s="3">
        <v>3256.6</v>
      </c>
      <c r="F480" s="4" t="str">
        <f>IF(campaignData[[#This Row],[Campaign]]="Old_Campaign", "A", "B")</f>
        <v>A</v>
      </c>
    </row>
    <row r="481" spans="1:6" x14ac:dyDescent="0.2">
      <c r="A481" s="1">
        <v>44436</v>
      </c>
      <c r="B481" s="5" t="s">
        <v>6</v>
      </c>
      <c r="C481" s="2">
        <v>1140</v>
      </c>
      <c r="D481" s="2">
        <v>256</v>
      </c>
      <c r="E481" s="3">
        <v>3764.46</v>
      </c>
      <c r="F481" s="4" t="str">
        <f>IF(campaignData[[#This Row],[Campaign]]="Old_Campaign", "A", "B")</f>
        <v>B</v>
      </c>
    </row>
    <row r="482" spans="1:6" x14ac:dyDescent="0.2">
      <c r="A482" s="1">
        <v>44437</v>
      </c>
      <c r="B482" s="5" t="s">
        <v>5</v>
      </c>
      <c r="C482" s="2">
        <v>1189</v>
      </c>
      <c r="D482" s="2">
        <v>240</v>
      </c>
      <c r="E482" s="3">
        <v>3271.38</v>
      </c>
      <c r="F482" s="4" t="str">
        <f>IF(campaignData[[#This Row],[Campaign]]="Old_Campaign", "A", "B")</f>
        <v>A</v>
      </c>
    </row>
    <row r="483" spans="1:6" x14ac:dyDescent="0.2">
      <c r="A483" s="1">
        <v>44437</v>
      </c>
      <c r="B483" s="5" t="s">
        <v>6</v>
      </c>
      <c r="C483" s="2">
        <v>1156</v>
      </c>
      <c r="D483" s="2">
        <v>239</v>
      </c>
      <c r="E483" s="3">
        <v>4201.92</v>
      </c>
      <c r="F483" s="4" t="str">
        <f>IF(campaignData[[#This Row],[Campaign]]="Old_Campaign", "A", "B")</f>
        <v>B</v>
      </c>
    </row>
    <row r="484" spans="1:6" x14ac:dyDescent="0.2">
      <c r="A484" s="1">
        <v>44438</v>
      </c>
      <c r="B484" s="5" t="s">
        <v>5</v>
      </c>
      <c r="C484" s="2">
        <v>1166</v>
      </c>
      <c r="D484" s="2">
        <v>212</v>
      </c>
      <c r="E484" s="3">
        <v>3007.42</v>
      </c>
      <c r="F484" s="4" t="str">
        <f>IF(campaignData[[#This Row],[Campaign]]="Old_Campaign", "A", "B")</f>
        <v>A</v>
      </c>
    </row>
    <row r="485" spans="1:6" x14ac:dyDescent="0.2">
      <c r="A485" s="1">
        <v>44438</v>
      </c>
      <c r="B485" s="5" t="s">
        <v>6</v>
      </c>
      <c r="C485" s="2">
        <v>1227</v>
      </c>
      <c r="D485" s="2">
        <v>284</v>
      </c>
      <c r="E485" s="3">
        <v>4933.83</v>
      </c>
      <c r="F485" s="4" t="str">
        <f>IF(campaignData[[#This Row],[Campaign]]="Old_Campaign", "A", "B")</f>
        <v>B</v>
      </c>
    </row>
    <row r="486" spans="1:6" x14ac:dyDescent="0.2">
      <c r="A486" s="1">
        <v>44439</v>
      </c>
      <c r="B486" s="5" t="s">
        <v>5</v>
      </c>
      <c r="C486" s="2">
        <v>1202</v>
      </c>
      <c r="D486" s="2">
        <v>230</v>
      </c>
      <c r="E486" s="3">
        <v>3363</v>
      </c>
      <c r="F486" s="4" t="str">
        <f>IF(campaignData[[#This Row],[Campaign]]="Old_Campaign", "A", "B")</f>
        <v>A</v>
      </c>
    </row>
    <row r="487" spans="1:6" x14ac:dyDescent="0.2">
      <c r="A487" s="1">
        <v>44439</v>
      </c>
      <c r="B487" s="5" t="s">
        <v>6</v>
      </c>
      <c r="C487" s="2">
        <v>1180</v>
      </c>
      <c r="D487" s="2">
        <v>287</v>
      </c>
      <c r="E487" s="3">
        <v>5121.03</v>
      </c>
      <c r="F487" s="4" t="str">
        <f>IF(campaignData[[#This Row],[Campaign]]="Old_Campaign", "A", "B")</f>
        <v>B</v>
      </c>
    </row>
    <row r="488" spans="1:6" x14ac:dyDescent="0.2">
      <c r="A488" s="1">
        <v>44440</v>
      </c>
      <c r="B488" s="5" t="s">
        <v>5</v>
      </c>
      <c r="C488" s="2">
        <v>1209</v>
      </c>
      <c r="D488" s="2">
        <v>220</v>
      </c>
      <c r="E488" s="3">
        <v>2154.15</v>
      </c>
      <c r="F488" s="4" t="str">
        <f>IF(campaignData[[#This Row],[Campaign]]="Old_Campaign", "A", "B")</f>
        <v>A</v>
      </c>
    </row>
    <row r="489" spans="1:6" x14ac:dyDescent="0.2">
      <c r="A489" s="1">
        <v>44440</v>
      </c>
      <c r="B489" s="5" t="s">
        <v>6</v>
      </c>
      <c r="C489" s="2">
        <v>1184</v>
      </c>
      <c r="D489" s="2">
        <v>267</v>
      </c>
      <c r="E489" s="3">
        <v>4378.24</v>
      </c>
      <c r="F489" s="4" t="str">
        <f>IF(campaignData[[#This Row],[Campaign]]="Old_Campaign", "A", "B")</f>
        <v>B</v>
      </c>
    </row>
    <row r="490" spans="1:6" x14ac:dyDescent="0.2">
      <c r="A490" s="1">
        <v>44441</v>
      </c>
      <c r="B490" s="5" t="s">
        <v>5</v>
      </c>
      <c r="C490" s="2">
        <v>1229</v>
      </c>
      <c r="D490" s="2">
        <v>216</v>
      </c>
      <c r="E490" s="3">
        <v>2471.65</v>
      </c>
      <c r="F490" s="4" t="str">
        <f>IF(campaignData[[#This Row],[Campaign]]="Old_Campaign", "A", "B")</f>
        <v>A</v>
      </c>
    </row>
    <row r="491" spans="1:6" x14ac:dyDescent="0.2">
      <c r="A491" s="1">
        <v>44441</v>
      </c>
      <c r="B491" s="5" t="s">
        <v>6</v>
      </c>
      <c r="C491" s="2">
        <v>1143</v>
      </c>
      <c r="D491" s="2">
        <v>247</v>
      </c>
      <c r="E491" s="3">
        <v>4109.91</v>
      </c>
      <c r="F491" s="4" t="str">
        <f>IF(campaignData[[#This Row],[Campaign]]="Old_Campaign", "A", "B")</f>
        <v>B</v>
      </c>
    </row>
    <row r="492" spans="1:6" x14ac:dyDescent="0.2">
      <c r="A492" s="1">
        <v>44442</v>
      </c>
      <c r="B492" s="5" t="s">
        <v>5</v>
      </c>
      <c r="C492" s="2">
        <v>1202</v>
      </c>
      <c r="D492" s="2">
        <v>265</v>
      </c>
      <c r="E492" s="3">
        <v>3398.76</v>
      </c>
      <c r="F492" s="4" t="str">
        <f>IF(campaignData[[#This Row],[Campaign]]="Old_Campaign", "A", "B")</f>
        <v>A</v>
      </c>
    </row>
    <row r="493" spans="1:6" x14ac:dyDescent="0.2">
      <c r="A493" s="1">
        <v>44442</v>
      </c>
      <c r="B493" s="5" t="s">
        <v>6</v>
      </c>
      <c r="C493" s="2">
        <v>1122</v>
      </c>
      <c r="D493" s="2">
        <v>249</v>
      </c>
      <c r="E493" s="3">
        <v>3443.26</v>
      </c>
      <c r="F493" s="4" t="str">
        <f>IF(campaignData[[#This Row],[Campaign]]="Old_Campaign", "A", "B")</f>
        <v>B</v>
      </c>
    </row>
    <row r="494" spans="1:6" x14ac:dyDescent="0.2">
      <c r="A494" s="1">
        <v>44443</v>
      </c>
      <c r="B494" s="5" t="s">
        <v>5</v>
      </c>
      <c r="C494" s="2">
        <v>1225</v>
      </c>
      <c r="D494" s="2">
        <v>241</v>
      </c>
      <c r="E494" s="3">
        <v>4190.5600000000004</v>
      </c>
      <c r="F494" s="4" t="str">
        <f>IF(campaignData[[#This Row],[Campaign]]="Old_Campaign", "A", "B")</f>
        <v>A</v>
      </c>
    </row>
    <row r="495" spans="1:6" x14ac:dyDescent="0.2">
      <c r="A495" s="1">
        <v>44443</v>
      </c>
      <c r="B495" s="5" t="s">
        <v>6</v>
      </c>
      <c r="C495" s="2">
        <v>1185</v>
      </c>
      <c r="D495" s="2">
        <v>262</v>
      </c>
      <c r="E495" s="3">
        <v>3677.87</v>
      </c>
      <c r="F495" s="4" t="str">
        <f>IF(campaignData[[#This Row],[Campaign]]="Old_Campaign", "A", "B")</f>
        <v>B</v>
      </c>
    </row>
    <row r="496" spans="1:6" x14ac:dyDescent="0.2">
      <c r="A496" s="1">
        <v>44444</v>
      </c>
      <c r="B496" s="5" t="s">
        <v>5</v>
      </c>
      <c r="C496" s="2">
        <v>1227</v>
      </c>
      <c r="D496" s="2">
        <v>240</v>
      </c>
      <c r="E496" s="3">
        <v>3640.95</v>
      </c>
      <c r="F496" s="4" t="str">
        <f>IF(campaignData[[#This Row],[Campaign]]="Old_Campaign", "A", "B")</f>
        <v>A</v>
      </c>
    </row>
    <row r="497" spans="1:6" x14ac:dyDescent="0.2">
      <c r="A497" s="1">
        <v>44444</v>
      </c>
      <c r="B497" s="5" t="s">
        <v>6</v>
      </c>
      <c r="C497" s="2">
        <v>1171</v>
      </c>
      <c r="D497" s="2">
        <v>263</v>
      </c>
      <c r="E497" s="3">
        <v>3782.85</v>
      </c>
      <c r="F497" s="4" t="str">
        <f>IF(campaignData[[#This Row],[Campaign]]="Old_Campaign", "A", "B")</f>
        <v>B</v>
      </c>
    </row>
    <row r="498" spans="1:6" x14ac:dyDescent="0.2">
      <c r="A498" s="1">
        <v>44445</v>
      </c>
      <c r="B498" s="5" t="s">
        <v>5</v>
      </c>
      <c r="C498" s="2">
        <v>1179</v>
      </c>
      <c r="D498" s="2">
        <v>220</v>
      </c>
      <c r="E498" s="3">
        <v>4178.09</v>
      </c>
      <c r="F498" s="4" t="str">
        <f>IF(campaignData[[#This Row],[Campaign]]="Old_Campaign", "A", "B")</f>
        <v>A</v>
      </c>
    </row>
    <row r="499" spans="1:6" x14ac:dyDescent="0.2">
      <c r="A499" s="1">
        <v>44445</v>
      </c>
      <c r="B499" s="5" t="s">
        <v>6</v>
      </c>
      <c r="C499" s="2">
        <v>1137</v>
      </c>
      <c r="D499" s="2">
        <v>268</v>
      </c>
      <c r="E499" s="3">
        <v>5954.92</v>
      </c>
      <c r="F499" s="4" t="str">
        <f>IF(campaignData[[#This Row],[Campaign]]="Old_Campaign", "A", "B")</f>
        <v>B</v>
      </c>
    </row>
    <row r="500" spans="1:6" x14ac:dyDescent="0.2">
      <c r="A500" s="1">
        <v>44446</v>
      </c>
      <c r="B500" s="5" t="s">
        <v>5</v>
      </c>
      <c r="C500" s="2">
        <v>1222</v>
      </c>
      <c r="D500" s="2">
        <v>222</v>
      </c>
      <c r="E500" s="3">
        <v>3082.11</v>
      </c>
      <c r="F500" s="4" t="str">
        <f>IF(campaignData[[#This Row],[Campaign]]="Old_Campaign", "A", "B")</f>
        <v>A</v>
      </c>
    </row>
    <row r="501" spans="1:6" x14ac:dyDescent="0.2">
      <c r="A501" s="1">
        <v>44446</v>
      </c>
      <c r="B501" s="5" t="s">
        <v>6</v>
      </c>
      <c r="C501" s="2">
        <v>1134</v>
      </c>
      <c r="D501" s="2">
        <v>248</v>
      </c>
      <c r="E501" s="3">
        <v>3422.32</v>
      </c>
      <c r="F501" s="4" t="str">
        <f>IF(campaignData[[#This Row],[Campaign]]="Old_Campaign", "A", "B")</f>
        <v>B</v>
      </c>
    </row>
    <row r="502" spans="1:6" x14ac:dyDescent="0.2">
      <c r="A502" s="1">
        <v>44447</v>
      </c>
      <c r="B502" s="5" t="s">
        <v>5</v>
      </c>
      <c r="C502" s="2">
        <v>1276</v>
      </c>
      <c r="D502" s="2">
        <v>254</v>
      </c>
      <c r="E502" s="3">
        <v>4163.33</v>
      </c>
      <c r="F502" s="4" t="str">
        <f>IF(campaignData[[#This Row],[Campaign]]="Old_Campaign", "A", "B")</f>
        <v>A</v>
      </c>
    </row>
    <row r="503" spans="1:6" x14ac:dyDescent="0.2">
      <c r="A503" s="1">
        <v>44447</v>
      </c>
      <c r="B503" s="5" t="s">
        <v>6</v>
      </c>
      <c r="C503" s="2">
        <v>1139</v>
      </c>
      <c r="D503" s="2">
        <v>272</v>
      </c>
      <c r="E503" s="3">
        <v>4813.91</v>
      </c>
      <c r="F503" s="4" t="str">
        <f>IF(campaignData[[#This Row],[Campaign]]="Old_Campaign", "A", "B")</f>
        <v>B</v>
      </c>
    </row>
    <row r="504" spans="1:6" x14ac:dyDescent="0.2">
      <c r="A504" s="1">
        <v>44448</v>
      </c>
      <c r="B504" s="5" t="s">
        <v>5</v>
      </c>
      <c r="C504" s="2">
        <v>1194</v>
      </c>
      <c r="D504" s="2">
        <v>224</v>
      </c>
      <c r="E504" s="3">
        <v>3363.16</v>
      </c>
      <c r="F504" s="4" t="str">
        <f>IF(campaignData[[#This Row],[Campaign]]="Old_Campaign", "A", "B")</f>
        <v>A</v>
      </c>
    </row>
    <row r="505" spans="1:6" x14ac:dyDescent="0.2">
      <c r="A505" s="1">
        <v>44448</v>
      </c>
      <c r="B505" s="5" t="s">
        <v>6</v>
      </c>
      <c r="C505" s="2">
        <v>1172</v>
      </c>
      <c r="D505" s="2">
        <v>254</v>
      </c>
      <c r="E505" s="3">
        <v>3728.56</v>
      </c>
      <c r="F505" s="4" t="str">
        <f>IF(campaignData[[#This Row],[Campaign]]="Old_Campaign", "A", "B")</f>
        <v>B</v>
      </c>
    </row>
    <row r="506" spans="1:6" x14ac:dyDescent="0.2">
      <c r="A506" s="1">
        <v>44449</v>
      </c>
      <c r="B506" s="5" t="s">
        <v>5</v>
      </c>
      <c r="C506" s="2">
        <v>1205</v>
      </c>
      <c r="D506" s="2">
        <v>211</v>
      </c>
      <c r="E506" s="3">
        <v>2962.93</v>
      </c>
      <c r="F506" s="4" t="str">
        <f>IF(campaignData[[#This Row],[Campaign]]="Old_Campaign", "A", "B")</f>
        <v>A</v>
      </c>
    </row>
    <row r="507" spans="1:6" x14ac:dyDescent="0.2">
      <c r="A507" s="1">
        <v>44449</v>
      </c>
      <c r="B507" s="5" t="s">
        <v>6</v>
      </c>
      <c r="C507" s="2">
        <v>1129</v>
      </c>
      <c r="D507" s="2">
        <v>252</v>
      </c>
      <c r="E507" s="3">
        <v>3597.16</v>
      </c>
      <c r="F507" s="4" t="str">
        <f>IF(campaignData[[#This Row],[Campaign]]="Old_Campaign", "A", "B")</f>
        <v>B</v>
      </c>
    </row>
    <row r="508" spans="1:6" x14ac:dyDescent="0.2">
      <c r="A508" s="1">
        <v>44450</v>
      </c>
      <c r="B508" s="5" t="s">
        <v>5</v>
      </c>
      <c r="C508" s="2">
        <v>1207</v>
      </c>
      <c r="D508" s="2">
        <v>252</v>
      </c>
      <c r="E508" s="3">
        <v>3593.88</v>
      </c>
      <c r="F508" s="4" t="str">
        <f>IF(campaignData[[#This Row],[Campaign]]="Old_Campaign", "A", "B")</f>
        <v>A</v>
      </c>
    </row>
    <row r="509" spans="1:6" x14ac:dyDescent="0.2">
      <c r="A509" s="1">
        <v>44450</v>
      </c>
      <c r="B509" s="5" t="s">
        <v>6</v>
      </c>
      <c r="C509" s="2">
        <v>1155</v>
      </c>
      <c r="D509" s="2">
        <v>268</v>
      </c>
      <c r="E509" s="3">
        <v>4364.8599999999997</v>
      </c>
      <c r="F509" s="4" t="str">
        <f>IF(campaignData[[#This Row],[Campaign]]="Old_Campaign", "A", "B")</f>
        <v>B</v>
      </c>
    </row>
    <row r="510" spans="1:6" x14ac:dyDescent="0.2">
      <c r="A510" s="1">
        <v>44451</v>
      </c>
      <c r="B510" s="5" t="s">
        <v>5</v>
      </c>
      <c r="C510" s="2">
        <v>1212</v>
      </c>
      <c r="D510" s="2">
        <v>220</v>
      </c>
      <c r="E510" s="3">
        <v>3064.25</v>
      </c>
      <c r="F510" s="4" t="str">
        <f>IF(campaignData[[#This Row],[Campaign]]="Old_Campaign", "A", "B")</f>
        <v>A</v>
      </c>
    </row>
    <row r="511" spans="1:6" x14ac:dyDescent="0.2">
      <c r="A511" s="1">
        <v>44451</v>
      </c>
      <c r="B511" s="5" t="s">
        <v>6</v>
      </c>
      <c r="C511" s="2">
        <v>1168</v>
      </c>
      <c r="D511" s="2">
        <v>260</v>
      </c>
      <c r="E511" s="3">
        <v>3272.17</v>
      </c>
      <c r="F511" s="4" t="str">
        <f>IF(campaignData[[#This Row],[Campaign]]="Old_Campaign", "A", "B")</f>
        <v>B</v>
      </c>
    </row>
    <row r="512" spans="1:6" x14ac:dyDescent="0.2">
      <c r="A512" s="1">
        <v>44452</v>
      </c>
      <c r="B512" s="5" t="s">
        <v>5</v>
      </c>
      <c r="C512" s="2">
        <v>1274</v>
      </c>
      <c r="D512" s="2">
        <v>239</v>
      </c>
      <c r="E512" s="3">
        <v>3387.36</v>
      </c>
      <c r="F512" s="4" t="str">
        <f>IF(campaignData[[#This Row],[Campaign]]="Old_Campaign", "A", "B")</f>
        <v>A</v>
      </c>
    </row>
    <row r="513" spans="1:6" x14ac:dyDescent="0.2">
      <c r="A513" s="1">
        <v>44452</v>
      </c>
      <c r="B513" s="5" t="s">
        <v>6</v>
      </c>
      <c r="C513" s="2">
        <v>1127</v>
      </c>
      <c r="D513" s="2">
        <v>250</v>
      </c>
      <c r="E513" s="3">
        <v>4130.1400000000003</v>
      </c>
      <c r="F513" s="4" t="str">
        <f>IF(campaignData[[#This Row],[Campaign]]="Old_Campaign", "A", "B")</f>
        <v>B</v>
      </c>
    </row>
    <row r="514" spans="1:6" x14ac:dyDescent="0.2">
      <c r="A514" s="1">
        <v>44453</v>
      </c>
      <c r="B514" s="5" t="s">
        <v>5</v>
      </c>
      <c r="C514" s="2">
        <v>1134</v>
      </c>
      <c r="D514" s="2">
        <v>197</v>
      </c>
      <c r="E514" s="3">
        <v>2864.22</v>
      </c>
      <c r="F514" s="4" t="str">
        <f>IF(campaignData[[#This Row],[Campaign]]="Old_Campaign", "A", "B")</f>
        <v>A</v>
      </c>
    </row>
    <row r="515" spans="1:6" x14ac:dyDescent="0.2">
      <c r="A515" s="1">
        <v>44453</v>
      </c>
      <c r="B515" s="5" t="s">
        <v>6</v>
      </c>
      <c r="C515" s="2">
        <v>1174</v>
      </c>
      <c r="D515" s="2">
        <v>278</v>
      </c>
      <c r="E515" s="3">
        <v>3934.13</v>
      </c>
      <c r="F515" s="4" t="str">
        <f>IF(campaignData[[#This Row],[Campaign]]="Old_Campaign", "A", "B")</f>
        <v>B</v>
      </c>
    </row>
    <row r="516" spans="1:6" x14ac:dyDescent="0.2">
      <c r="A516" s="1">
        <v>44454</v>
      </c>
      <c r="B516" s="5" t="s">
        <v>5</v>
      </c>
      <c r="C516" s="2">
        <v>1190</v>
      </c>
      <c r="D516" s="2">
        <v>222</v>
      </c>
      <c r="E516" s="3">
        <v>2920.69</v>
      </c>
      <c r="F516" s="4" t="str">
        <f>IF(campaignData[[#This Row],[Campaign]]="Old_Campaign", "A", "B")</f>
        <v>A</v>
      </c>
    </row>
    <row r="517" spans="1:6" x14ac:dyDescent="0.2">
      <c r="A517" s="1">
        <v>44454</v>
      </c>
      <c r="B517" s="5" t="s">
        <v>6</v>
      </c>
      <c r="C517" s="2">
        <v>1165</v>
      </c>
      <c r="D517" s="2">
        <v>291</v>
      </c>
      <c r="E517" s="3">
        <v>4071.7</v>
      </c>
      <c r="F517" s="4" t="str">
        <f>IF(campaignData[[#This Row],[Campaign]]="Old_Campaign", "A", "B")</f>
        <v>B</v>
      </c>
    </row>
    <row r="518" spans="1:6" x14ac:dyDescent="0.2">
      <c r="A518" s="1">
        <v>44455</v>
      </c>
      <c r="B518" s="5" t="s">
        <v>5</v>
      </c>
      <c r="C518" s="2">
        <v>1179</v>
      </c>
      <c r="D518" s="2">
        <v>232</v>
      </c>
      <c r="E518" s="3">
        <v>2876.99</v>
      </c>
      <c r="F518" s="4" t="str">
        <f>IF(campaignData[[#This Row],[Campaign]]="Old_Campaign", "A", "B")</f>
        <v>A</v>
      </c>
    </row>
    <row r="519" spans="1:6" x14ac:dyDescent="0.2">
      <c r="A519" s="1">
        <v>44455</v>
      </c>
      <c r="B519" s="5" t="s">
        <v>6</v>
      </c>
      <c r="C519" s="2">
        <v>1124</v>
      </c>
      <c r="D519" s="2">
        <v>264</v>
      </c>
      <c r="E519" s="3">
        <v>4662.1000000000004</v>
      </c>
      <c r="F519" s="4" t="str">
        <f>IF(campaignData[[#This Row],[Campaign]]="Old_Campaign", "A", "B")</f>
        <v>B</v>
      </c>
    </row>
    <row r="520" spans="1:6" x14ac:dyDescent="0.2">
      <c r="A520" s="1">
        <v>44456</v>
      </c>
      <c r="B520" s="5" t="s">
        <v>5</v>
      </c>
      <c r="C520" s="2">
        <v>1210</v>
      </c>
      <c r="D520" s="2">
        <v>211</v>
      </c>
      <c r="E520" s="3">
        <v>3397.72</v>
      </c>
      <c r="F520" s="4" t="str">
        <f>IF(campaignData[[#This Row],[Campaign]]="Old_Campaign", "A", "B")</f>
        <v>A</v>
      </c>
    </row>
    <row r="521" spans="1:6" x14ac:dyDescent="0.2">
      <c r="A521" s="1">
        <v>44456</v>
      </c>
      <c r="B521" s="5" t="s">
        <v>6</v>
      </c>
      <c r="C521" s="2">
        <v>1118</v>
      </c>
      <c r="D521" s="2">
        <v>274</v>
      </c>
      <c r="E521" s="3">
        <v>4570.6400000000003</v>
      </c>
      <c r="F521" s="4" t="str">
        <f>IF(campaignData[[#This Row],[Campaign]]="Old_Campaign", "A", "B")</f>
        <v>B</v>
      </c>
    </row>
    <row r="522" spans="1:6" x14ac:dyDescent="0.2">
      <c r="A522" s="1">
        <v>44457</v>
      </c>
      <c r="B522" s="5" t="s">
        <v>5</v>
      </c>
      <c r="C522" s="2">
        <v>1208</v>
      </c>
      <c r="D522" s="2">
        <v>222</v>
      </c>
      <c r="E522" s="3">
        <v>3829.21</v>
      </c>
      <c r="F522" s="4" t="str">
        <f>IF(campaignData[[#This Row],[Campaign]]="Old_Campaign", "A", "B")</f>
        <v>A</v>
      </c>
    </row>
    <row r="523" spans="1:6" x14ac:dyDescent="0.2">
      <c r="A523" s="1">
        <v>44457</v>
      </c>
      <c r="B523" s="5" t="s">
        <v>6</v>
      </c>
      <c r="C523" s="2">
        <v>1116</v>
      </c>
      <c r="D523" s="2">
        <v>244</v>
      </c>
      <c r="E523" s="3">
        <v>3740.97</v>
      </c>
      <c r="F523" s="4" t="str">
        <f>IF(campaignData[[#This Row],[Campaign]]="Old_Campaign", "A", "B")</f>
        <v>B</v>
      </c>
    </row>
    <row r="524" spans="1:6" x14ac:dyDescent="0.2">
      <c r="A524" s="1">
        <v>44458</v>
      </c>
      <c r="B524" s="5" t="s">
        <v>5</v>
      </c>
      <c r="C524" s="2">
        <v>1145</v>
      </c>
      <c r="D524" s="2">
        <v>241</v>
      </c>
      <c r="E524" s="3">
        <v>3404.48</v>
      </c>
      <c r="F524" s="4" t="str">
        <f>IF(campaignData[[#This Row],[Campaign]]="Old_Campaign", "A", "B")</f>
        <v>A</v>
      </c>
    </row>
    <row r="525" spans="1:6" x14ac:dyDescent="0.2">
      <c r="A525" s="1">
        <v>44458</v>
      </c>
      <c r="B525" s="5" t="s">
        <v>6</v>
      </c>
      <c r="C525" s="2">
        <v>1173</v>
      </c>
      <c r="D525" s="2">
        <v>278</v>
      </c>
      <c r="E525" s="3">
        <v>3554.74</v>
      </c>
      <c r="F525" s="4" t="str">
        <f>IF(campaignData[[#This Row],[Campaign]]="Old_Campaign", "A", "B")</f>
        <v>B</v>
      </c>
    </row>
    <row r="526" spans="1:6" x14ac:dyDescent="0.2">
      <c r="A526" s="1">
        <v>44459</v>
      </c>
      <c r="B526" s="5" t="s">
        <v>5</v>
      </c>
      <c r="C526" s="2">
        <v>1214</v>
      </c>
      <c r="D526" s="2">
        <v>217</v>
      </c>
      <c r="E526" s="3">
        <v>3382.69</v>
      </c>
      <c r="F526" s="4" t="str">
        <f>IF(campaignData[[#This Row],[Campaign]]="Old_Campaign", "A", "B")</f>
        <v>A</v>
      </c>
    </row>
    <row r="527" spans="1:6" x14ac:dyDescent="0.2">
      <c r="A527" s="1">
        <v>44459</v>
      </c>
      <c r="B527" s="5" t="s">
        <v>6</v>
      </c>
      <c r="C527" s="2">
        <v>1174</v>
      </c>
      <c r="D527" s="2">
        <v>275</v>
      </c>
      <c r="E527" s="3">
        <v>4271.08</v>
      </c>
      <c r="F527" s="4" t="str">
        <f>IF(campaignData[[#This Row],[Campaign]]="Old_Campaign", "A", "B")</f>
        <v>B</v>
      </c>
    </row>
    <row r="528" spans="1:6" x14ac:dyDescent="0.2">
      <c r="A528" s="1">
        <v>44460</v>
      </c>
      <c r="B528" s="5" t="s">
        <v>5</v>
      </c>
      <c r="C528" s="2">
        <v>1176</v>
      </c>
      <c r="D528" s="2">
        <v>214</v>
      </c>
      <c r="E528" s="3">
        <v>3501.92</v>
      </c>
      <c r="F528" s="4" t="str">
        <f>IF(campaignData[[#This Row],[Campaign]]="Old_Campaign", "A", "B")</f>
        <v>A</v>
      </c>
    </row>
    <row r="529" spans="1:6" x14ac:dyDescent="0.2">
      <c r="A529" s="1">
        <v>44460</v>
      </c>
      <c r="B529" s="5" t="s">
        <v>6</v>
      </c>
      <c r="C529" s="2">
        <v>1167</v>
      </c>
      <c r="D529" s="2">
        <v>235</v>
      </c>
      <c r="E529" s="3">
        <v>4459.01</v>
      </c>
      <c r="F529" s="4" t="str">
        <f>IF(campaignData[[#This Row],[Campaign]]="Old_Campaign", "A", "B")</f>
        <v>B</v>
      </c>
    </row>
    <row r="530" spans="1:6" x14ac:dyDescent="0.2">
      <c r="A530" s="1">
        <v>44461</v>
      </c>
      <c r="B530" s="5" t="s">
        <v>5</v>
      </c>
      <c r="C530" s="2">
        <v>1167</v>
      </c>
      <c r="D530" s="2">
        <v>240</v>
      </c>
      <c r="E530" s="3">
        <v>3928</v>
      </c>
      <c r="F530" s="4" t="str">
        <f>IF(campaignData[[#This Row],[Campaign]]="Old_Campaign", "A", "B")</f>
        <v>A</v>
      </c>
    </row>
    <row r="531" spans="1:6" x14ac:dyDescent="0.2">
      <c r="A531" s="1">
        <v>44461</v>
      </c>
      <c r="B531" s="5" t="s">
        <v>6</v>
      </c>
      <c r="C531" s="2">
        <v>1158</v>
      </c>
      <c r="D531" s="2">
        <v>267</v>
      </c>
      <c r="E531" s="3">
        <v>4160.2299999999996</v>
      </c>
      <c r="F531" s="4" t="str">
        <f>IF(campaignData[[#This Row],[Campaign]]="Old_Campaign", "A", "B")</f>
        <v>B</v>
      </c>
    </row>
    <row r="532" spans="1:6" x14ac:dyDescent="0.2">
      <c r="A532" s="1">
        <v>44462</v>
      </c>
      <c r="B532" s="5" t="s">
        <v>5</v>
      </c>
      <c r="C532" s="2">
        <v>1251</v>
      </c>
      <c r="D532" s="2">
        <v>256</v>
      </c>
      <c r="E532" s="3">
        <v>3529.8</v>
      </c>
      <c r="F532" s="4" t="str">
        <f>IF(campaignData[[#This Row],[Campaign]]="Old_Campaign", "A", "B")</f>
        <v>A</v>
      </c>
    </row>
    <row r="533" spans="1:6" x14ac:dyDescent="0.2">
      <c r="A533" s="1">
        <v>44462</v>
      </c>
      <c r="B533" s="5" t="s">
        <v>6</v>
      </c>
      <c r="C533" s="2">
        <v>1144</v>
      </c>
      <c r="D533" s="2">
        <v>270</v>
      </c>
      <c r="E533" s="3">
        <v>5248.46</v>
      </c>
      <c r="F533" s="4" t="str">
        <f>IF(campaignData[[#This Row],[Campaign]]="Old_Campaign", "A", "B")</f>
        <v>B</v>
      </c>
    </row>
    <row r="534" spans="1:6" x14ac:dyDescent="0.2">
      <c r="A534" s="1">
        <v>44463</v>
      </c>
      <c r="B534" s="5" t="s">
        <v>5</v>
      </c>
      <c r="C534" s="2">
        <v>1194</v>
      </c>
      <c r="D534" s="2">
        <v>226</v>
      </c>
      <c r="E534" s="3">
        <v>3383.75</v>
      </c>
      <c r="F534" s="4" t="str">
        <f>IF(campaignData[[#This Row],[Campaign]]="Old_Campaign", "A", "B")</f>
        <v>A</v>
      </c>
    </row>
    <row r="535" spans="1:6" x14ac:dyDescent="0.2">
      <c r="A535" s="1">
        <v>44463</v>
      </c>
      <c r="B535" s="5" t="s">
        <v>6</v>
      </c>
      <c r="C535" s="2">
        <v>1212</v>
      </c>
      <c r="D535" s="2">
        <v>272</v>
      </c>
      <c r="E535" s="3">
        <v>3976.79</v>
      </c>
      <c r="F535" s="4" t="str">
        <f>IF(campaignData[[#This Row],[Campaign]]="Old_Campaign", "A", "B")</f>
        <v>B</v>
      </c>
    </row>
    <row r="536" spans="1:6" x14ac:dyDescent="0.2">
      <c r="A536" s="1">
        <v>44464</v>
      </c>
      <c r="B536" s="5" t="s">
        <v>5</v>
      </c>
      <c r="C536" s="2">
        <v>1216</v>
      </c>
      <c r="D536" s="2">
        <v>233</v>
      </c>
      <c r="E536" s="3">
        <v>3863.31</v>
      </c>
      <c r="F536" s="4" t="str">
        <f>IF(campaignData[[#This Row],[Campaign]]="Old_Campaign", "A", "B")</f>
        <v>A</v>
      </c>
    </row>
    <row r="537" spans="1:6" x14ac:dyDescent="0.2">
      <c r="A537" s="1">
        <v>44464</v>
      </c>
      <c r="B537" s="5" t="s">
        <v>6</v>
      </c>
      <c r="C537" s="2">
        <v>1184</v>
      </c>
      <c r="D537" s="2">
        <v>269</v>
      </c>
      <c r="E537" s="3">
        <v>4486.95</v>
      </c>
      <c r="F537" s="4" t="str">
        <f>IF(campaignData[[#This Row],[Campaign]]="Old_Campaign", "A", "B")</f>
        <v>B</v>
      </c>
    </row>
    <row r="538" spans="1:6" x14ac:dyDescent="0.2">
      <c r="A538" s="1">
        <v>44465</v>
      </c>
      <c r="B538" s="5" t="s">
        <v>5</v>
      </c>
      <c r="C538" s="2">
        <v>1180</v>
      </c>
      <c r="D538" s="2">
        <v>231</v>
      </c>
      <c r="E538" s="3">
        <v>2840.8</v>
      </c>
      <c r="F538" s="4" t="str">
        <f>IF(campaignData[[#This Row],[Campaign]]="Old_Campaign", "A", "B")</f>
        <v>A</v>
      </c>
    </row>
    <row r="539" spans="1:6" x14ac:dyDescent="0.2">
      <c r="A539" s="1">
        <v>44465</v>
      </c>
      <c r="B539" s="5" t="s">
        <v>6</v>
      </c>
      <c r="C539" s="2">
        <v>1186</v>
      </c>
      <c r="D539" s="2">
        <v>260</v>
      </c>
      <c r="E539" s="3">
        <v>3472.32</v>
      </c>
      <c r="F539" s="4" t="str">
        <f>IF(campaignData[[#This Row],[Campaign]]="Old_Campaign", "A", "B")</f>
        <v>B</v>
      </c>
    </row>
    <row r="540" spans="1:6" x14ac:dyDescent="0.2">
      <c r="A540" s="1">
        <v>44466</v>
      </c>
      <c r="B540" s="5" t="s">
        <v>5</v>
      </c>
      <c r="C540" s="2">
        <v>1281</v>
      </c>
      <c r="D540" s="2">
        <v>244</v>
      </c>
      <c r="E540" s="3">
        <v>3547.86</v>
      </c>
      <c r="F540" s="4" t="str">
        <f>IF(campaignData[[#This Row],[Campaign]]="Old_Campaign", "A", "B")</f>
        <v>A</v>
      </c>
    </row>
    <row r="541" spans="1:6" x14ac:dyDescent="0.2">
      <c r="A541" s="1">
        <v>44466</v>
      </c>
      <c r="B541" s="5" t="s">
        <v>6</v>
      </c>
      <c r="C541" s="2">
        <v>1155</v>
      </c>
      <c r="D541" s="2">
        <v>250</v>
      </c>
      <c r="E541" s="3">
        <v>3574.3</v>
      </c>
      <c r="F541" s="4" t="str">
        <f>IF(campaignData[[#This Row],[Campaign]]="Old_Campaign", "A", "B")</f>
        <v>B</v>
      </c>
    </row>
    <row r="542" spans="1:6" x14ac:dyDescent="0.2">
      <c r="A542" s="1">
        <v>44467</v>
      </c>
      <c r="B542" s="5" t="s">
        <v>5</v>
      </c>
      <c r="C542" s="2">
        <v>1218</v>
      </c>
      <c r="D542" s="2">
        <v>233</v>
      </c>
      <c r="E542" s="3">
        <v>3715.71</v>
      </c>
      <c r="F542" s="4" t="str">
        <f>IF(campaignData[[#This Row],[Campaign]]="Old_Campaign", "A", "B")</f>
        <v>A</v>
      </c>
    </row>
    <row r="543" spans="1:6" x14ac:dyDescent="0.2">
      <c r="A543" s="1">
        <v>44467</v>
      </c>
      <c r="B543" s="5" t="s">
        <v>6</v>
      </c>
      <c r="C543" s="2">
        <v>1115</v>
      </c>
      <c r="D543" s="2">
        <v>262</v>
      </c>
      <c r="E543" s="3">
        <v>3706.58</v>
      </c>
      <c r="F543" s="4" t="str">
        <f>IF(campaignData[[#This Row],[Campaign]]="Old_Campaign", "A", "B")</f>
        <v>B</v>
      </c>
    </row>
    <row r="544" spans="1:6" x14ac:dyDescent="0.2">
      <c r="A544" s="1">
        <v>44468</v>
      </c>
      <c r="B544" s="5" t="s">
        <v>5</v>
      </c>
      <c r="C544" s="2">
        <v>1162</v>
      </c>
      <c r="D544" s="2">
        <v>236</v>
      </c>
      <c r="E544" s="3">
        <v>3205.08</v>
      </c>
      <c r="F544" s="4" t="str">
        <f>IF(campaignData[[#This Row],[Campaign]]="Old_Campaign", "A", "B")</f>
        <v>A</v>
      </c>
    </row>
    <row r="545" spans="1:6" x14ac:dyDescent="0.2">
      <c r="A545" s="1">
        <v>44468</v>
      </c>
      <c r="B545" s="5" t="s">
        <v>6</v>
      </c>
      <c r="C545" s="2">
        <v>1100</v>
      </c>
      <c r="D545" s="2">
        <v>258</v>
      </c>
      <c r="E545" s="3">
        <v>3478.61</v>
      </c>
      <c r="F545" s="4" t="str">
        <f>IF(campaignData[[#This Row],[Campaign]]="Old_Campaign", "A", "B")</f>
        <v>B</v>
      </c>
    </row>
    <row r="546" spans="1:6" x14ac:dyDescent="0.2">
      <c r="A546" s="1">
        <v>44469</v>
      </c>
      <c r="B546" s="5" t="s">
        <v>5</v>
      </c>
      <c r="C546" s="2">
        <v>1173</v>
      </c>
      <c r="D546" s="2">
        <v>233</v>
      </c>
      <c r="E546" s="3">
        <v>3970.96</v>
      </c>
      <c r="F546" s="4" t="str">
        <f>IF(campaignData[[#This Row],[Campaign]]="Old_Campaign", "A", "B")</f>
        <v>A</v>
      </c>
    </row>
    <row r="547" spans="1:6" x14ac:dyDescent="0.2">
      <c r="A547" s="1">
        <v>44469</v>
      </c>
      <c r="B547" s="5" t="s">
        <v>6</v>
      </c>
      <c r="C547" s="2">
        <v>1142</v>
      </c>
      <c r="D547" s="2">
        <v>266</v>
      </c>
      <c r="E547" s="3">
        <v>5367.05</v>
      </c>
      <c r="F547" s="4" t="str">
        <f>IF(campaignData[[#This Row],[Campaign]]="Old_Campaign", "A", "B")</f>
        <v>B</v>
      </c>
    </row>
    <row r="548" spans="1:6" x14ac:dyDescent="0.2">
      <c r="A548" s="1">
        <v>44470</v>
      </c>
      <c r="B548" s="5" t="s">
        <v>5</v>
      </c>
      <c r="C548" s="2">
        <v>1221</v>
      </c>
      <c r="D548" s="2">
        <v>242</v>
      </c>
      <c r="E548" s="3">
        <v>3788.67</v>
      </c>
      <c r="F548" s="4" t="str">
        <f>IF(campaignData[[#This Row],[Campaign]]="Old_Campaign", "A", "B")</f>
        <v>A</v>
      </c>
    </row>
    <row r="549" spans="1:6" x14ac:dyDescent="0.2">
      <c r="A549" s="1">
        <v>44470</v>
      </c>
      <c r="B549" s="5" t="s">
        <v>6</v>
      </c>
      <c r="C549" s="2">
        <v>1153</v>
      </c>
      <c r="D549" s="2">
        <v>287</v>
      </c>
      <c r="E549" s="3">
        <v>5122.53</v>
      </c>
      <c r="F549" s="4" t="str">
        <f>IF(campaignData[[#This Row],[Campaign]]="Old_Campaign", "A", "B")</f>
        <v>B</v>
      </c>
    </row>
    <row r="550" spans="1:6" x14ac:dyDescent="0.2">
      <c r="A550" s="1">
        <v>44471</v>
      </c>
      <c r="B550" s="5" t="s">
        <v>5</v>
      </c>
      <c r="C550" s="2">
        <v>1183</v>
      </c>
      <c r="D550" s="2">
        <v>208</v>
      </c>
      <c r="E550" s="3">
        <v>3477.12</v>
      </c>
      <c r="F550" s="4" t="str">
        <f>IF(campaignData[[#This Row],[Campaign]]="Old_Campaign", "A", "B")</f>
        <v>A</v>
      </c>
    </row>
    <row r="551" spans="1:6" x14ac:dyDescent="0.2">
      <c r="A551" s="1">
        <v>44471</v>
      </c>
      <c r="B551" s="5" t="s">
        <v>6</v>
      </c>
      <c r="C551" s="2">
        <v>1118</v>
      </c>
      <c r="D551" s="2">
        <v>274</v>
      </c>
      <c r="E551" s="3">
        <v>4255.43</v>
      </c>
      <c r="F551" s="4" t="str">
        <f>IF(campaignData[[#This Row],[Campaign]]="Old_Campaign", "A", "B")</f>
        <v>B</v>
      </c>
    </row>
    <row r="552" spans="1:6" x14ac:dyDescent="0.2">
      <c r="A552" s="1">
        <v>44472</v>
      </c>
      <c r="B552" s="5" t="s">
        <v>5</v>
      </c>
      <c r="C552" s="2">
        <v>1232</v>
      </c>
      <c r="D552" s="2">
        <v>239</v>
      </c>
      <c r="E552" s="3">
        <v>4284.88</v>
      </c>
      <c r="F552" s="4" t="str">
        <f>IF(campaignData[[#This Row],[Campaign]]="Old_Campaign", "A", "B")</f>
        <v>A</v>
      </c>
    </row>
    <row r="553" spans="1:6" x14ac:dyDescent="0.2">
      <c r="A553" s="1">
        <v>44472</v>
      </c>
      <c r="B553" s="5" t="s">
        <v>6</v>
      </c>
      <c r="C553" s="2">
        <v>1124</v>
      </c>
      <c r="D553" s="2">
        <v>269</v>
      </c>
      <c r="E553" s="3">
        <v>4840.3100000000004</v>
      </c>
      <c r="F553" s="4" t="str">
        <f>IF(campaignData[[#This Row],[Campaign]]="Old_Campaign", "A", "B")</f>
        <v>B</v>
      </c>
    </row>
    <row r="554" spans="1:6" x14ac:dyDescent="0.2">
      <c r="A554" s="1">
        <v>44473</v>
      </c>
      <c r="B554" s="5" t="s">
        <v>5</v>
      </c>
      <c r="C554" s="2">
        <v>1183</v>
      </c>
      <c r="D554" s="2">
        <v>237</v>
      </c>
      <c r="E554" s="3">
        <v>3175.78</v>
      </c>
      <c r="F554" s="4" t="str">
        <f>IF(campaignData[[#This Row],[Campaign]]="Old_Campaign", "A", "B")</f>
        <v>A</v>
      </c>
    </row>
    <row r="555" spans="1:6" x14ac:dyDescent="0.2">
      <c r="A555" s="1">
        <v>44473</v>
      </c>
      <c r="B555" s="5" t="s">
        <v>6</v>
      </c>
      <c r="C555" s="2">
        <v>1139</v>
      </c>
      <c r="D555" s="2">
        <v>284</v>
      </c>
      <c r="E555" s="3">
        <v>4507.92</v>
      </c>
      <c r="F555" s="4" t="str">
        <f>IF(campaignData[[#This Row],[Campaign]]="Old_Campaign", "A", "B")</f>
        <v>B</v>
      </c>
    </row>
    <row r="556" spans="1:6" x14ac:dyDescent="0.2">
      <c r="A556" s="1">
        <v>44474</v>
      </c>
      <c r="B556" s="5" t="s">
        <v>5</v>
      </c>
      <c r="C556" s="2">
        <v>1134</v>
      </c>
      <c r="D556" s="2">
        <v>217</v>
      </c>
      <c r="E556" s="3">
        <v>2991.69</v>
      </c>
      <c r="F556" s="4" t="str">
        <f>IF(campaignData[[#This Row],[Campaign]]="Old_Campaign", "A", "B")</f>
        <v>A</v>
      </c>
    </row>
    <row r="557" spans="1:6" x14ac:dyDescent="0.2">
      <c r="A557" s="1">
        <v>44474</v>
      </c>
      <c r="B557" s="5" t="s">
        <v>6</v>
      </c>
      <c r="C557" s="2">
        <v>1138</v>
      </c>
      <c r="D557" s="2">
        <v>252</v>
      </c>
      <c r="E557" s="3">
        <v>4138.49</v>
      </c>
      <c r="F557" s="4" t="str">
        <f>IF(campaignData[[#This Row],[Campaign]]="Old_Campaign", "A", "B")</f>
        <v>B</v>
      </c>
    </row>
    <row r="558" spans="1:6" x14ac:dyDescent="0.2">
      <c r="A558" s="1">
        <v>44475</v>
      </c>
      <c r="B558" s="5" t="s">
        <v>5</v>
      </c>
      <c r="C558" s="2">
        <v>1206</v>
      </c>
      <c r="D558" s="2">
        <v>229</v>
      </c>
      <c r="E558" s="3">
        <v>3149.05</v>
      </c>
      <c r="F558" s="4" t="str">
        <f>IF(campaignData[[#This Row],[Campaign]]="Old_Campaign", "A", "B")</f>
        <v>A</v>
      </c>
    </row>
    <row r="559" spans="1:6" x14ac:dyDescent="0.2">
      <c r="A559" s="1">
        <v>44475</v>
      </c>
      <c r="B559" s="5" t="s">
        <v>6</v>
      </c>
      <c r="C559" s="2">
        <v>1137</v>
      </c>
      <c r="D559" s="2">
        <v>244</v>
      </c>
      <c r="E559" s="3">
        <v>3813.95</v>
      </c>
      <c r="F559" s="4" t="str">
        <f>IF(campaignData[[#This Row],[Campaign]]="Old_Campaign", "A", "B")</f>
        <v>B</v>
      </c>
    </row>
    <row r="560" spans="1:6" x14ac:dyDescent="0.2">
      <c r="A560" s="1">
        <v>44476</v>
      </c>
      <c r="B560" s="5" t="s">
        <v>5</v>
      </c>
      <c r="C560" s="2">
        <v>1169</v>
      </c>
      <c r="D560" s="2">
        <v>241</v>
      </c>
      <c r="E560" s="3">
        <v>3903.62</v>
      </c>
      <c r="F560" s="4" t="str">
        <f>IF(campaignData[[#This Row],[Campaign]]="Old_Campaign", "A", "B")</f>
        <v>A</v>
      </c>
    </row>
    <row r="561" spans="1:6" x14ac:dyDescent="0.2">
      <c r="A561" s="1">
        <v>44476</v>
      </c>
      <c r="B561" s="5" t="s">
        <v>6</v>
      </c>
      <c r="C561" s="2">
        <v>1155</v>
      </c>
      <c r="D561" s="2">
        <v>252</v>
      </c>
      <c r="E561" s="3">
        <v>4368.84</v>
      </c>
      <c r="F561" s="4" t="str">
        <f>IF(campaignData[[#This Row],[Campaign]]="Old_Campaign", "A", "B")</f>
        <v>B</v>
      </c>
    </row>
    <row r="562" spans="1:6" x14ac:dyDescent="0.2">
      <c r="A562" s="1">
        <v>44477</v>
      </c>
      <c r="B562" s="5" t="s">
        <v>5</v>
      </c>
      <c r="C562" s="2">
        <v>1212</v>
      </c>
      <c r="D562" s="2">
        <v>232</v>
      </c>
      <c r="E562" s="3">
        <v>3617.61</v>
      </c>
      <c r="F562" s="4" t="str">
        <f>IF(campaignData[[#This Row],[Campaign]]="Old_Campaign", "A", "B")</f>
        <v>A</v>
      </c>
    </row>
    <row r="563" spans="1:6" x14ac:dyDescent="0.2">
      <c r="A563" s="1">
        <v>44477</v>
      </c>
      <c r="B563" s="5" t="s">
        <v>6</v>
      </c>
      <c r="C563" s="2">
        <v>1204</v>
      </c>
      <c r="D563" s="2">
        <v>284</v>
      </c>
      <c r="E563" s="3">
        <v>4807.09</v>
      </c>
      <c r="F563" s="4" t="str">
        <f>IF(campaignData[[#This Row],[Campaign]]="Old_Campaign", "A", "B")</f>
        <v>B</v>
      </c>
    </row>
    <row r="564" spans="1:6" x14ac:dyDescent="0.2">
      <c r="A564" s="1">
        <v>44478</v>
      </c>
      <c r="B564" s="5" t="s">
        <v>5</v>
      </c>
      <c r="C564" s="2">
        <v>1249</v>
      </c>
      <c r="D564" s="2">
        <v>259</v>
      </c>
      <c r="E564" s="3">
        <v>4822.22</v>
      </c>
      <c r="F564" s="4" t="str">
        <f>IF(campaignData[[#This Row],[Campaign]]="Old_Campaign", "A", "B")</f>
        <v>A</v>
      </c>
    </row>
    <row r="565" spans="1:6" x14ac:dyDescent="0.2">
      <c r="A565" s="1">
        <v>44478</v>
      </c>
      <c r="B565" s="5" t="s">
        <v>6</v>
      </c>
      <c r="C565" s="2">
        <v>1127</v>
      </c>
      <c r="D565" s="2">
        <v>266</v>
      </c>
      <c r="E565" s="3">
        <v>4140</v>
      </c>
      <c r="F565" s="4" t="str">
        <f>IF(campaignData[[#This Row],[Campaign]]="Old_Campaign", "A", "B")</f>
        <v>B</v>
      </c>
    </row>
    <row r="566" spans="1:6" x14ac:dyDescent="0.2">
      <c r="A566" s="1">
        <v>44479</v>
      </c>
      <c r="B566" s="5" t="s">
        <v>5</v>
      </c>
      <c r="C566" s="2">
        <v>1169</v>
      </c>
      <c r="D566" s="2">
        <v>245</v>
      </c>
      <c r="E566" s="3">
        <v>3230.2</v>
      </c>
      <c r="F566" s="4" t="str">
        <f>IF(campaignData[[#This Row],[Campaign]]="Old_Campaign", "A", "B")</f>
        <v>A</v>
      </c>
    </row>
    <row r="567" spans="1:6" x14ac:dyDescent="0.2">
      <c r="A567" s="1">
        <v>44479</v>
      </c>
      <c r="B567" s="5" t="s">
        <v>6</v>
      </c>
      <c r="C567" s="2">
        <v>1185</v>
      </c>
      <c r="D567" s="2">
        <v>251</v>
      </c>
      <c r="E567" s="3">
        <v>4778.68</v>
      </c>
      <c r="F567" s="4" t="str">
        <f>IF(campaignData[[#This Row],[Campaign]]="Old_Campaign", "A", "B")</f>
        <v>B</v>
      </c>
    </row>
    <row r="568" spans="1:6" x14ac:dyDescent="0.2">
      <c r="A568" s="1">
        <v>44480</v>
      </c>
      <c r="B568" s="5" t="s">
        <v>5</v>
      </c>
      <c r="C568" s="2">
        <v>1270</v>
      </c>
      <c r="D568" s="2">
        <v>247</v>
      </c>
      <c r="E568" s="3">
        <v>4000.03</v>
      </c>
      <c r="F568" s="4" t="str">
        <f>IF(campaignData[[#This Row],[Campaign]]="Old_Campaign", "A", "B")</f>
        <v>A</v>
      </c>
    </row>
    <row r="569" spans="1:6" x14ac:dyDescent="0.2">
      <c r="A569" s="1">
        <v>44480</v>
      </c>
      <c r="B569" s="5" t="s">
        <v>6</v>
      </c>
      <c r="C569" s="2">
        <v>1120</v>
      </c>
      <c r="D569" s="2">
        <v>250</v>
      </c>
      <c r="E569" s="3">
        <v>3525.83</v>
      </c>
      <c r="F569" s="4" t="str">
        <f>IF(campaignData[[#This Row],[Campaign]]="Old_Campaign", "A", "B")</f>
        <v>B</v>
      </c>
    </row>
    <row r="570" spans="1:6" x14ac:dyDescent="0.2">
      <c r="A570" s="1">
        <v>44481</v>
      </c>
      <c r="B570" s="5" t="s">
        <v>5</v>
      </c>
      <c r="C570" s="2">
        <v>1235</v>
      </c>
      <c r="D570" s="2">
        <v>229</v>
      </c>
      <c r="E570" s="3">
        <v>3554.28</v>
      </c>
      <c r="F570" s="4" t="str">
        <f>IF(campaignData[[#This Row],[Campaign]]="Old_Campaign", "A", "B")</f>
        <v>A</v>
      </c>
    </row>
    <row r="571" spans="1:6" x14ac:dyDescent="0.2">
      <c r="A571" s="1">
        <v>44481</v>
      </c>
      <c r="B571" s="5" t="s">
        <v>6</v>
      </c>
      <c r="C571" s="2">
        <v>1137</v>
      </c>
      <c r="D571" s="2">
        <v>255</v>
      </c>
      <c r="E571" s="3">
        <v>3805.19</v>
      </c>
      <c r="F571" s="4" t="str">
        <f>IF(campaignData[[#This Row],[Campaign]]="Old_Campaign", "A", "B")</f>
        <v>B</v>
      </c>
    </row>
    <row r="572" spans="1:6" x14ac:dyDescent="0.2">
      <c r="A572" s="1">
        <v>44482</v>
      </c>
      <c r="B572" s="5" t="s">
        <v>5</v>
      </c>
      <c r="C572" s="2">
        <v>1173</v>
      </c>
      <c r="D572" s="2">
        <v>208</v>
      </c>
      <c r="E572" s="3">
        <v>3402.52</v>
      </c>
      <c r="F572" s="4" t="str">
        <f>IF(campaignData[[#This Row],[Campaign]]="Old_Campaign", "A", "B")</f>
        <v>A</v>
      </c>
    </row>
    <row r="573" spans="1:6" x14ac:dyDescent="0.2">
      <c r="A573" s="1">
        <v>44482</v>
      </c>
      <c r="B573" s="5" t="s">
        <v>6</v>
      </c>
      <c r="C573" s="2">
        <v>1198</v>
      </c>
      <c r="D573" s="2">
        <v>269</v>
      </c>
      <c r="E573" s="3">
        <v>4141.5</v>
      </c>
      <c r="F573" s="4" t="str">
        <f>IF(campaignData[[#This Row],[Campaign]]="Old_Campaign", "A", "B")</f>
        <v>B</v>
      </c>
    </row>
    <row r="574" spans="1:6" x14ac:dyDescent="0.2">
      <c r="A574" s="1">
        <v>44483</v>
      </c>
      <c r="B574" s="5" t="s">
        <v>5</v>
      </c>
      <c r="C574" s="2">
        <v>1134</v>
      </c>
      <c r="D574" s="2">
        <v>224</v>
      </c>
      <c r="E574" s="3">
        <v>2904.53</v>
      </c>
      <c r="F574" s="4" t="str">
        <f>IF(campaignData[[#This Row],[Campaign]]="Old_Campaign", "A", "B")</f>
        <v>A</v>
      </c>
    </row>
    <row r="575" spans="1:6" x14ac:dyDescent="0.2">
      <c r="A575" s="1">
        <v>44483</v>
      </c>
      <c r="B575" s="5" t="s">
        <v>6</v>
      </c>
      <c r="C575" s="2">
        <v>1180</v>
      </c>
      <c r="D575" s="2">
        <v>266</v>
      </c>
      <c r="E575" s="3">
        <v>4126.1499999999996</v>
      </c>
      <c r="F575" s="4" t="str">
        <f>IF(campaignData[[#This Row],[Campaign]]="Old_Campaign", "A", "B")</f>
        <v>B</v>
      </c>
    </row>
    <row r="576" spans="1:6" x14ac:dyDescent="0.2">
      <c r="A576" s="1">
        <v>44484</v>
      </c>
      <c r="B576" s="5" t="s">
        <v>5</v>
      </c>
      <c r="C576" s="2">
        <v>1171</v>
      </c>
      <c r="D576" s="2">
        <v>219</v>
      </c>
      <c r="E576" s="3">
        <v>3454.42</v>
      </c>
      <c r="F576" s="4" t="str">
        <f>IF(campaignData[[#This Row],[Campaign]]="Old_Campaign", "A", "B")</f>
        <v>A</v>
      </c>
    </row>
    <row r="577" spans="1:6" x14ac:dyDescent="0.2">
      <c r="A577" s="1">
        <v>44484</v>
      </c>
      <c r="B577" s="5" t="s">
        <v>6</v>
      </c>
      <c r="C577" s="2">
        <v>1156</v>
      </c>
      <c r="D577" s="2">
        <v>263</v>
      </c>
      <c r="E577" s="3">
        <v>4781.8599999999997</v>
      </c>
      <c r="F577" s="4" t="str">
        <f>IF(campaignData[[#This Row],[Campaign]]="Old_Campaign", "A", "B")</f>
        <v>B</v>
      </c>
    </row>
    <row r="578" spans="1:6" x14ac:dyDescent="0.2">
      <c r="A578" s="1">
        <v>44485</v>
      </c>
      <c r="B578" s="5" t="s">
        <v>5</v>
      </c>
      <c r="C578" s="2">
        <v>1227</v>
      </c>
      <c r="D578" s="2">
        <v>218</v>
      </c>
      <c r="E578" s="3">
        <v>3487.94</v>
      </c>
      <c r="F578" s="4" t="str">
        <f>IF(campaignData[[#This Row],[Campaign]]="Old_Campaign", "A", "B")</f>
        <v>A</v>
      </c>
    </row>
    <row r="579" spans="1:6" x14ac:dyDescent="0.2">
      <c r="A579" s="1">
        <v>44485</v>
      </c>
      <c r="B579" s="5" t="s">
        <v>6</v>
      </c>
      <c r="C579" s="2">
        <v>1212</v>
      </c>
      <c r="D579" s="2">
        <v>278</v>
      </c>
      <c r="E579" s="3">
        <v>3669.99</v>
      </c>
      <c r="F579" s="4" t="str">
        <f>IF(campaignData[[#This Row],[Campaign]]="Old_Campaign", "A", "B")</f>
        <v>B</v>
      </c>
    </row>
    <row r="580" spans="1:6" x14ac:dyDescent="0.2">
      <c r="A580" s="1">
        <v>44486</v>
      </c>
      <c r="B580" s="5" t="s">
        <v>5</v>
      </c>
      <c r="C580" s="2">
        <v>1234</v>
      </c>
      <c r="D580" s="2">
        <v>257</v>
      </c>
      <c r="E580" s="3">
        <v>4859.4399999999996</v>
      </c>
      <c r="F580" s="4" t="str">
        <f>IF(campaignData[[#This Row],[Campaign]]="Old_Campaign", "A", "B")</f>
        <v>A</v>
      </c>
    </row>
    <row r="581" spans="1:6" x14ac:dyDescent="0.2">
      <c r="A581" s="1">
        <v>44486</v>
      </c>
      <c r="B581" s="5" t="s">
        <v>6</v>
      </c>
      <c r="C581" s="2">
        <v>1168</v>
      </c>
      <c r="D581" s="2">
        <v>227</v>
      </c>
      <c r="E581" s="3">
        <v>3402.39</v>
      </c>
      <c r="F581" s="4" t="str">
        <f>IF(campaignData[[#This Row],[Campaign]]="Old_Campaign", "A", "B")</f>
        <v>B</v>
      </c>
    </row>
    <row r="582" spans="1:6" x14ac:dyDescent="0.2">
      <c r="A582" s="1">
        <v>44487</v>
      </c>
      <c r="B582" s="5" t="s">
        <v>5</v>
      </c>
      <c r="C582" s="2">
        <v>1200</v>
      </c>
      <c r="D582" s="2">
        <v>235</v>
      </c>
      <c r="E582" s="3">
        <v>4103.51</v>
      </c>
      <c r="F582" s="4" t="str">
        <f>IF(campaignData[[#This Row],[Campaign]]="Old_Campaign", "A", "B")</f>
        <v>A</v>
      </c>
    </row>
    <row r="583" spans="1:6" x14ac:dyDescent="0.2">
      <c r="A583" s="1">
        <v>44487</v>
      </c>
      <c r="B583" s="5" t="s">
        <v>6</v>
      </c>
      <c r="C583" s="2">
        <v>1115</v>
      </c>
      <c r="D583" s="2">
        <v>257</v>
      </c>
      <c r="E583" s="3">
        <v>4978.1000000000004</v>
      </c>
      <c r="F583" s="4" t="str">
        <f>IF(campaignData[[#This Row],[Campaign]]="Old_Campaign", "A", "B")</f>
        <v>B</v>
      </c>
    </row>
    <row r="584" spans="1:6" x14ac:dyDescent="0.2">
      <c r="A584" s="1">
        <v>44488</v>
      </c>
      <c r="B584" s="5" t="s">
        <v>5</v>
      </c>
      <c r="C584" s="2">
        <v>1239</v>
      </c>
      <c r="D584" s="2">
        <v>215</v>
      </c>
      <c r="E584" s="3">
        <v>3893.29</v>
      </c>
      <c r="F584" s="4" t="str">
        <f>IF(campaignData[[#This Row],[Campaign]]="Old_Campaign", "A", "B")</f>
        <v>A</v>
      </c>
    </row>
    <row r="585" spans="1:6" x14ac:dyDescent="0.2">
      <c r="A585" s="1">
        <v>44488</v>
      </c>
      <c r="B585" s="5" t="s">
        <v>6</v>
      </c>
      <c r="C585" s="2">
        <v>1188</v>
      </c>
      <c r="D585" s="2">
        <v>283</v>
      </c>
      <c r="E585" s="3">
        <v>5011.3500000000004</v>
      </c>
      <c r="F585" s="4" t="str">
        <f>IF(campaignData[[#This Row],[Campaign]]="Old_Campaign", "A", "B")</f>
        <v>B</v>
      </c>
    </row>
    <row r="586" spans="1:6" x14ac:dyDescent="0.2">
      <c r="A586" s="1">
        <v>44489</v>
      </c>
      <c r="B586" s="5" t="s">
        <v>5</v>
      </c>
      <c r="C586" s="2">
        <v>1160</v>
      </c>
      <c r="D586" s="2">
        <v>208</v>
      </c>
      <c r="E586" s="3">
        <v>3850.28</v>
      </c>
      <c r="F586" s="4" t="str">
        <f>IF(campaignData[[#This Row],[Campaign]]="Old_Campaign", "A", "B")</f>
        <v>A</v>
      </c>
    </row>
    <row r="587" spans="1:6" x14ac:dyDescent="0.2">
      <c r="A587" s="1">
        <v>44489</v>
      </c>
      <c r="B587" s="5" t="s">
        <v>6</v>
      </c>
      <c r="C587" s="2">
        <v>1136</v>
      </c>
      <c r="D587" s="2">
        <v>251</v>
      </c>
      <c r="E587" s="3">
        <v>4805.66</v>
      </c>
      <c r="F587" s="4" t="str">
        <f>IF(campaignData[[#This Row],[Campaign]]="Old_Campaign", "A", "B")</f>
        <v>B</v>
      </c>
    </row>
    <row r="588" spans="1:6" x14ac:dyDescent="0.2">
      <c r="A588" s="1">
        <v>44490</v>
      </c>
      <c r="B588" s="5" t="s">
        <v>5</v>
      </c>
      <c r="C588" s="2">
        <v>1142</v>
      </c>
      <c r="D588" s="2">
        <v>195</v>
      </c>
      <c r="E588" s="3">
        <v>3170.52</v>
      </c>
      <c r="F588" s="4" t="str">
        <f>IF(campaignData[[#This Row],[Campaign]]="Old_Campaign", "A", "B")</f>
        <v>A</v>
      </c>
    </row>
    <row r="589" spans="1:6" x14ac:dyDescent="0.2">
      <c r="A589" s="1">
        <v>44490</v>
      </c>
      <c r="B589" s="5" t="s">
        <v>6</v>
      </c>
      <c r="C589" s="2">
        <v>1128</v>
      </c>
      <c r="D589" s="2">
        <v>292</v>
      </c>
      <c r="E589" s="3">
        <v>4202.28</v>
      </c>
      <c r="F589" s="4" t="str">
        <f>IF(campaignData[[#This Row],[Campaign]]="Old_Campaign", "A", "B")</f>
        <v>B</v>
      </c>
    </row>
    <row r="590" spans="1:6" x14ac:dyDescent="0.2">
      <c r="A590" s="1">
        <v>44491</v>
      </c>
      <c r="B590" s="5" t="s">
        <v>5</v>
      </c>
      <c r="C590" s="2">
        <v>1240</v>
      </c>
      <c r="D590" s="2">
        <v>247</v>
      </c>
      <c r="E590" s="3">
        <v>3603.31</v>
      </c>
      <c r="F590" s="4" t="str">
        <f>IF(campaignData[[#This Row],[Campaign]]="Old_Campaign", "A", "B")</f>
        <v>A</v>
      </c>
    </row>
    <row r="591" spans="1:6" x14ac:dyDescent="0.2">
      <c r="A591" s="1">
        <v>44491</v>
      </c>
      <c r="B591" s="5" t="s">
        <v>6</v>
      </c>
      <c r="C591" s="2">
        <v>1087</v>
      </c>
      <c r="D591" s="2">
        <v>247</v>
      </c>
      <c r="E591" s="3">
        <v>3583.19</v>
      </c>
      <c r="F591" s="4" t="str">
        <f>IF(campaignData[[#This Row],[Campaign]]="Old_Campaign", "A", "B")</f>
        <v>B</v>
      </c>
    </row>
    <row r="592" spans="1:6" x14ac:dyDescent="0.2">
      <c r="A592" s="1">
        <v>44492</v>
      </c>
      <c r="B592" s="5" t="s">
        <v>5</v>
      </c>
      <c r="C592" s="2">
        <v>1176</v>
      </c>
      <c r="D592" s="2">
        <v>226</v>
      </c>
      <c r="E592" s="3">
        <v>3362.08</v>
      </c>
      <c r="F592" s="4" t="str">
        <f>IF(campaignData[[#This Row],[Campaign]]="Old_Campaign", "A", "B")</f>
        <v>A</v>
      </c>
    </row>
    <row r="593" spans="1:6" x14ac:dyDescent="0.2">
      <c r="A593" s="1">
        <v>44492</v>
      </c>
      <c r="B593" s="5" t="s">
        <v>6</v>
      </c>
      <c r="C593" s="2">
        <v>1127</v>
      </c>
      <c r="D593" s="2">
        <v>264</v>
      </c>
      <c r="E593" s="3">
        <v>4477.1499999999996</v>
      </c>
      <c r="F593" s="4" t="str">
        <f>IF(campaignData[[#This Row],[Campaign]]="Old_Campaign", "A", "B")</f>
        <v>B</v>
      </c>
    </row>
    <row r="594" spans="1:6" x14ac:dyDescent="0.2">
      <c r="A594" s="1">
        <v>44493</v>
      </c>
      <c r="B594" s="5" t="s">
        <v>5</v>
      </c>
      <c r="C594" s="2">
        <v>1171</v>
      </c>
      <c r="D594" s="2">
        <v>223</v>
      </c>
      <c r="E594" s="3">
        <v>3141.57</v>
      </c>
      <c r="F594" s="4" t="str">
        <f>IF(campaignData[[#This Row],[Campaign]]="Old_Campaign", "A", "B")</f>
        <v>A</v>
      </c>
    </row>
    <row r="595" spans="1:6" x14ac:dyDescent="0.2">
      <c r="A595" s="1">
        <v>44493</v>
      </c>
      <c r="B595" s="5" t="s">
        <v>6</v>
      </c>
      <c r="C595" s="2">
        <v>1119</v>
      </c>
      <c r="D595" s="2">
        <v>254</v>
      </c>
      <c r="E595" s="3">
        <v>4156.16</v>
      </c>
      <c r="F595" s="4" t="str">
        <f>IF(campaignData[[#This Row],[Campaign]]="Old_Campaign", "A", "B")</f>
        <v>B</v>
      </c>
    </row>
    <row r="596" spans="1:6" x14ac:dyDescent="0.2">
      <c r="A596" s="1">
        <v>44494</v>
      </c>
      <c r="B596" s="5" t="s">
        <v>5</v>
      </c>
      <c r="C596" s="2">
        <v>1244</v>
      </c>
      <c r="D596" s="2">
        <v>227</v>
      </c>
      <c r="E596" s="3">
        <v>3665.2</v>
      </c>
      <c r="F596" s="4" t="str">
        <f>IF(campaignData[[#This Row],[Campaign]]="Old_Campaign", "A", "B")</f>
        <v>A</v>
      </c>
    </row>
    <row r="597" spans="1:6" x14ac:dyDescent="0.2">
      <c r="A597" s="1">
        <v>44494</v>
      </c>
      <c r="B597" s="5" t="s">
        <v>6</v>
      </c>
      <c r="C597" s="2">
        <v>1183</v>
      </c>
      <c r="D597" s="2">
        <v>283</v>
      </c>
      <c r="E597" s="3">
        <v>3517.2</v>
      </c>
      <c r="F597" s="4" t="str">
        <f>IF(campaignData[[#This Row],[Campaign]]="Old_Campaign", "A", "B")</f>
        <v>B</v>
      </c>
    </row>
    <row r="598" spans="1:6" x14ac:dyDescent="0.2">
      <c r="A598" s="1">
        <v>44495</v>
      </c>
      <c r="B598" s="5" t="s">
        <v>5</v>
      </c>
      <c r="C598" s="2">
        <v>1158</v>
      </c>
      <c r="D598" s="2">
        <v>218</v>
      </c>
      <c r="E598" s="3">
        <v>3234.86</v>
      </c>
      <c r="F598" s="4" t="str">
        <f>IF(campaignData[[#This Row],[Campaign]]="Old_Campaign", "A", "B")</f>
        <v>A</v>
      </c>
    </row>
    <row r="599" spans="1:6" x14ac:dyDescent="0.2">
      <c r="A599" s="1">
        <v>44495</v>
      </c>
      <c r="B599" s="5" t="s">
        <v>6</v>
      </c>
      <c r="C599" s="2">
        <v>1130</v>
      </c>
      <c r="D599" s="2">
        <v>251</v>
      </c>
      <c r="E599" s="3">
        <v>3597.81</v>
      </c>
      <c r="F599" s="4" t="str">
        <f>IF(campaignData[[#This Row],[Campaign]]="Old_Campaign", "A", "B")</f>
        <v>B</v>
      </c>
    </row>
    <row r="600" spans="1:6" x14ac:dyDescent="0.2">
      <c r="A600" s="1">
        <v>44496</v>
      </c>
      <c r="B600" s="5" t="s">
        <v>5</v>
      </c>
      <c r="C600" s="2">
        <v>1196</v>
      </c>
      <c r="D600" s="2">
        <v>233</v>
      </c>
      <c r="E600" s="3">
        <v>3719.64</v>
      </c>
      <c r="F600" s="4" t="str">
        <f>IF(campaignData[[#This Row],[Campaign]]="Old_Campaign", "A", "B")</f>
        <v>A</v>
      </c>
    </row>
    <row r="601" spans="1:6" x14ac:dyDescent="0.2">
      <c r="A601" s="1">
        <v>44496</v>
      </c>
      <c r="B601" s="5" t="s">
        <v>6</v>
      </c>
      <c r="C601" s="2">
        <v>1131</v>
      </c>
      <c r="D601" s="2">
        <v>280</v>
      </c>
      <c r="E601" s="3">
        <v>4686.49</v>
      </c>
      <c r="F601" s="4" t="str">
        <f>IF(campaignData[[#This Row],[Campaign]]="Old_Campaign", "A", "B")</f>
        <v>B</v>
      </c>
    </row>
    <row r="602" spans="1:6" x14ac:dyDescent="0.2">
      <c r="A602" s="1">
        <v>44497</v>
      </c>
      <c r="B602" s="5" t="s">
        <v>5</v>
      </c>
      <c r="C602" s="2">
        <v>1166</v>
      </c>
      <c r="D602" s="2">
        <v>214</v>
      </c>
      <c r="E602" s="3">
        <v>3743.67</v>
      </c>
      <c r="F602" s="4" t="str">
        <f>IF(campaignData[[#This Row],[Campaign]]="Old_Campaign", "A", "B")</f>
        <v>A</v>
      </c>
    </row>
    <row r="603" spans="1:6" x14ac:dyDescent="0.2">
      <c r="A603" s="1">
        <v>44497</v>
      </c>
      <c r="B603" s="5" t="s">
        <v>6</v>
      </c>
      <c r="C603" s="2">
        <v>1136</v>
      </c>
      <c r="D603" s="2">
        <v>269</v>
      </c>
      <c r="E603" s="3">
        <v>4270.6400000000003</v>
      </c>
      <c r="F603" s="4" t="str">
        <f>IF(campaignData[[#This Row],[Campaign]]="Old_Campaign", "A", "B")</f>
        <v>B</v>
      </c>
    </row>
    <row r="604" spans="1:6" x14ac:dyDescent="0.2">
      <c r="A604" s="1">
        <v>44498</v>
      </c>
      <c r="B604" s="5" t="s">
        <v>5</v>
      </c>
      <c r="C604" s="2">
        <v>1195</v>
      </c>
      <c r="D604" s="2">
        <v>227</v>
      </c>
      <c r="E604" s="3">
        <v>4269.4799999999996</v>
      </c>
      <c r="F604" s="4" t="str">
        <f>IF(campaignData[[#This Row],[Campaign]]="Old_Campaign", "A", "B")</f>
        <v>A</v>
      </c>
    </row>
    <row r="605" spans="1:6" x14ac:dyDescent="0.2">
      <c r="A605" s="1">
        <v>44498</v>
      </c>
      <c r="B605" s="5" t="s">
        <v>6</v>
      </c>
      <c r="C605" s="2">
        <v>1149</v>
      </c>
      <c r="D605" s="2">
        <v>258</v>
      </c>
      <c r="E605" s="3">
        <v>4966.99</v>
      </c>
      <c r="F605" s="4" t="str">
        <f>IF(campaignData[[#This Row],[Campaign]]="Old_Campaign", "A", "B")</f>
        <v>B</v>
      </c>
    </row>
    <row r="606" spans="1:6" x14ac:dyDescent="0.2">
      <c r="A606" s="1">
        <v>44499</v>
      </c>
      <c r="B606" s="5" t="s">
        <v>5</v>
      </c>
      <c r="C606" s="2">
        <v>1187</v>
      </c>
      <c r="D606" s="2">
        <v>216</v>
      </c>
      <c r="E606" s="3">
        <v>2985.61</v>
      </c>
      <c r="F606" s="4" t="str">
        <f>IF(campaignData[[#This Row],[Campaign]]="Old_Campaign", "A", "B")</f>
        <v>A</v>
      </c>
    </row>
    <row r="607" spans="1:6" x14ac:dyDescent="0.2">
      <c r="A607" s="1">
        <v>44499</v>
      </c>
      <c r="B607" s="5" t="s">
        <v>6</v>
      </c>
      <c r="C607" s="2">
        <v>1120</v>
      </c>
      <c r="D607" s="2">
        <v>264</v>
      </c>
      <c r="E607" s="3">
        <v>3781.93</v>
      </c>
      <c r="F607" s="4" t="str">
        <f>IF(campaignData[[#This Row],[Campaign]]="Old_Campaign", "A", "B")</f>
        <v>B</v>
      </c>
    </row>
    <row r="608" spans="1:6" x14ac:dyDescent="0.2">
      <c r="A608" s="1">
        <v>44500</v>
      </c>
      <c r="B608" s="5" t="s">
        <v>5</v>
      </c>
      <c r="C608" s="2">
        <v>1207</v>
      </c>
      <c r="D608" s="2">
        <v>223</v>
      </c>
      <c r="E608" s="3">
        <v>3024.81</v>
      </c>
      <c r="F608" s="4" t="str">
        <f>IF(campaignData[[#This Row],[Campaign]]="Old_Campaign", "A", "B")</f>
        <v>A</v>
      </c>
    </row>
    <row r="609" spans="1:6" x14ac:dyDescent="0.2">
      <c r="A609" s="1">
        <v>44500</v>
      </c>
      <c r="B609" s="5" t="s">
        <v>6</v>
      </c>
      <c r="C609" s="2">
        <v>1155</v>
      </c>
      <c r="D609" s="2">
        <v>266</v>
      </c>
      <c r="E609" s="3">
        <v>4133.3599999999997</v>
      </c>
      <c r="F609" s="4" t="str">
        <f>IF(campaignData[[#This Row],[Campaign]]="Old_Campaign", "A", "B")</f>
        <v>B</v>
      </c>
    </row>
    <row r="610" spans="1:6" x14ac:dyDescent="0.2">
      <c r="A610" s="1">
        <v>44501</v>
      </c>
      <c r="B610" s="5" t="s">
        <v>5</v>
      </c>
      <c r="C610" s="2">
        <v>1217</v>
      </c>
      <c r="D610" s="2">
        <v>217</v>
      </c>
      <c r="E610" s="3">
        <v>2891.05</v>
      </c>
      <c r="F610" s="4" t="str">
        <f>IF(campaignData[[#This Row],[Campaign]]="Old_Campaign", "A", "B")</f>
        <v>A</v>
      </c>
    </row>
    <row r="611" spans="1:6" x14ac:dyDescent="0.2">
      <c r="A611" s="1">
        <v>44501</v>
      </c>
      <c r="B611" s="5" t="s">
        <v>6</v>
      </c>
      <c r="C611" s="2">
        <v>1181</v>
      </c>
      <c r="D611" s="2">
        <v>262</v>
      </c>
      <c r="E611" s="3">
        <v>3727.38</v>
      </c>
      <c r="F611" s="4" t="str">
        <f>IF(campaignData[[#This Row],[Campaign]]="Old_Campaign", "A", "B")</f>
        <v>B</v>
      </c>
    </row>
    <row r="612" spans="1:6" x14ac:dyDescent="0.2">
      <c r="A612" s="1">
        <v>44502</v>
      </c>
      <c r="B612" s="5" t="s">
        <v>5</v>
      </c>
      <c r="C612" s="2">
        <v>1196</v>
      </c>
      <c r="D612" s="2">
        <v>218</v>
      </c>
      <c r="E612" s="3">
        <v>2861.68</v>
      </c>
      <c r="F612" s="4" t="str">
        <f>IF(campaignData[[#This Row],[Campaign]]="Old_Campaign", "A", "B")</f>
        <v>A</v>
      </c>
    </row>
    <row r="613" spans="1:6" x14ac:dyDescent="0.2">
      <c r="A613" s="1">
        <v>44502</v>
      </c>
      <c r="B613" s="5" t="s">
        <v>6</v>
      </c>
      <c r="C613" s="2">
        <v>1123</v>
      </c>
      <c r="D613" s="2">
        <v>265</v>
      </c>
      <c r="E613" s="3">
        <v>3886.08</v>
      </c>
      <c r="F613" s="4" t="str">
        <f>IF(campaignData[[#This Row],[Campaign]]="Old_Campaign", "A", "B")</f>
        <v>B</v>
      </c>
    </row>
    <row r="614" spans="1:6" x14ac:dyDescent="0.2">
      <c r="A614" s="1">
        <v>44503</v>
      </c>
      <c r="B614" s="5" t="s">
        <v>5</v>
      </c>
      <c r="C614" s="2">
        <v>1228</v>
      </c>
      <c r="D614" s="2">
        <v>242</v>
      </c>
      <c r="E614" s="3">
        <v>3375.3</v>
      </c>
      <c r="F614" s="4" t="str">
        <f>IF(campaignData[[#This Row],[Campaign]]="Old_Campaign", "A", "B")</f>
        <v>A</v>
      </c>
    </row>
    <row r="615" spans="1:6" x14ac:dyDescent="0.2">
      <c r="A615" s="1">
        <v>44503</v>
      </c>
      <c r="B615" s="5" t="s">
        <v>6</v>
      </c>
      <c r="C615" s="2">
        <v>1186</v>
      </c>
      <c r="D615" s="2">
        <v>268</v>
      </c>
      <c r="E615" s="3">
        <v>5032.1499999999996</v>
      </c>
      <c r="F615" s="4" t="str">
        <f>IF(campaignData[[#This Row],[Campaign]]="Old_Campaign", "A", "B")</f>
        <v>B</v>
      </c>
    </row>
    <row r="616" spans="1:6" x14ac:dyDescent="0.2">
      <c r="A616" s="1">
        <v>44504</v>
      </c>
      <c r="B616" s="5" t="s">
        <v>5</v>
      </c>
      <c r="C616" s="2">
        <v>1184</v>
      </c>
      <c r="D616" s="2">
        <v>226</v>
      </c>
      <c r="E616" s="3">
        <v>3619.74</v>
      </c>
      <c r="F616" s="4" t="str">
        <f>IF(campaignData[[#This Row],[Campaign]]="Old_Campaign", "A", "B")</f>
        <v>A</v>
      </c>
    </row>
    <row r="617" spans="1:6" x14ac:dyDescent="0.2">
      <c r="A617" s="1">
        <v>44504</v>
      </c>
      <c r="B617" s="5" t="s">
        <v>6</v>
      </c>
      <c r="C617" s="2">
        <v>1073</v>
      </c>
      <c r="D617" s="2">
        <v>258</v>
      </c>
      <c r="E617" s="3">
        <v>6153.94</v>
      </c>
      <c r="F617" s="4" t="str">
        <f>IF(campaignData[[#This Row],[Campaign]]="Old_Campaign", "A", "B")</f>
        <v>B</v>
      </c>
    </row>
    <row r="618" spans="1:6" x14ac:dyDescent="0.2">
      <c r="A618" s="1">
        <v>44505</v>
      </c>
      <c r="B618" s="5" t="s">
        <v>5</v>
      </c>
      <c r="C618" s="2">
        <v>1239</v>
      </c>
      <c r="D618" s="2">
        <v>224</v>
      </c>
      <c r="E618" s="3">
        <v>3104.71</v>
      </c>
      <c r="F618" s="4" t="str">
        <f>IF(campaignData[[#This Row],[Campaign]]="Old_Campaign", "A", "B")</f>
        <v>A</v>
      </c>
    </row>
    <row r="619" spans="1:6" x14ac:dyDescent="0.2">
      <c r="A619" s="1">
        <v>44505</v>
      </c>
      <c r="B619" s="5" t="s">
        <v>6</v>
      </c>
      <c r="C619" s="2">
        <v>1160</v>
      </c>
      <c r="D619" s="2">
        <v>264</v>
      </c>
      <c r="E619" s="3">
        <v>4397.9799999999996</v>
      </c>
      <c r="F619" s="4" t="str">
        <f>IF(campaignData[[#This Row],[Campaign]]="Old_Campaign", "A", "B")</f>
        <v>B</v>
      </c>
    </row>
    <row r="620" spans="1:6" x14ac:dyDescent="0.2">
      <c r="A620" s="1">
        <v>44506</v>
      </c>
      <c r="B620" s="5" t="s">
        <v>5</v>
      </c>
      <c r="C620" s="2">
        <v>1233</v>
      </c>
      <c r="D620" s="2">
        <v>228</v>
      </c>
      <c r="E620" s="3">
        <v>3086.68</v>
      </c>
      <c r="F620" s="4" t="str">
        <f>IF(campaignData[[#This Row],[Campaign]]="Old_Campaign", "A", "B")</f>
        <v>A</v>
      </c>
    </row>
    <row r="621" spans="1:6" x14ac:dyDescent="0.2">
      <c r="A621" s="1">
        <v>44506</v>
      </c>
      <c r="B621" s="5" t="s">
        <v>6</v>
      </c>
      <c r="C621" s="2">
        <v>1168</v>
      </c>
      <c r="D621" s="2">
        <v>296</v>
      </c>
      <c r="E621" s="3">
        <v>5184.6899999999996</v>
      </c>
      <c r="F621" s="4" t="str">
        <f>IF(campaignData[[#This Row],[Campaign]]="Old_Campaign", "A", "B")</f>
        <v>B</v>
      </c>
    </row>
    <row r="622" spans="1:6" x14ac:dyDescent="0.2">
      <c r="A622" s="1">
        <v>44507</v>
      </c>
      <c r="B622" s="5" t="s">
        <v>5</v>
      </c>
      <c r="C622" s="2">
        <v>1133</v>
      </c>
      <c r="D622" s="2">
        <v>223</v>
      </c>
      <c r="E622" s="3">
        <v>3024.4</v>
      </c>
      <c r="F622" s="4" t="str">
        <f>IF(campaignData[[#This Row],[Campaign]]="Old_Campaign", "A", "B")</f>
        <v>A</v>
      </c>
    </row>
    <row r="623" spans="1:6" x14ac:dyDescent="0.2">
      <c r="A623" s="1">
        <v>44507</v>
      </c>
      <c r="B623" s="5" t="s">
        <v>6</v>
      </c>
      <c r="C623" s="2">
        <v>1135</v>
      </c>
      <c r="D623" s="2">
        <v>224</v>
      </c>
      <c r="E623" s="3">
        <v>3917.76</v>
      </c>
      <c r="F623" s="4" t="str">
        <f>IF(campaignData[[#This Row],[Campaign]]="Old_Campaign", "A", "B")</f>
        <v>B</v>
      </c>
    </row>
    <row r="624" spans="1:6" x14ac:dyDescent="0.2">
      <c r="A624" s="1">
        <v>44508</v>
      </c>
      <c r="B624" s="5" t="s">
        <v>5</v>
      </c>
      <c r="C624" s="2">
        <v>1211</v>
      </c>
      <c r="D624" s="2">
        <v>221</v>
      </c>
      <c r="E624" s="3">
        <v>2921.96</v>
      </c>
      <c r="F624" s="4" t="str">
        <f>IF(campaignData[[#This Row],[Campaign]]="Old_Campaign", "A", "B")</f>
        <v>A</v>
      </c>
    </row>
    <row r="625" spans="1:6" x14ac:dyDescent="0.2">
      <c r="A625" s="1">
        <v>44508</v>
      </c>
      <c r="B625" s="5" t="s">
        <v>6</v>
      </c>
      <c r="C625" s="2">
        <v>1171</v>
      </c>
      <c r="D625" s="2">
        <v>281</v>
      </c>
      <c r="E625" s="3">
        <v>5032.88</v>
      </c>
      <c r="F625" s="4" t="str">
        <f>IF(campaignData[[#This Row],[Campaign]]="Old_Campaign", "A", "B")</f>
        <v>B</v>
      </c>
    </row>
    <row r="626" spans="1:6" x14ac:dyDescent="0.2">
      <c r="A626" s="1">
        <v>44509</v>
      </c>
      <c r="B626" s="5" t="s">
        <v>5</v>
      </c>
      <c r="C626" s="2">
        <v>1194</v>
      </c>
      <c r="D626" s="2">
        <v>219</v>
      </c>
      <c r="E626" s="3">
        <v>3565.53</v>
      </c>
      <c r="F626" s="4" t="str">
        <f>IF(campaignData[[#This Row],[Campaign]]="Old_Campaign", "A", "B")</f>
        <v>A</v>
      </c>
    </row>
    <row r="627" spans="1:6" x14ac:dyDescent="0.2">
      <c r="A627" s="1">
        <v>44509</v>
      </c>
      <c r="B627" s="5" t="s">
        <v>6</v>
      </c>
      <c r="C627" s="2">
        <v>1082</v>
      </c>
      <c r="D627" s="2">
        <v>240</v>
      </c>
      <c r="E627" s="3">
        <v>3748.56</v>
      </c>
      <c r="F627" s="4" t="str">
        <f>IF(campaignData[[#This Row],[Campaign]]="Old_Campaign", "A", "B")</f>
        <v>B</v>
      </c>
    </row>
    <row r="628" spans="1:6" x14ac:dyDescent="0.2">
      <c r="A628" s="1">
        <v>44510</v>
      </c>
      <c r="B628" s="5" t="s">
        <v>5</v>
      </c>
      <c r="C628" s="2">
        <v>1195</v>
      </c>
      <c r="D628" s="2">
        <v>225</v>
      </c>
      <c r="E628" s="3">
        <v>3917.7</v>
      </c>
      <c r="F628" s="4" t="str">
        <f>IF(campaignData[[#This Row],[Campaign]]="Old_Campaign", "A", "B")</f>
        <v>A</v>
      </c>
    </row>
    <row r="629" spans="1:6" x14ac:dyDescent="0.2">
      <c r="A629" s="1">
        <v>44510</v>
      </c>
      <c r="B629" s="5" t="s">
        <v>6</v>
      </c>
      <c r="C629" s="2">
        <v>1176</v>
      </c>
      <c r="D629" s="2">
        <v>262</v>
      </c>
      <c r="E629" s="3">
        <v>4599.3599999999997</v>
      </c>
      <c r="F629" s="4" t="str">
        <f>IF(campaignData[[#This Row],[Campaign]]="Old_Campaign", "A", "B")</f>
        <v>B</v>
      </c>
    </row>
    <row r="630" spans="1:6" x14ac:dyDescent="0.2">
      <c r="A630" s="1">
        <v>44511</v>
      </c>
      <c r="B630" s="5" t="s">
        <v>5</v>
      </c>
      <c r="C630" s="2">
        <v>1216</v>
      </c>
      <c r="D630" s="2">
        <v>224</v>
      </c>
      <c r="E630" s="3">
        <v>3868.76</v>
      </c>
      <c r="F630" s="4" t="str">
        <f>IF(campaignData[[#This Row],[Campaign]]="Old_Campaign", "A", "B")</f>
        <v>A</v>
      </c>
    </row>
    <row r="631" spans="1:6" x14ac:dyDescent="0.2">
      <c r="A631" s="1">
        <v>44511</v>
      </c>
      <c r="B631" s="5" t="s">
        <v>6</v>
      </c>
      <c r="C631" s="2">
        <v>1127</v>
      </c>
      <c r="D631" s="2">
        <v>257</v>
      </c>
      <c r="E631" s="3">
        <v>3543.37</v>
      </c>
      <c r="F631" s="4" t="str">
        <f>IF(campaignData[[#This Row],[Campaign]]="Old_Campaign", "A", "B")</f>
        <v>B</v>
      </c>
    </row>
    <row r="632" spans="1:6" x14ac:dyDescent="0.2">
      <c r="A632" s="1">
        <v>44512</v>
      </c>
      <c r="B632" s="5" t="s">
        <v>5</v>
      </c>
      <c r="C632" s="2">
        <v>1193</v>
      </c>
      <c r="D632" s="2">
        <v>211</v>
      </c>
      <c r="E632" s="3">
        <v>2396.71</v>
      </c>
      <c r="F632" s="4" t="str">
        <f>IF(campaignData[[#This Row],[Campaign]]="Old_Campaign", "A", "B")</f>
        <v>A</v>
      </c>
    </row>
    <row r="633" spans="1:6" x14ac:dyDescent="0.2">
      <c r="A633" s="1">
        <v>44512</v>
      </c>
      <c r="B633" s="5" t="s">
        <v>6</v>
      </c>
      <c r="C633" s="2">
        <v>1149</v>
      </c>
      <c r="D633" s="2">
        <v>277</v>
      </c>
      <c r="E633" s="3">
        <v>4581.6099999999997</v>
      </c>
      <c r="F633" s="4" t="str">
        <f>IF(campaignData[[#This Row],[Campaign]]="Old_Campaign", "A", "B")</f>
        <v>B</v>
      </c>
    </row>
    <row r="634" spans="1:6" x14ac:dyDescent="0.2">
      <c r="A634" s="1">
        <v>44513</v>
      </c>
      <c r="B634" s="5" t="s">
        <v>5</v>
      </c>
      <c r="C634" s="2">
        <v>1161</v>
      </c>
      <c r="D634" s="2">
        <v>219</v>
      </c>
      <c r="E634" s="3">
        <v>3838.5</v>
      </c>
      <c r="F634" s="4" t="str">
        <f>IF(campaignData[[#This Row],[Campaign]]="Old_Campaign", "A", "B")</f>
        <v>A</v>
      </c>
    </row>
    <row r="635" spans="1:6" x14ac:dyDescent="0.2">
      <c r="A635" s="1">
        <v>44513</v>
      </c>
      <c r="B635" s="5" t="s">
        <v>6</v>
      </c>
      <c r="C635" s="2">
        <v>1166</v>
      </c>
      <c r="D635" s="2">
        <v>271</v>
      </c>
      <c r="E635" s="3">
        <v>3877.3</v>
      </c>
      <c r="F635" s="4" t="str">
        <f>IF(campaignData[[#This Row],[Campaign]]="Old_Campaign", "A", "B")</f>
        <v>B</v>
      </c>
    </row>
    <row r="636" spans="1:6" x14ac:dyDescent="0.2">
      <c r="A636" s="1">
        <v>44514</v>
      </c>
      <c r="B636" s="5" t="s">
        <v>5</v>
      </c>
      <c r="C636" s="2">
        <v>1190</v>
      </c>
      <c r="D636" s="2">
        <v>205</v>
      </c>
      <c r="E636" s="3">
        <v>3024.69</v>
      </c>
      <c r="F636" s="4" t="str">
        <f>IF(campaignData[[#This Row],[Campaign]]="Old_Campaign", "A", "B")</f>
        <v>A</v>
      </c>
    </row>
    <row r="637" spans="1:6" x14ac:dyDescent="0.2">
      <c r="A637" s="1">
        <v>44514</v>
      </c>
      <c r="B637" s="5" t="s">
        <v>6</v>
      </c>
      <c r="C637" s="2">
        <v>1157</v>
      </c>
      <c r="D637" s="2">
        <v>244</v>
      </c>
      <c r="E637" s="3">
        <v>3949.57</v>
      </c>
      <c r="F637" s="4" t="str">
        <f>IF(campaignData[[#This Row],[Campaign]]="Old_Campaign", "A", "B")</f>
        <v>B</v>
      </c>
    </row>
    <row r="638" spans="1:6" x14ac:dyDescent="0.2">
      <c r="A638" s="1">
        <v>44515</v>
      </c>
      <c r="B638" s="5" t="s">
        <v>5</v>
      </c>
      <c r="C638" s="2">
        <v>1169</v>
      </c>
      <c r="D638" s="2">
        <v>227</v>
      </c>
      <c r="E638" s="3">
        <v>3437.7</v>
      </c>
      <c r="F638" s="4" t="str">
        <f>IF(campaignData[[#This Row],[Campaign]]="Old_Campaign", "A", "B")</f>
        <v>A</v>
      </c>
    </row>
    <row r="639" spans="1:6" x14ac:dyDescent="0.2">
      <c r="A639" s="1">
        <v>44515</v>
      </c>
      <c r="B639" s="5" t="s">
        <v>6</v>
      </c>
      <c r="C639" s="2">
        <v>1153</v>
      </c>
      <c r="D639" s="2">
        <v>257</v>
      </c>
      <c r="E639" s="3">
        <v>4002.92</v>
      </c>
      <c r="F639" s="4" t="str">
        <f>IF(campaignData[[#This Row],[Campaign]]="Old_Campaign", "A", "B")</f>
        <v>B</v>
      </c>
    </row>
    <row r="640" spans="1:6" x14ac:dyDescent="0.2">
      <c r="A640" s="1">
        <v>44516</v>
      </c>
      <c r="B640" s="5" t="s">
        <v>5</v>
      </c>
      <c r="C640" s="2">
        <v>1179</v>
      </c>
      <c r="D640" s="2">
        <v>210</v>
      </c>
      <c r="E640" s="3">
        <v>2348.7199999999998</v>
      </c>
      <c r="F640" s="4" t="str">
        <f>IF(campaignData[[#This Row],[Campaign]]="Old_Campaign", "A", "B")</f>
        <v>A</v>
      </c>
    </row>
    <row r="641" spans="1:6" x14ac:dyDescent="0.2">
      <c r="A641" s="1">
        <v>44516</v>
      </c>
      <c r="B641" s="5" t="s">
        <v>6</v>
      </c>
      <c r="C641" s="2">
        <v>1074</v>
      </c>
      <c r="D641" s="2">
        <v>229</v>
      </c>
      <c r="E641" s="3">
        <v>3269.94</v>
      </c>
      <c r="F641" s="4" t="str">
        <f>IF(campaignData[[#This Row],[Campaign]]="Old_Campaign", "A", "B")</f>
        <v>B</v>
      </c>
    </row>
    <row r="642" spans="1:6" x14ac:dyDescent="0.2">
      <c r="A642" s="1">
        <v>44517</v>
      </c>
      <c r="B642" s="5" t="s">
        <v>5</v>
      </c>
      <c r="C642" s="2">
        <v>1171</v>
      </c>
      <c r="D642" s="2">
        <v>217</v>
      </c>
      <c r="E642" s="3">
        <v>3724.89</v>
      </c>
      <c r="F642" s="4" t="str">
        <f>IF(campaignData[[#This Row],[Campaign]]="Old_Campaign", "A", "B")</f>
        <v>A</v>
      </c>
    </row>
    <row r="643" spans="1:6" x14ac:dyDescent="0.2">
      <c r="A643" s="1">
        <v>44517</v>
      </c>
      <c r="B643" s="5" t="s">
        <v>6</v>
      </c>
      <c r="C643" s="2">
        <v>1185</v>
      </c>
      <c r="D643" s="2">
        <v>277</v>
      </c>
      <c r="E643" s="3">
        <v>4171</v>
      </c>
      <c r="F643" s="4" t="str">
        <f>IF(campaignData[[#This Row],[Campaign]]="Old_Campaign", "A", "B")</f>
        <v>B</v>
      </c>
    </row>
    <row r="644" spans="1:6" x14ac:dyDescent="0.2">
      <c r="A644" s="1">
        <v>44518</v>
      </c>
      <c r="B644" s="5" t="s">
        <v>5</v>
      </c>
      <c r="C644" s="2">
        <v>1234</v>
      </c>
      <c r="D644" s="2">
        <v>240</v>
      </c>
      <c r="E644" s="3">
        <v>2870.71</v>
      </c>
      <c r="F644" s="4" t="str">
        <f>IF(campaignData[[#This Row],[Campaign]]="Old_Campaign", "A", "B")</f>
        <v>A</v>
      </c>
    </row>
    <row r="645" spans="1:6" x14ac:dyDescent="0.2">
      <c r="A645" s="1">
        <v>44518</v>
      </c>
      <c r="B645" s="5" t="s">
        <v>6</v>
      </c>
      <c r="C645" s="2">
        <v>1188</v>
      </c>
      <c r="D645" s="2">
        <v>266</v>
      </c>
      <c r="E645" s="3">
        <v>2749.29</v>
      </c>
      <c r="F645" s="4" t="str">
        <f>IF(campaignData[[#This Row],[Campaign]]="Old_Campaign", "A", "B")</f>
        <v>B</v>
      </c>
    </row>
    <row r="646" spans="1:6" x14ac:dyDescent="0.2">
      <c r="A646" s="1">
        <v>44519</v>
      </c>
      <c r="B646" s="5" t="s">
        <v>5</v>
      </c>
      <c r="C646" s="2">
        <v>1236</v>
      </c>
      <c r="D646" s="2">
        <v>246</v>
      </c>
      <c r="E646" s="3">
        <v>3783.69</v>
      </c>
      <c r="F646" s="4" t="str">
        <f>IF(campaignData[[#This Row],[Campaign]]="Old_Campaign", "A", "B")</f>
        <v>A</v>
      </c>
    </row>
    <row r="647" spans="1:6" x14ac:dyDescent="0.2">
      <c r="A647" s="1">
        <v>44519</v>
      </c>
      <c r="B647" s="5" t="s">
        <v>6</v>
      </c>
      <c r="C647" s="2">
        <v>1153</v>
      </c>
      <c r="D647" s="2">
        <v>274</v>
      </c>
      <c r="E647" s="3">
        <v>4630.17</v>
      </c>
      <c r="F647" s="4" t="str">
        <f>IF(campaignData[[#This Row],[Campaign]]="Old_Campaign", "A", "B")</f>
        <v>B</v>
      </c>
    </row>
    <row r="648" spans="1:6" x14ac:dyDescent="0.2">
      <c r="A648" s="1">
        <v>44520</v>
      </c>
      <c r="B648" s="5" t="s">
        <v>5</v>
      </c>
      <c r="C648" s="2">
        <v>1161</v>
      </c>
      <c r="D648" s="2">
        <v>250</v>
      </c>
      <c r="E648" s="3">
        <v>3578.73</v>
      </c>
      <c r="F648" s="4" t="str">
        <f>IF(campaignData[[#This Row],[Campaign]]="Old_Campaign", "A", "B")</f>
        <v>A</v>
      </c>
    </row>
    <row r="649" spans="1:6" x14ac:dyDescent="0.2">
      <c r="A649" s="1">
        <v>44520</v>
      </c>
      <c r="B649" s="5" t="s">
        <v>6</v>
      </c>
      <c r="C649" s="2">
        <v>1142</v>
      </c>
      <c r="D649" s="2">
        <v>262</v>
      </c>
      <c r="E649" s="3">
        <v>4281.32</v>
      </c>
      <c r="F649" s="4" t="str">
        <f>IF(campaignData[[#This Row],[Campaign]]="Old_Campaign", "A", "B")</f>
        <v>B</v>
      </c>
    </row>
    <row r="650" spans="1:6" x14ac:dyDescent="0.2">
      <c r="A650" s="1">
        <v>44521</v>
      </c>
      <c r="B650" s="5" t="s">
        <v>5</v>
      </c>
      <c r="C650" s="2">
        <v>1216</v>
      </c>
      <c r="D650" s="2">
        <v>231</v>
      </c>
      <c r="E650" s="3">
        <v>4000.49</v>
      </c>
      <c r="F650" s="4" t="str">
        <f>IF(campaignData[[#This Row],[Campaign]]="Old_Campaign", "A", "B")</f>
        <v>A</v>
      </c>
    </row>
    <row r="651" spans="1:6" x14ac:dyDescent="0.2">
      <c r="A651" s="1">
        <v>44521</v>
      </c>
      <c r="B651" s="5" t="s">
        <v>6</v>
      </c>
      <c r="C651" s="2">
        <v>1184</v>
      </c>
      <c r="D651" s="2">
        <v>281</v>
      </c>
      <c r="E651" s="3">
        <v>4307.0200000000004</v>
      </c>
      <c r="F651" s="4" t="str">
        <f>IF(campaignData[[#This Row],[Campaign]]="Old_Campaign", "A", "B")</f>
        <v>B</v>
      </c>
    </row>
    <row r="652" spans="1:6" x14ac:dyDescent="0.2">
      <c r="A652" s="1">
        <v>44522</v>
      </c>
      <c r="B652" s="5" t="s">
        <v>5</v>
      </c>
      <c r="C652" s="2">
        <v>1149</v>
      </c>
      <c r="D652" s="2">
        <v>217</v>
      </c>
      <c r="E652" s="3">
        <v>3013.89</v>
      </c>
      <c r="F652" s="4" t="str">
        <f>IF(campaignData[[#This Row],[Campaign]]="Old_Campaign", "A", "B")</f>
        <v>A</v>
      </c>
    </row>
    <row r="653" spans="1:6" x14ac:dyDescent="0.2">
      <c r="A653" s="1">
        <v>44522</v>
      </c>
      <c r="B653" s="5" t="s">
        <v>6</v>
      </c>
      <c r="C653" s="2">
        <v>1140</v>
      </c>
      <c r="D653" s="2">
        <v>246</v>
      </c>
      <c r="E653" s="3">
        <v>4036.56</v>
      </c>
      <c r="F653" s="4" t="str">
        <f>IF(campaignData[[#This Row],[Campaign]]="Old_Campaign", "A", "B")</f>
        <v>B</v>
      </c>
    </row>
    <row r="654" spans="1:6" x14ac:dyDescent="0.2">
      <c r="A654" s="1">
        <v>44523</v>
      </c>
      <c r="B654" s="5" t="s">
        <v>5</v>
      </c>
      <c r="C654" s="2">
        <v>1113</v>
      </c>
      <c r="D654" s="2">
        <v>195</v>
      </c>
      <c r="E654" s="3">
        <v>2334.36</v>
      </c>
      <c r="F654" s="4" t="str">
        <f>IF(campaignData[[#This Row],[Campaign]]="Old_Campaign", "A", "B")</f>
        <v>A</v>
      </c>
    </row>
    <row r="655" spans="1:6" x14ac:dyDescent="0.2">
      <c r="A655" s="1">
        <v>44523</v>
      </c>
      <c r="B655" s="5" t="s">
        <v>6</v>
      </c>
      <c r="C655" s="2">
        <v>1150</v>
      </c>
      <c r="D655" s="2">
        <v>289</v>
      </c>
      <c r="E655" s="3">
        <v>4809.88</v>
      </c>
      <c r="F655" s="4" t="str">
        <f>IF(campaignData[[#This Row],[Campaign]]="Old_Campaign", "A", "B")</f>
        <v>B</v>
      </c>
    </row>
    <row r="656" spans="1:6" x14ac:dyDescent="0.2">
      <c r="A656" s="1">
        <v>44524</v>
      </c>
      <c r="B656" s="5" t="s">
        <v>5</v>
      </c>
      <c r="C656" s="2">
        <v>1213</v>
      </c>
      <c r="D656" s="2">
        <v>224</v>
      </c>
      <c r="E656" s="3">
        <v>3031.6</v>
      </c>
      <c r="F656" s="4" t="str">
        <f>IF(campaignData[[#This Row],[Campaign]]="Old_Campaign", "A", "B")</f>
        <v>A</v>
      </c>
    </row>
    <row r="657" spans="1:6" x14ac:dyDescent="0.2">
      <c r="A657" s="1">
        <v>44524</v>
      </c>
      <c r="B657" s="5" t="s">
        <v>6</v>
      </c>
      <c r="C657" s="2">
        <v>1174</v>
      </c>
      <c r="D657" s="2">
        <v>253</v>
      </c>
      <c r="E657" s="3">
        <v>4967.9399999999996</v>
      </c>
      <c r="F657" s="4" t="str">
        <f>IF(campaignData[[#This Row],[Campaign]]="Old_Campaign", "A", "B")</f>
        <v>B</v>
      </c>
    </row>
    <row r="658" spans="1:6" x14ac:dyDescent="0.2">
      <c r="A658" s="1">
        <v>44525</v>
      </c>
      <c r="B658" s="5" t="s">
        <v>5</v>
      </c>
      <c r="C658" s="2">
        <v>1204</v>
      </c>
      <c r="D658" s="2">
        <v>236</v>
      </c>
      <c r="E658" s="3">
        <v>3452.28</v>
      </c>
      <c r="F658" s="4" t="str">
        <f>IF(campaignData[[#This Row],[Campaign]]="Old_Campaign", "A", "B")</f>
        <v>A</v>
      </c>
    </row>
    <row r="659" spans="1:6" x14ac:dyDescent="0.2">
      <c r="A659" s="1">
        <v>44525</v>
      </c>
      <c r="B659" s="5" t="s">
        <v>6</v>
      </c>
      <c r="C659" s="2">
        <v>1189</v>
      </c>
      <c r="D659" s="2">
        <v>286</v>
      </c>
      <c r="E659" s="3">
        <v>4753.32</v>
      </c>
      <c r="F659" s="4" t="str">
        <f>IF(campaignData[[#This Row],[Campaign]]="Old_Campaign", "A", "B")</f>
        <v>B</v>
      </c>
    </row>
    <row r="660" spans="1:6" x14ac:dyDescent="0.2">
      <c r="A660" s="1">
        <v>44526</v>
      </c>
      <c r="B660" s="5" t="s">
        <v>5</v>
      </c>
      <c r="C660" s="2">
        <v>1207</v>
      </c>
      <c r="D660" s="2">
        <v>223</v>
      </c>
      <c r="E660" s="3">
        <v>3302.87</v>
      </c>
      <c r="F660" s="4" t="str">
        <f>IF(campaignData[[#This Row],[Campaign]]="Old_Campaign", "A", "B")</f>
        <v>A</v>
      </c>
    </row>
    <row r="661" spans="1:6" x14ac:dyDescent="0.2">
      <c r="A661" s="1">
        <v>44526</v>
      </c>
      <c r="B661" s="5" t="s">
        <v>6</v>
      </c>
      <c r="C661" s="2">
        <v>1173</v>
      </c>
      <c r="D661" s="2">
        <v>235</v>
      </c>
      <c r="E661" s="3">
        <v>3957.22</v>
      </c>
      <c r="F661" s="4" t="str">
        <f>IF(campaignData[[#This Row],[Campaign]]="Old_Campaign", "A", "B")</f>
        <v>B</v>
      </c>
    </row>
    <row r="662" spans="1:6" x14ac:dyDescent="0.2">
      <c r="A662" s="1">
        <v>44527</v>
      </c>
      <c r="B662" s="5" t="s">
        <v>5</v>
      </c>
      <c r="C662" s="2">
        <v>1231</v>
      </c>
      <c r="D662" s="2">
        <v>241</v>
      </c>
      <c r="E662" s="3">
        <v>3263.33</v>
      </c>
      <c r="F662" s="4" t="str">
        <f>IF(campaignData[[#This Row],[Campaign]]="Old_Campaign", "A", "B")</f>
        <v>A</v>
      </c>
    </row>
    <row r="663" spans="1:6" x14ac:dyDescent="0.2">
      <c r="A663" s="1">
        <v>44527</v>
      </c>
      <c r="B663" s="5" t="s">
        <v>6</v>
      </c>
      <c r="C663" s="2">
        <v>1218</v>
      </c>
      <c r="D663" s="2">
        <v>301</v>
      </c>
      <c r="E663" s="3">
        <v>5033.57</v>
      </c>
      <c r="F663" s="4" t="str">
        <f>IF(campaignData[[#This Row],[Campaign]]="Old_Campaign", "A", "B")</f>
        <v>B</v>
      </c>
    </row>
    <row r="664" spans="1:6" x14ac:dyDescent="0.2">
      <c r="A664" s="1">
        <v>44528</v>
      </c>
      <c r="B664" s="5" t="s">
        <v>5</v>
      </c>
      <c r="C664" s="2">
        <v>1180</v>
      </c>
      <c r="D664" s="2">
        <v>237</v>
      </c>
      <c r="E664" s="3">
        <v>3412.39</v>
      </c>
      <c r="F664" s="4" t="str">
        <f>IF(campaignData[[#This Row],[Campaign]]="Old_Campaign", "A", "B")</f>
        <v>A</v>
      </c>
    </row>
    <row r="665" spans="1:6" x14ac:dyDescent="0.2">
      <c r="A665" s="1">
        <v>44528</v>
      </c>
      <c r="B665" s="5" t="s">
        <v>6</v>
      </c>
      <c r="C665" s="2">
        <v>1177</v>
      </c>
      <c r="D665" s="2">
        <v>262</v>
      </c>
      <c r="E665" s="3">
        <v>3558.23</v>
      </c>
      <c r="F665" s="4" t="str">
        <f>IF(campaignData[[#This Row],[Campaign]]="Old_Campaign", "A", "B")</f>
        <v>B</v>
      </c>
    </row>
    <row r="666" spans="1:6" x14ac:dyDescent="0.2">
      <c r="A666" s="1">
        <v>44529</v>
      </c>
      <c r="B666" s="5" t="s">
        <v>5</v>
      </c>
      <c r="C666" s="2">
        <v>1147</v>
      </c>
      <c r="D666" s="2">
        <v>219</v>
      </c>
      <c r="E666" s="3">
        <v>3500.15</v>
      </c>
      <c r="F666" s="4" t="str">
        <f>IF(campaignData[[#This Row],[Campaign]]="Old_Campaign", "A", "B")</f>
        <v>A</v>
      </c>
    </row>
    <row r="667" spans="1:6" x14ac:dyDescent="0.2">
      <c r="A667" s="1">
        <v>44529</v>
      </c>
      <c r="B667" s="5" t="s">
        <v>6</v>
      </c>
      <c r="C667" s="2">
        <v>1211</v>
      </c>
      <c r="D667" s="2">
        <v>279</v>
      </c>
      <c r="E667" s="3">
        <v>4264.22</v>
      </c>
      <c r="F667" s="4" t="str">
        <f>IF(campaignData[[#This Row],[Campaign]]="Old_Campaign", "A", "B")</f>
        <v>B</v>
      </c>
    </row>
    <row r="668" spans="1:6" x14ac:dyDescent="0.2">
      <c r="A668" s="1">
        <v>44530</v>
      </c>
      <c r="B668" s="5" t="s">
        <v>5</v>
      </c>
      <c r="C668" s="2">
        <v>1207</v>
      </c>
      <c r="D668" s="2">
        <v>215</v>
      </c>
      <c r="E668" s="3">
        <v>3186.63</v>
      </c>
      <c r="F668" s="4" t="str">
        <f>IF(campaignData[[#This Row],[Campaign]]="Old_Campaign", "A", "B")</f>
        <v>A</v>
      </c>
    </row>
    <row r="669" spans="1:6" x14ac:dyDescent="0.2">
      <c r="A669" s="1">
        <v>44530</v>
      </c>
      <c r="B669" s="5" t="s">
        <v>6</v>
      </c>
      <c r="C669" s="2">
        <v>1158</v>
      </c>
      <c r="D669" s="2">
        <v>298</v>
      </c>
      <c r="E669" s="3">
        <v>4745.6099999999997</v>
      </c>
      <c r="F669" s="4" t="str">
        <f>IF(campaignData[[#This Row],[Campaign]]="Old_Campaign", "A", "B")</f>
        <v>B</v>
      </c>
    </row>
    <row r="670" spans="1:6" x14ac:dyDescent="0.2">
      <c r="A670" s="1">
        <v>44531</v>
      </c>
      <c r="B670" s="5" t="s">
        <v>5</v>
      </c>
      <c r="C670" s="2">
        <v>1177</v>
      </c>
      <c r="D670" s="2">
        <v>211</v>
      </c>
      <c r="E670" s="3">
        <v>3522.34</v>
      </c>
      <c r="F670" s="4" t="str">
        <f>IF(campaignData[[#This Row],[Campaign]]="Old_Campaign", "A", "B")</f>
        <v>A</v>
      </c>
    </row>
    <row r="671" spans="1:6" x14ac:dyDescent="0.2">
      <c r="A671" s="1">
        <v>44531</v>
      </c>
      <c r="B671" s="5" t="s">
        <v>6</v>
      </c>
      <c r="C671" s="2">
        <v>1074</v>
      </c>
      <c r="D671" s="2">
        <v>250</v>
      </c>
      <c r="E671" s="3">
        <v>2936.39</v>
      </c>
      <c r="F671" s="4" t="str">
        <f>IF(campaignData[[#This Row],[Campaign]]="Old_Campaign", "A", "B")</f>
        <v>B</v>
      </c>
    </row>
    <row r="672" spans="1:6" x14ac:dyDescent="0.2">
      <c r="A672" s="1">
        <v>44532</v>
      </c>
      <c r="B672" s="5" t="s">
        <v>5</v>
      </c>
      <c r="C672" s="2">
        <v>1146</v>
      </c>
      <c r="D672" s="2">
        <v>208</v>
      </c>
      <c r="E672" s="3">
        <v>1910.69</v>
      </c>
      <c r="F672" s="4" t="str">
        <f>IF(campaignData[[#This Row],[Campaign]]="Old_Campaign", "A", "B")</f>
        <v>A</v>
      </c>
    </row>
    <row r="673" spans="1:6" x14ac:dyDescent="0.2">
      <c r="A673" s="1">
        <v>44532</v>
      </c>
      <c r="B673" s="5" t="s">
        <v>6</v>
      </c>
      <c r="C673" s="2">
        <v>1133</v>
      </c>
      <c r="D673" s="2">
        <v>278</v>
      </c>
      <c r="E673" s="3">
        <v>4239.6000000000004</v>
      </c>
      <c r="F673" s="4" t="str">
        <f>IF(campaignData[[#This Row],[Campaign]]="Old_Campaign", "A", "B")</f>
        <v>B</v>
      </c>
    </row>
    <row r="674" spans="1:6" x14ac:dyDescent="0.2">
      <c r="A674" s="1">
        <v>44533</v>
      </c>
      <c r="B674" s="5" t="s">
        <v>5</v>
      </c>
      <c r="C674" s="2">
        <v>1207</v>
      </c>
      <c r="D674" s="2">
        <v>224</v>
      </c>
      <c r="E674" s="3">
        <v>3154.33</v>
      </c>
      <c r="F674" s="4" t="str">
        <f>IF(campaignData[[#This Row],[Campaign]]="Old_Campaign", "A", "B")</f>
        <v>A</v>
      </c>
    </row>
    <row r="675" spans="1:6" x14ac:dyDescent="0.2">
      <c r="A675" s="1">
        <v>44533</v>
      </c>
      <c r="B675" s="5" t="s">
        <v>6</v>
      </c>
      <c r="C675" s="2">
        <v>1136</v>
      </c>
      <c r="D675" s="2">
        <v>239</v>
      </c>
      <c r="E675" s="3">
        <v>3491.98</v>
      </c>
      <c r="F675" s="4" t="str">
        <f>IF(campaignData[[#This Row],[Campaign]]="Old_Campaign", "A", "B")</f>
        <v>B</v>
      </c>
    </row>
    <row r="676" spans="1:6" x14ac:dyDescent="0.2">
      <c r="A676" s="1">
        <v>44534</v>
      </c>
      <c r="B676" s="5" t="s">
        <v>5</v>
      </c>
      <c r="C676" s="2">
        <v>1220</v>
      </c>
      <c r="D676" s="2">
        <v>250</v>
      </c>
      <c r="E676" s="3">
        <v>3248.89</v>
      </c>
      <c r="F676" s="4" t="str">
        <f>IF(campaignData[[#This Row],[Campaign]]="Old_Campaign", "A", "B")</f>
        <v>A</v>
      </c>
    </row>
    <row r="677" spans="1:6" x14ac:dyDescent="0.2">
      <c r="A677" s="1">
        <v>44534</v>
      </c>
      <c r="B677" s="5" t="s">
        <v>6</v>
      </c>
      <c r="C677" s="2">
        <v>1141</v>
      </c>
      <c r="D677" s="2">
        <v>274</v>
      </c>
      <c r="E677" s="3">
        <v>3971.67</v>
      </c>
      <c r="F677" s="4" t="str">
        <f>IF(campaignData[[#This Row],[Campaign]]="Old_Campaign", "A", "B")</f>
        <v>B</v>
      </c>
    </row>
    <row r="678" spans="1:6" x14ac:dyDescent="0.2">
      <c r="A678" s="1">
        <v>44535</v>
      </c>
      <c r="B678" s="5" t="s">
        <v>5</v>
      </c>
      <c r="C678" s="2">
        <v>1225</v>
      </c>
      <c r="D678" s="2">
        <v>211</v>
      </c>
      <c r="E678" s="3">
        <v>3541.83</v>
      </c>
      <c r="F678" s="4" t="str">
        <f>IF(campaignData[[#This Row],[Campaign]]="Old_Campaign", "A", "B")</f>
        <v>A</v>
      </c>
    </row>
    <row r="679" spans="1:6" x14ac:dyDescent="0.2">
      <c r="A679" s="1">
        <v>44535</v>
      </c>
      <c r="B679" s="5" t="s">
        <v>6</v>
      </c>
      <c r="C679" s="2">
        <v>1193</v>
      </c>
      <c r="D679" s="2">
        <v>277</v>
      </c>
      <c r="E679" s="3">
        <v>5445.61</v>
      </c>
      <c r="F679" s="4" t="str">
        <f>IF(campaignData[[#This Row],[Campaign]]="Old_Campaign", "A", "B")</f>
        <v>B</v>
      </c>
    </row>
    <row r="680" spans="1:6" x14ac:dyDescent="0.2">
      <c r="A680" s="1">
        <v>44536</v>
      </c>
      <c r="B680" s="5" t="s">
        <v>5</v>
      </c>
      <c r="C680" s="2">
        <v>1191</v>
      </c>
      <c r="D680" s="2">
        <v>225</v>
      </c>
      <c r="E680" s="3">
        <v>3207.46</v>
      </c>
      <c r="F680" s="4" t="str">
        <f>IF(campaignData[[#This Row],[Campaign]]="Old_Campaign", "A", "B")</f>
        <v>A</v>
      </c>
    </row>
    <row r="681" spans="1:6" x14ac:dyDescent="0.2">
      <c r="A681" s="1">
        <v>44536</v>
      </c>
      <c r="B681" s="5" t="s">
        <v>6</v>
      </c>
      <c r="C681" s="2">
        <v>1215</v>
      </c>
      <c r="D681" s="2">
        <v>285</v>
      </c>
      <c r="E681" s="3">
        <v>4809.2700000000004</v>
      </c>
      <c r="F681" s="4" t="str">
        <f>IF(campaignData[[#This Row],[Campaign]]="Old_Campaign", "A", "B")</f>
        <v>B</v>
      </c>
    </row>
    <row r="682" spans="1:6" x14ac:dyDescent="0.2">
      <c r="A682" s="1">
        <v>44537</v>
      </c>
      <c r="B682" s="5" t="s">
        <v>5</v>
      </c>
      <c r="C682" s="2">
        <v>1230</v>
      </c>
      <c r="D682" s="2">
        <v>239</v>
      </c>
      <c r="E682" s="3">
        <v>3129.79</v>
      </c>
      <c r="F682" s="4" t="str">
        <f>IF(campaignData[[#This Row],[Campaign]]="Old_Campaign", "A", "B")</f>
        <v>A</v>
      </c>
    </row>
    <row r="683" spans="1:6" x14ac:dyDescent="0.2">
      <c r="A683" s="1">
        <v>44537</v>
      </c>
      <c r="B683" s="5" t="s">
        <v>6</v>
      </c>
      <c r="C683" s="2">
        <v>1178</v>
      </c>
      <c r="D683" s="2">
        <v>286</v>
      </c>
      <c r="E683" s="3">
        <v>4188.76</v>
      </c>
      <c r="F683" s="4" t="str">
        <f>IF(campaignData[[#This Row],[Campaign]]="Old_Campaign", "A", "B")</f>
        <v>B</v>
      </c>
    </row>
    <row r="684" spans="1:6" x14ac:dyDescent="0.2">
      <c r="A684" s="1">
        <v>44538</v>
      </c>
      <c r="B684" s="5" t="s">
        <v>5</v>
      </c>
      <c r="C684" s="2">
        <v>1218</v>
      </c>
      <c r="D684" s="2">
        <v>226</v>
      </c>
      <c r="E684" s="3">
        <v>4143.59</v>
      </c>
      <c r="F684" s="4" t="str">
        <f>IF(campaignData[[#This Row],[Campaign]]="Old_Campaign", "A", "B")</f>
        <v>A</v>
      </c>
    </row>
    <row r="685" spans="1:6" x14ac:dyDescent="0.2">
      <c r="A685" s="1">
        <v>44538</v>
      </c>
      <c r="B685" s="5" t="s">
        <v>6</v>
      </c>
      <c r="C685" s="2">
        <v>1168</v>
      </c>
      <c r="D685" s="2">
        <v>279</v>
      </c>
      <c r="E685" s="3">
        <v>5313.97</v>
      </c>
      <c r="F685" s="4" t="str">
        <f>IF(campaignData[[#This Row],[Campaign]]="Old_Campaign", "A", "B")</f>
        <v>B</v>
      </c>
    </row>
    <row r="686" spans="1:6" x14ac:dyDescent="0.2">
      <c r="A686" s="1">
        <v>44539</v>
      </c>
      <c r="B686" s="5" t="s">
        <v>5</v>
      </c>
      <c r="C686" s="2">
        <v>1229</v>
      </c>
      <c r="D686" s="2">
        <v>215</v>
      </c>
      <c r="E686" s="3">
        <v>3814.33</v>
      </c>
      <c r="F686" s="4" t="str">
        <f>IF(campaignData[[#This Row],[Campaign]]="Old_Campaign", "A", "B")</f>
        <v>A</v>
      </c>
    </row>
    <row r="687" spans="1:6" x14ac:dyDescent="0.2">
      <c r="A687" s="1">
        <v>44539</v>
      </c>
      <c r="B687" s="5" t="s">
        <v>6</v>
      </c>
      <c r="C687" s="2">
        <v>1120</v>
      </c>
      <c r="D687" s="2">
        <v>246</v>
      </c>
      <c r="E687" s="3">
        <v>4278.04</v>
      </c>
      <c r="F687" s="4" t="str">
        <f>IF(campaignData[[#This Row],[Campaign]]="Old_Campaign", "A", "B")</f>
        <v>B</v>
      </c>
    </row>
    <row r="688" spans="1:6" x14ac:dyDescent="0.2">
      <c r="A688" s="1">
        <v>44540</v>
      </c>
      <c r="B688" s="5" t="s">
        <v>5</v>
      </c>
      <c r="C688" s="2">
        <v>1241</v>
      </c>
      <c r="D688" s="2">
        <v>225</v>
      </c>
      <c r="E688" s="3">
        <v>3725.71</v>
      </c>
      <c r="F688" s="4" t="str">
        <f>IF(campaignData[[#This Row],[Campaign]]="Old_Campaign", "A", "B")</f>
        <v>A</v>
      </c>
    </row>
    <row r="689" spans="1:6" x14ac:dyDescent="0.2">
      <c r="A689" s="1">
        <v>44540</v>
      </c>
      <c r="B689" s="5" t="s">
        <v>6</v>
      </c>
      <c r="C689" s="2">
        <v>1133</v>
      </c>
      <c r="D689" s="2">
        <v>258</v>
      </c>
      <c r="E689" s="3">
        <v>4107.87</v>
      </c>
      <c r="F689" s="4" t="str">
        <f>IF(campaignData[[#This Row],[Campaign]]="Old_Campaign", "A", "B")</f>
        <v>B</v>
      </c>
    </row>
    <row r="690" spans="1:6" x14ac:dyDescent="0.2">
      <c r="A690" s="1">
        <v>44541</v>
      </c>
      <c r="B690" s="5" t="s">
        <v>5</v>
      </c>
      <c r="C690" s="2">
        <v>1175</v>
      </c>
      <c r="D690" s="2">
        <v>237</v>
      </c>
      <c r="E690" s="3">
        <v>2948.06</v>
      </c>
      <c r="F690" s="4" t="str">
        <f>IF(campaignData[[#This Row],[Campaign]]="Old_Campaign", "A", "B")</f>
        <v>A</v>
      </c>
    </row>
    <row r="691" spans="1:6" x14ac:dyDescent="0.2">
      <c r="A691" s="1">
        <v>44541</v>
      </c>
      <c r="B691" s="5" t="s">
        <v>6</v>
      </c>
      <c r="C691" s="2">
        <v>1129</v>
      </c>
      <c r="D691" s="2">
        <v>309</v>
      </c>
      <c r="E691" s="3">
        <v>5061.1000000000004</v>
      </c>
      <c r="F691" s="4" t="str">
        <f>IF(campaignData[[#This Row],[Campaign]]="Old_Campaign", "A", "B")</f>
        <v>B</v>
      </c>
    </row>
    <row r="692" spans="1:6" x14ac:dyDescent="0.2">
      <c r="A692" s="1">
        <v>44542</v>
      </c>
      <c r="B692" s="5" t="s">
        <v>5</v>
      </c>
      <c r="C692" s="2">
        <v>1250</v>
      </c>
      <c r="D692" s="2">
        <v>247</v>
      </c>
      <c r="E692" s="3">
        <v>2880.71</v>
      </c>
      <c r="F692" s="4" t="str">
        <f>IF(campaignData[[#This Row],[Campaign]]="Old_Campaign", "A", "B")</f>
        <v>A</v>
      </c>
    </row>
    <row r="693" spans="1:6" x14ac:dyDescent="0.2">
      <c r="A693" s="1">
        <v>44542</v>
      </c>
      <c r="B693" s="5" t="s">
        <v>6</v>
      </c>
      <c r="C693" s="2">
        <v>1207</v>
      </c>
      <c r="D693" s="2">
        <v>263</v>
      </c>
      <c r="E693" s="3">
        <v>4764.8900000000003</v>
      </c>
      <c r="F693" s="4" t="str">
        <f>IF(campaignData[[#This Row],[Campaign]]="Old_Campaign", "A", "B")</f>
        <v>B</v>
      </c>
    </row>
    <row r="694" spans="1:6" x14ac:dyDescent="0.2">
      <c r="A694" s="1">
        <v>44543</v>
      </c>
      <c r="B694" s="5" t="s">
        <v>5</v>
      </c>
      <c r="C694" s="2">
        <v>1179</v>
      </c>
      <c r="D694" s="2">
        <v>236</v>
      </c>
      <c r="E694" s="3">
        <v>3124.14</v>
      </c>
      <c r="F694" s="4" t="str">
        <f>IF(campaignData[[#This Row],[Campaign]]="Old_Campaign", "A", "B")</f>
        <v>A</v>
      </c>
    </row>
    <row r="695" spans="1:6" x14ac:dyDescent="0.2">
      <c r="A695" s="1">
        <v>44543</v>
      </c>
      <c r="B695" s="5" t="s">
        <v>6</v>
      </c>
      <c r="C695" s="2">
        <v>1166</v>
      </c>
      <c r="D695" s="2">
        <v>293</v>
      </c>
      <c r="E695" s="3">
        <v>4270.6400000000003</v>
      </c>
      <c r="F695" s="4" t="str">
        <f>IF(campaignData[[#This Row],[Campaign]]="Old_Campaign", "A", "B")</f>
        <v>B</v>
      </c>
    </row>
    <row r="696" spans="1:6" x14ac:dyDescent="0.2">
      <c r="A696" s="1">
        <v>44544</v>
      </c>
      <c r="B696" s="5" t="s">
        <v>5</v>
      </c>
      <c r="C696" s="2">
        <v>1224</v>
      </c>
      <c r="D696" s="2">
        <v>243</v>
      </c>
      <c r="E696" s="3">
        <v>3757.48</v>
      </c>
      <c r="F696" s="4" t="str">
        <f>IF(campaignData[[#This Row],[Campaign]]="Old_Campaign", "A", "B")</f>
        <v>A</v>
      </c>
    </row>
    <row r="697" spans="1:6" x14ac:dyDescent="0.2">
      <c r="A697" s="1">
        <v>44544</v>
      </c>
      <c r="B697" s="5" t="s">
        <v>6</v>
      </c>
      <c r="C697" s="2">
        <v>1099</v>
      </c>
      <c r="D697" s="2">
        <v>258</v>
      </c>
      <c r="E697" s="3">
        <v>4461.59</v>
      </c>
      <c r="F697" s="4" t="str">
        <f>IF(campaignData[[#This Row],[Campaign]]="Old_Campaign", "A", "B")</f>
        <v>B</v>
      </c>
    </row>
    <row r="698" spans="1:6" x14ac:dyDescent="0.2">
      <c r="A698" s="1">
        <v>44545</v>
      </c>
      <c r="B698" s="5" t="s">
        <v>5</v>
      </c>
      <c r="C698" s="2">
        <v>1222</v>
      </c>
      <c r="D698" s="2">
        <v>242</v>
      </c>
      <c r="E698" s="3">
        <v>4196.38</v>
      </c>
      <c r="F698" s="4" t="str">
        <f>IF(campaignData[[#This Row],[Campaign]]="Old_Campaign", "A", "B")</f>
        <v>A</v>
      </c>
    </row>
    <row r="699" spans="1:6" x14ac:dyDescent="0.2">
      <c r="A699" s="1">
        <v>44545</v>
      </c>
      <c r="B699" s="5" t="s">
        <v>6</v>
      </c>
      <c r="C699" s="2">
        <v>1235</v>
      </c>
      <c r="D699" s="2">
        <v>304</v>
      </c>
      <c r="E699" s="3">
        <v>4945.6499999999996</v>
      </c>
      <c r="F699" s="4" t="str">
        <f>IF(campaignData[[#This Row],[Campaign]]="Old_Campaign", "A", "B")</f>
        <v>B</v>
      </c>
    </row>
    <row r="700" spans="1:6" x14ac:dyDescent="0.2">
      <c r="A700" s="1">
        <v>44546</v>
      </c>
      <c r="B700" s="5" t="s">
        <v>5</v>
      </c>
      <c r="C700" s="2">
        <v>1205</v>
      </c>
      <c r="D700" s="2">
        <v>244</v>
      </c>
      <c r="E700" s="3">
        <v>3498.9</v>
      </c>
      <c r="F700" s="4" t="str">
        <f>IF(campaignData[[#This Row],[Campaign]]="Old_Campaign", "A", "B")</f>
        <v>A</v>
      </c>
    </row>
    <row r="701" spans="1:6" x14ac:dyDescent="0.2">
      <c r="A701" s="1">
        <v>44546</v>
      </c>
      <c r="B701" s="5" t="s">
        <v>6</v>
      </c>
      <c r="C701" s="2">
        <v>1131</v>
      </c>
      <c r="D701" s="2">
        <v>240</v>
      </c>
      <c r="E701" s="3">
        <v>3738.4</v>
      </c>
      <c r="F701" s="4" t="str">
        <f>IF(campaignData[[#This Row],[Campaign]]="Old_Campaign", "A", "B")</f>
        <v>B</v>
      </c>
    </row>
    <row r="702" spans="1:6" x14ac:dyDescent="0.2">
      <c r="A702" s="1">
        <v>44547</v>
      </c>
      <c r="B702" s="5" t="s">
        <v>5</v>
      </c>
      <c r="C702" s="2">
        <v>1194</v>
      </c>
      <c r="D702" s="2">
        <v>229</v>
      </c>
      <c r="E702" s="3">
        <v>2882.18</v>
      </c>
      <c r="F702" s="4" t="str">
        <f>IF(campaignData[[#This Row],[Campaign]]="Old_Campaign", "A", "B")</f>
        <v>A</v>
      </c>
    </row>
    <row r="703" spans="1:6" x14ac:dyDescent="0.2">
      <c r="A703" s="1">
        <v>44547</v>
      </c>
      <c r="B703" s="5" t="s">
        <v>6</v>
      </c>
      <c r="C703" s="2">
        <v>1140</v>
      </c>
      <c r="D703" s="2">
        <v>240</v>
      </c>
      <c r="E703" s="3">
        <v>3323.85</v>
      </c>
      <c r="F703" s="4" t="str">
        <f>IF(campaignData[[#This Row],[Campaign]]="Old_Campaign", "A", "B")</f>
        <v>B</v>
      </c>
    </row>
    <row r="704" spans="1:6" x14ac:dyDescent="0.2">
      <c r="A704" s="1">
        <v>44548</v>
      </c>
      <c r="B704" s="5" t="s">
        <v>5</v>
      </c>
      <c r="C704" s="2">
        <v>1156</v>
      </c>
      <c r="D704" s="2">
        <v>209</v>
      </c>
      <c r="E704" s="3">
        <v>3595.14</v>
      </c>
      <c r="F704" s="4" t="str">
        <f>IF(campaignData[[#This Row],[Campaign]]="Old_Campaign", "A", "B")</f>
        <v>A</v>
      </c>
    </row>
    <row r="705" spans="1:6" x14ac:dyDescent="0.2">
      <c r="A705" s="1">
        <v>44548</v>
      </c>
      <c r="B705" s="5" t="s">
        <v>6</v>
      </c>
      <c r="C705" s="2">
        <v>1176</v>
      </c>
      <c r="D705" s="2">
        <v>271</v>
      </c>
      <c r="E705" s="3">
        <v>4911.26</v>
      </c>
      <c r="F705" s="4" t="str">
        <f>IF(campaignData[[#This Row],[Campaign]]="Old_Campaign", "A", "B")</f>
        <v>B</v>
      </c>
    </row>
    <row r="706" spans="1:6" x14ac:dyDescent="0.2">
      <c r="A706" s="1">
        <v>44549</v>
      </c>
      <c r="B706" s="5" t="s">
        <v>5</v>
      </c>
      <c r="C706" s="2">
        <v>1212</v>
      </c>
      <c r="D706" s="2">
        <v>224</v>
      </c>
      <c r="E706" s="3">
        <v>4294.55</v>
      </c>
      <c r="F706" s="4" t="str">
        <f>IF(campaignData[[#This Row],[Campaign]]="Old_Campaign", "A", "B")</f>
        <v>A</v>
      </c>
    </row>
    <row r="707" spans="1:6" x14ac:dyDescent="0.2">
      <c r="A707" s="1">
        <v>44549</v>
      </c>
      <c r="B707" s="5" t="s">
        <v>6</v>
      </c>
      <c r="C707" s="2">
        <v>1190</v>
      </c>
      <c r="D707" s="2">
        <v>251</v>
      </c>
      <c r="E707" s="3">
        <v>3506.59</v>
      </c>
      <c r="F707" s="4" t="str">
        <f>IF(campaignData[[#This Row],[Campaign]]="Old_Campaign", "A", "B")</f>
        <v>B</v>
      </c>
    </row>
    <row r="708" spans="1:6" x14ac:dyDescent="0.2">
      <c r="A708" s="1">
        <v>44550</v>
      </c>
      <c r="B708" s="5" t="s">
        <v>5</v>
      </c>
      <c r="C708" s="2">
        <v>1150</v>
      </c>
      <c r="D708" s="2">
        <v>228</v>
      </c>
      <c r="E708" s="3">
        <v>3509.44</v>
      </c>
      <c r="F708" s="4" t="str">
        <f>IF(campaignData[[#This Row],[Campaign]]="Old_Campaign", "A", "B")</f>
        <v>A</v>
      </c>
    </row>
    <row r="709" spans="1:6" x14ac:dyDescent="0.2">
      <c r="A709" s="1">
        <v>44550</v>
      </c>
      <c r="B709" s="5" t="s">
        <v>6</v>
      </c>
      <c r="C709" s="2">
        <v>1154</v>
      </c>
      <c r="D709" s="2">
        <v>269</v>
      </c>
      <c r="E709" s="3">
        <v>3817.61</v>
      </c>
      <c r="F709" s="4" t="str">
        <f>IF(campaignData[[#This Row],[Campaign]]="Old_Campaign", "A", "B")</f>
        <v>B</v>
      </c>
    </row>
    <row r="710" spans="1:6" x14ac:dyDescent="0.2">
      <c r="A710" s="1">
        <v>44551</v>
      </c>
      <c r="B710" s="5" t="s">
        <v>5</v>
      </c>
      <c r="C710" s="2">
        <v>1112</v>
      </c>
      <c r="D710" s="2">
        <v>196</v>
      </c>
      <c r="E710" s="3">
        <v>3298.2</v>
      </c>
      <c r="F710" s="4" t="str">
        <f>IF(campaignData[[#This Row],[Campaign]]="Old_Campaign", "A", "B")</f>
        <v>A</v>
      </c>
    </row>
    <row r="711" spans="1:6" x14ac:dyDescent="0.2">
      <c r="A711" s="1">
        <v>44551</v>
      </c>
      <c r="B711" s="5" t="s">
        <v>6</v>
      </c>
      <c r="C711" s="2">
        <v>1201</v>
      </c>
      <c r="D711" s="2">
        <v>280</v>
      </c>
      <c r="E711" s="3">
        <v>3614.39</v>
      </c>
      <c r="F711" s="4" t="str">
        <f>IF(campaignData[[#This Row],[Campaign]]="Old_Campaign", "A", "B")</f>
        <v>B</v>
      </c>
    </row>
    <row r="712" spans="1:6" x14ac:dyDescent="0.2">
      <c r="A712" s="1">
        <v>44552</v>
      </c>
      <c r="B712" s="5" t="s">
        <v>5</v>
      </c>
      <c r="C712" s="2">
        <v>1186</v>
      </c>
      <c r="D712" s="2">
        <v>239</v>
      </c>
      <c r="E712" s="3">
        <v>3825.33</v>
      </c>
      <c r="F712" s="4" t="str">
        <f>IF(campaignData[[#This Row],[Campaign]]="Old_Campaign", "A", "B")</f>
        <v>A</v>
      </c>
    </row>
    <row r="713" spans="1:6" x14ac:dyDescent="0.2">
      <c r="A713" s="1">
        <v>44552</v>
      </c>
      <c r="B713" s="5" t="s">
        <v>6</v>
      </c>
      <c r="C713" s="2">
        <v>1136</v>
      </c>
      <c r="D713" s="2">
        <v>253</v>
      </c>
      <c r="E713" s="3">
        <v>4956.96</v>
      </c>
      <c r="F713" s="4" t="str">
        <f>IF(campaignData[[#This Row],[Campaign]]="Old_Campaign", "A", "B")</f>
        <v>B</v>
      </c>
    </row>
    <row r="714" spans="1:6" x14ac:dyDescent="0.2">
      <c r="A714" s="1">
        <v>44553</v>
      </c>
      <c r="B714" s="5" t="s">
        <v>5</v>
      </c>
      <c r="C714" s="2">
        <v>1127</v>
      </c>
      <c r="D714" s="2">
        <v>200</v>
      </c>
      <c r="E714" s="3">
        <v>2614.12</v>
      </c>
      <c r="F714" s="4" t="str">
        <f>IF(campaignData[[#This Row],[Campaign]]="Old_Campaign", "A", "B")</f>
        <v>A</v>
      </c>
    </row>
    <row r="715" spans="1:6" x14ac:dyDescent="0.2">
      <c r="A715" s="1">
        <v>44553</v>
      </c>
      <c r="B715" s="5" t="s">
        <v>6</v>
      </c>
      <c r="C715" s="2">
        <v>1177</v>
      </c>
      <c r="D715" s="2">
        <v>261</v>
      </c>
      <c r="E715" s="3">
        <v>5026.0600000000004</v>
      </c>
      <c r="F715" s="4" t="str">
        <f>IF(campaignData[[#This Row],[Campaign]]="Old_Campaign", "A", "B")</f>
        <v>B</v>
      </c>
    </row>
    <row r="716" spans="1:6" x14ac:dyDescent="0.2">
      <c r="A716" s="1">
        <v>44554</v>
      </c>
      <c r="B716" s="5" t="s">
        <v>5</v>
      </c>
      <c r="C716" s="2">
        <v>1174</v>
      </c>
      <c r="D716" s="2">
        <v>222</v>
      </c>
      <c r="E716" s="3">
        <v>3066.35</v>
      </c>
      <c r="F716" s="4" t="str">
        <f>IF(campaignData[[#This Row],[Campaign]]="Old_Campaign", "A", "B")</f>
        <v>A</v>
      </c>
    </row>
    <row r="717" spans="1:6" x14ac:dyDescent="0.2">
      <c r="A717" s="1">
        <v>44554</v>
      </c>
      <c r="B717" s="5" t="s">
        <v>6</v>
      </c>
      <c r="C717" s="2">
        <v>1134</v>
      </c>
      <c r="D717" s="2">
        <v>250</v>
      </c>
      <c r="E717" s="3">
        <v>3917.18</v>
      </c>
      <c r="F717" s="4" t="str">
        <f>IF(campaignData[[#This Row],[Campaign]]="Old_Campaign", "A", "B")</f>
        <v>B</v>
      </c>
    </row>
    <row r="718" spans="1:6" x14ac:dyDescent="0.2">
      <c r="A718" s="1">
        <v>44555</v>
      </c>
      <c r="B718" s="5" t="s">
        <v>5</v>
      </c>
      <c r="C718" s="2">
        <v>1185</v>
      </c>
      <c r="D718" s="2">
        <v>207</v>
      </c>
      <c r="E718" s="3">
        <v>2362.33</v>
      </c>
      <c r="F718" s="4" t="str">
        <f>IF(campaignData[[#This Row],[Campaign]]="Old_Campaign", "A", "B")</f>
        <v>A</v>
      </c>
    </row>
    <row r="719" spans="1:6" x14ac:dyDescent="0.2">
      <c r="A719" s="1">
        <v>44555</v>
      </c>
      <c r="B719" s="5" t="s">
        <v>6</v>
      </c>
      <c r="C719" s="2">
        <v>1166</v>
      </c>
      <c r="D719" s="2">
        <v>294</v>
      </c>
      <c r="E719" s="3">
        <v>3907</v>
      </c>
      <c r="F719" s="4" t="str">
        <f>IF(campaignData[[#This Row],[Campaign]]="Old_Campaign", "A", "B")</f>
        <v>B</v>
      </c>
    </row>
    <row r="720" spans="1:6" x14ac:dyDescent="0.2">
      <c r="A720" s="1">
        <v>44556</v>
      </c>
      <c r="B720" s="5" t="s">
        <v>5</v>
      </c>
      <c r="C720" s="2">
        <v>1215</v>
      </c>
      <c r="D720" s="2">
        <v>225</v>
      </c>
      <c r="E720" s="3">
        <v>4027.92</v>
      </c>
      <c r="F720" s="4" t="str">
        <f>IF(campaignData[[#This Row],[Campaign]]="Old_Campaign", "A", "B")</f>
        <v>A</v>
      </c>
    </row>
    <row r="721" spans="1:6" x14ac:dyDescent="0.2">
      <c r="A721" s="1">
        <v>44556</v>
      </c>
      <c r="B721" s="5" t="s">
        <v>6</v>
      </c>
      <c r="C721" s="2">
        <v>1140</v>
      </c>
      <c r="D721" s="2">
        <v>257</v>
      </c>
      <c r="E721" s="3">
        <v>5040.8999999999996</v>
      </c>
      <c r="F721" s="4" t="str">
        <f>IF(campaignData[[#This Row],[Campaign]]="Old_Campaign", "A", "B")</f>
        <v>B</v>
      </c>
    </row>
    <row r="722" spans="1:6" x14ac:dyDescent="0.2">
      <c r="A722" s="1">
        <v>44557</v>
      </c>
      <c r="B722" s="5" t="s">
        <v>5</v>
      </c>
      <c r="C722" s="2">
        <v>1161</v>
      </c>
      <c r="D722" s="2">
        <v>227</v>
      </c>
      <c r="E722" s="3">
        <v>4387.9399999999996</v>
      </c>
      <c r="F722" s="4" t="str">
        <f>IF(campaignData[[#This Row],[Campaign]]="Old_Campaign", "A", "B")</f>
        <v>A</v>
      </c>
    </row>
    <row r="723" spans="1:6" x14ac:dyDescent="0.2">
      <c r="A723" s="1">
        <v>44557</v>
      </c>
      <c r="B723" s="5" t="s">
        <v>6</v>
      </c>
      <c r="C723" s="2">
        <v>1194</v>
      </c>
      <c r="D723" s="2">
        <v>266</v>
      </c>
      <c r="E723" s="3">
        <v>4889.37</v>
      </c>
      <c r="F723" s="4" t="str">
        <f>IF(campaignData[[#This Row],[Campaign]]="Old_Campaign", "A", "B")</f>
        <v>B</v>
      </c>
    </row>
    <row r="724" spans="1:6" x14ac:dyDescent="0.2">
      <c r="A724" s="1">
        <v>44558</v>
      </c>
      <c r="B724" s="5" t="s">
        <v>5</v>
      </c>
      <c r="C724" s="2">
        <v>1204</v>
      </c>
      <c r="D724" s="2">
        <v>227</v>
      </c>
      <c r="E724" s="3">
        <v>2689.04</v>
      </c>
      <c r="F724" s="4" t="str">
        <f>IF(campaignData[[#This Row],[Campaign]]="Old_Campaign", "A", "B")</f>
        <v>A</v>
      </c>
    </row>
    <row r="725" spans="1:6" x14ac:dyDescent="0.2">
      <c r="A725" s="1">
        <v>44558</v>
      </c>
      <c r="B725" s="5" t="s">
        <v>6</v>
      </c>
      <c r="C725" s="2">
        <v>1109</v>
      </c>
      <c r="D725" s="2">
        <v>257</v>
      </c>
      <c r="E725" s="3">
        <v>3699.35</v>
      </c>
      <c r="F725" s="4" t="str">
        <f>IF(campaignData[[#This Row],[Campaign]]="Old_Campaign", "A", "B")</f>
        <v>B</v>
      </c>
    </row>
    <row r="726" spans="1:6" x14ac:dyDescent="0.2">
      <c r="A726" s="1">
        <v>44559</v>
      </c>
      <c r="B726" s="5" t="s">
        <v>5</v>
      </c>
      <c r="C726" s="2">
        <v>1141</v>
      </c>
      <c r="D726" s="2">
        <v>225</v>
      </c>
      <c r="E726" s="3">
        <v>4397.1499999999996</v>
      </c>
      <c r="F726" s="4" t="str">
        <f>IF(campaignData[[#This Row],[Campaign]]="Old_Campaign", "A", "B")</f>
        <v>A</v>
      </c>
    </row>
    <row r="727" spans="1:6" x14ac:dyDescent="0.2">
      <c r="A727" s="1">
        <v>44559</v>
      </c>
      <c r="B727" s="5" t="s">
        <v>6</v>
      </c>
      <c r="C727" s="2">
        <v>1186</v>
      </c>
      <c r="D727" s="2">
        <v>258</v>
      </c>
      <c r="E727" s="3">
        <v>3919.33</v>
      </c>
      <c r="F727" s="4" t="str">
        <f>IF(campaignData[[#This Row],[Campaign]]="Old_Campaign", "A", "B")</f>
        <v>B</v>
      </c>
    </row>
    <row r="728" spans="1:6" x14ac:dyDescent="0.2">
      <c r="A728" s="1">
        <v>44560</v>
      </c>
      <c r="B728" s="5" t="s">
        <v>5</v>
      </c>
      <c r="C728" s="2">
        <v>1154</v>
      </c>
      <c r="D728" s="2">
        <v>257</v>
      </c>
      <c r="E728" s="3">
        <v>4079.09</v>
      </c>
      <c r="F728" s="4" t="str">
        <f>IF(campaignData[[#This Row],[Campaign]]="Old_Campaign", "A", "B")</f>
        <v>A</v>
      </c>
    </row>
    <row r="729" spans="1:6" x14ac:dyDescent="0.2">
      <c r="A729" s="1">
        <v>44560</v>
      </c>
      <c r="B729" s="5" t="s">
        <v>6</v>
      </c>
      <c r="C729" s="2">
        <v>1158</v>
      </c>
      <c r="D729" s="2">
        <v>242</v>
      </c>
      <c r="E729" s="3">
        <v>2646.39</v>
      </c>
      <c r="F729" s="4" t="str">
        <f>IF(campaignData[[#This Row],[Campaign]]="Old_Campaign", "A", "B")</f>
        <v>B</v>
      </c>
    </row>
    <row r="730" spans="1:6" x14ac:dyDescent="0.2">
      <c r="A730" s="1">
        <v>44561</v>
      </c>
      <c r="B730" s="5" t="s">
        <v>5</v>
      </c>
      <c r="C730" s="2">
        <v>1143</v>
      </c>
      <c r="D730" s="2">
        <v>225</v>
      </c>
      <c r="E730" s="3">
        <v>4271.2</v>
      </c>
      <c r="F730" s="4" t="str">
        <f>IF(campaignData[[#This Row],[Campaign]]="Old_Campaign", "A", "B")</f>
        <v>A</v>
      </c>
    </row>
    <row r="731" spans="1:6" x14ac:dyDescent="0.2">
      <c r="A731" s="1">
        <v>44561</v>
      </c>
      <c r="B731" s="5" t="s">
        <v>6</v>
      </c>
      <c r="C731" s="2">
        <v>1138</v>
      </c>
      <c r="D731" s="2">
        <v>261</v>
      </c>
      <c r="E731" s="3">
        <v>3741.66</v>
      </c>
      <c r="F731" s="4" t="str">
        <f>IF(campaignData[[#This Row],[Campaign]]="Old_Campaign", "A", "B")</f>
        <v>B</v>
      </c>
    </row>
    <row r="732" spans="1:6" x14ac:dyDescent="0.2">
      <c r="A732" s="1">
        <v>44562</v>
      </c>
      <c r="B732" s="5" t="s">
        <v>5</v>
      </c>
      <c r="C732" s="2">
        <v>1188</v>
      </c>
      <c r="D732" s="2">
        <v>241</v>
      </c>
      <c r="E732" s="3">
        <v>3820.26</v>
      </c>
      <c r="F732" s="4" t="str">
        <f>IF(campaignData[[#This Row],[Campaign]]="Old_Campaign", "A", "B")</f>
        <v>A</v>
      </c>
    </row>
    <row r="733" spans="1:6" x14ac:dyDescent="0.2">
      <c r="A733" s="1">
        <v>44562</v>
      </c>
      <c r="B733" s="5" t="s">
        <v>6</v>
      </c>
      <c r="C733" s="2">
        <v>1158</v>
      </c>
      <c r="D733" s="2">
        <v>273</v>
      </c>
      <c r="E733" s="3">
        <v>4596.34</v>
      </c>
      <c r="F733" s="4" t="str">
        <f>IF(campaignData[[#This Row],[Campaign]]="Old_Campaign", "A", "B")</f>
        <v>B</v>
      </c>
    </row>
    <row r="734" spans="1:6" x14ac:dyDescent="0.2">
      <c r="A734" s="1">
        <v>44563</v>
      </c>
      <c r="B734" s="5" t="s">
        <v>5</v>
      </c>
      <c r="C734" s="2">
        <v>1231</v>
      </c>
      <c r="D734" s="2">
        <v>226</v>
      </c>
      <c r="E734" s="3">
        <v>4417.1400000000003</v>
      </c>
      <c r="F734" s="4" t="str">
        <f>IF(campaignData[[#This Row],[Campaign]]="Old_Campaign", "A", "B")</f>
        <v>A</v>
      </c>
    </row>
    <row r="735" spans="1:6" x14ac:dyDescent="0.2">
      <c r="A735" s="1">
        <v>44563</v>
      </c>
      <c r="B735" s="5" t="s">
        <v>6</v>
      </c>
      <c r="C735" s="2">
        <v>1120</v>
      </c>
      <c r="D735" s="2">
        <v>276</v>
      </c>
      <c r="E735" s="3">
        <v>4906.75</v>
      </c>
      <c r="F735" s="4" t="str">
        <f>IF(campaignData[[#This Row],[Campaign]]="Old_Campaign", "A", "B")</f>
        <v>B</v>
      </c>
    </row>
    <row r="736" spans="1:6" x14ac:dyDescent="0.2">
      <c r="A736" s="1">
        <v>44564</v>
      </c>
      <c r="B736" s="5" t="s">
        <v>5</v>
      </c>
      <c r="C736" s="2">
        <v>1129</v>
      </c>
      <c r="D736" s="2">
        <v>206</v>
      </c>
      <c r="E736" s="3">
        <v>3044.06</v>
      </c>
      <c r="F736" s="4" t="str">
        <f>IF(campaignData[[#This Row],[Campaign]]="Old_Campaign", "A", "B")</f>
        <v>A</v>
      </c>
    </row>
    <row r="737" spans="1:6" x14ac:dyDescent="0.2">
      <c r="A737" s="1">
        <v>44564</v>
      </c>
      <c r="B737" s="5" t="s">
        <v>6</v>
      </c>
      <c r="C737" s="2">
        <v>1112</v>
      </c>
      <c r="D737" s="2">
        <v>253</v>
      </c>
      <c r="E737" s="3">
        <v>3640.69</v>
      </c>
      <c r="F737" s="4" t="str">
        <f>IF(campaignData[[#This Row],[Campaign]]="Old_Campaign", "A", "B")</f>
        <v>B</v>
      </c>
    </row>
    <row r="738" spans="1:6" x14ac:dyDescent="0.2">
      <c r="A738" s="1">
        <v>44565</v>
      </c>
      <c r="B738" s="5" t="s">
        <v>5</v>
      </c>
      <c r="C738" s="2">
        <v>1123</v>
      </c>
      <c r="D738" s="2">
        <v>221</v>
      </c>
      <c r="E738" s="3">
        <v>3796.24</v>
      </c>
      <c r="F738" s="4" t="str">
        <f>IF(campaignData[[#This Row],[Campaign]]="Old_Campaign", "A", "B")</f>
        <v>A</v>
      </c>
    </row>
    <row r="739" spans="1:6" x14ac:dyDescent="0.2">
      <c r="A739" s="1">
        <v>44565</v>
      </c>
      <c r="B739" s="5" t="s">
        <v>6</v>
      </c>
      <c r="C739" s="2">
        <v>1109</v>
      </c>
      <c r="D739" s="2">
        <v>256</v>
      </c>
      <c r="E739" s="3">
        <v>3903.33</v>
      </c>
      <c r="F739" s="4" t="str">
        <f>IF(campaignData[[#This Row],[Campaign]]="Old_Campaign", "A", "B")</f>
        <v>B</v>
      </c>
    </row>
    <row r="740" spans="1:6" x14ac:dyDescent="0.2">
      <c r="A740" s="1">
        <v>44566</v>
      </c>
      <c r="B740" s="5" t="s">
        <v>5</v>
      </c>
      <c r="C740" s="2">
        <v>1207</v>
      </c>
      <c r="D740" s="2">
        <v>232</v>
      </c>
      <c r="E740" s="3">
        <v>3561.33</v>
      </c>
      <c r="F740" s="4" t="str">
        <f>IF(campaignData[[#This Row],[Campaign]]="Old_Campaign", "A", "B")</f>
        <v>A</v>
      </c>
    </row>
    <row r="741" spans="1:6" x14ac:dyDescent="0.2">
      <c r="A741" s="1">
        <v>44566</v>
      </c>
      <c r="B741" s="5" t="s">
        <v>6</v>
      </c>
      <c r="C741" s="2">
        <v>1164</v>
      </c>
      <c r="D741" s="2">
        <v>238</v>
      </c>
      <c r="E741" s="3">
        <v>3171.72</v>
      </c>
      <c r="F741" s="4" t="str">
        <f>IF(campaignData[[#This Row],[Campaign]]="Old_Campaign", "A", "B")</f>
        <v>B</v>
      </c>
    </row>
    <row r="742" spans="1:6" x14ac:dyDescent="0.2">
      <c r="A742" s="1">
        <v>44567</v>
      </c>
      <c r="B742" s="5" t="s">
        <v>5</v>
      </c>
      <c r="C742" s="2">
        <v>1179</v>
      </c>
      <c r="D742" s="2">
        <v>228</v>
      </c>
      <c r="E742" s="3">
        <v>3443.83</v>
      </c>
      <c r="F742" s="4" t="str">
        <f>IF(campaignData[[#This Row],[Campaign]]="Old_Campaign", "A", "B")</f>
        <v>A</v>
      </c>
    </row>
    <row r="743" spans="1:6" x14ac:dyDescent="0.2">
      <c r="A743" s="1">
        <v>44567</v>
      </c>
      <c r="B743" s="5" t="s">
        <v>6</v>
      </c>
      <c r="C743" s="2">
        <v>1124</v>
      </c>
      <c r="D743" s="2">
        <v>288</v>
      </c>
      <c r="E743" s="3">
        <v>3997.09</v>
      </c>
      <c r="F743" s="4" t="str">
        <f>IF(campaignData[[#This Row],[Campaign]]="Old_Campaign", "A", "B")</f>
        <v>B</v>
      </c>
    </row>
    <row r="744" spans="1:6" x14ac:dyDescent="0.2">
      <c r="A744" s="1">
        <v>44568</v>
      </c>
      <c r="B744" s="5" t="s">
        <v>5</v>
      </c>
      <c r="C744" s="2">
        <v>1277</v>
      </c>
      <c r="D744" s="2">
        <v>243</v>
      </c>
      <c r="E744" s="3">
        <v>4205.6400000000003</v>
      </c>
      <c r="F744" s="4" t="str">
        <f>IF(campaignData[[#This Row],[Campaign]]="Old_Campaign", "A", "B")</f>
        <v>A</v>
      </c>
    </row>
    <row r="745" spans="1:6" x14ac:dyDescent="0.2">
      <c r="A745" s="1">
        <v>44568</v>
      </c>
      <c r="B745" s="5" t="s">
        <v>6</v>
      </c>
      <c r="C745" s="2">
        <v>1141</v>
      </c>
      <c r="D745" s="2">
        <v>279</v>
      </c>
      <c r="E745" s="3">
        <v>5237.58</v>
      </c>
      <c r="F745" s="4" t="str">
        <f>IF(campaignData[[#This Row],[Campaign]]="Old_Campaign", "A", "B")</f>
        <v>B</v>
      </c>
    </row>
    <row r="746" spans="1:6" x14ac:dyDescent="0.2">
      <c r="A746" s="1">
        <v>44569</v>
      </c>
      <c r="B746" s="5" t="s">
        <v>5</v>
      </c>
      <c r="C746" s="2">
        <v>1183</v>
      </c>
      <c r="D746" s="2">
        <v>204</v>
      </c>
      <c r="E746" s="3">
        <v>3684.32</v>
      </c>
      <c r="F746" s="4" t="str">
        <f>IF(campaignData[[#This Row],[Campaign]]="Old_Campaign", "A", "B")</f>
        <v>A</v>
      </c>
    </row>
    <row r="747" spans="1:6" x14ac:dyDescent="0.2">
      <c r="A747" s="1">
        <v>44569</v>
      </c>
      <c r="B747" s="5" t="s">
        <v>6</v>
      </c>
      <c r="C747" s="2">
        <v>1131</v>
      </c>
      <c r="D747" s="2">
        <v>267</v>
      </c>
      <c r="E747" s="3">
        <v>4627.07</v>
      </c>
      <c r="F747" s="4" t="str">
        <f>IF(campaignData[[#This Row],[Campaign]]="Old_Campaign", "A", "B")</f>
        <v>B</v>
      </c>
    </row>
    <row r="748" spans="1:6" x14ac:dyDescent="0.2">
      <c r="A748" s="1">
        <v>44570</v>
      </c>
      <c r="B748" s="5" t="s">
        <v>5</v>
      </c>
      <c r="C748" s="2">
        <v>1164</v>
      </c>
      <c r="D748" s="2">
        <v>216</v>
      </c>
      <c r="E748" s="3">
        <v>3160.88</v>
      </c>
      <c r="F748" s="4" t="str">
        <f>IF(campaignData[[#This Row],[Campaign]]="Old_Campaign", "A", "B")</f>
        <v>A</v>
      </c>
    </row>
    <row r="749" spans="1:6" x14ac:dyDescent="0.2">
      <c r="A749" s="1">
        <v>44570</v>
      </c>
      <c r="B749" s="5" t="s">
        <v>6</v>
      </c>
      <c r="C749" s="2">
        <v>1135</v>
      </c>
      <c r="D749" s="2">
        <v>259</v>
      </c>
      <c r="E749" s="3">
        <v>3959.24</v>
      </c>
      <c r="F749" s="4" t="str">
        <f>IF(campaignData[[#This Row],[Campaign]]="Old_Campaign", "A", "B")</f>
        <v>B</v>
      </c>
    </row>
    <row r="750" spans="1:6" x14ac:dyDescent="0.2">
      <c r="A750" s="1">
        <v>44571</v>
      </c>
      <c r="B750" s="5" t="s">
        <v>5</v>
      </c>
      <c r="C750" s="2">
        <v>1191</v>
      </c>
      <c r="D750" s="2">
        <v>213</v>
      </c>
      <c r="E750" s="3">
        <v>3715.07</v>
      </c>
      <c r="F750" s="4" t="str">
        <f>IF(campaignData[[#This Row],[Campaign]]="Old_Campaign", "A", "B")</f>
        <v>A</v>
      </c>
    </row>
    <row r="751" spans="1:6" x14ac:dyDescent="0.2">
      <c r="A751" s="1">
        <v>44571</v>
      </c>
      <c r="B751" s="5" t="s">
        <v>6</v>
      </c>
      <c r="C751" s="2">
        <v>1142</v>
      </c>
      <c r="D751" s="2">
        <v>270</v>
      </c>
      <c r="E751" s="3">
        <v>3846.54</v>
      </c>
      <c r="F751" s="4" t="str">
        <f>IF(campaignData[[#This Row],[Campaign]]="Old_Campaign", "A", "B")</f>
        <v>B</v>
      </c>
    </row>
    <row r="752" spans="1:6" x14ac:dyDescent="0.2">
      <c r="A752" s="1">
        <v>44572</v>
      </c>
      <c r="B752" s="5" t="s">
        <v>5</v>
      </c>
      <c r="C752" s="2">
        <v>1244</v>
      </c>
      <c r="D752" s="2">
        <v>218</v>
      </c>
      <c r="E752" s="3">
        <v>3827.87</v>
      </c>
      <c r="F752" s="4" t="str">
        <f>IF(campaignData[[#This Row],[Campaign]]="Old_Campaign", "A", "B")</f>
        <v>A</v>
      </c>
    </row>
    <row r="753" spans="1:6" x14ac:dyDescent="0.2">
      <c r="A753" s="1">
        <v>44572</v>
      </c>
      <c r="B753" s="5" t="s">
        <v>6</v>
      </c>
      <c r="C753" s="2">
        <v>1140</v>
      </c>
      <c r="D753" s="2">
        <v>239</v>
      </c>
      <c r="E753" s="3">
        <v>2764.36</v>
      </c>
      <c r="F753" s="4" t="str">
        <f>IF(campaignData[[#This Row],[Campaign]]="Old_Campaign", "A", "B")</f>
        <v>B</v>
      </c>
    </row>
    <row r="754" spans="1:6" x14ac:dyDescent="0.2">
      <c r="A754" s="1">
        <v>44573</v>
      </c>
      <c r="B754" s="5" t="s">
        <v>5</v>
      </c>
      <c r="C754" s="2">
        <v>1156</v>
      </c>
      <c r="D754" s="2">
        <v>218</v>
      </c>
      <c r="E754" s="3">
        <v>3183.7</v>
      </c>
      <c r="F754" s="4" t="str">
        <f>IF(campaignData[[#This Row],[Campaign]]="Old_Campaign", "A", "B")</f>
        <v>A</v>
      </c>
    </row>
    <row r="755" spans="1:6" x14ac:dyDescent="0.2">
      <c r="A755" s="1">
        <v>44573</v>
      </c>
      <c r="B755" s="5" t="s">
        <v>6</v>
      </c>
      <c r="C755" s="2">
        <v>1142</v>
      </c>
      <c r="D755" s="2">
        <v>271</v>
      </c>
      <c r="E755" s="3">
        <v>5456.81</v>
      </c>
      <c r="F755" s="4" t="str">
        <f>IF(campaignData[[#This Row],[Campaign]]="Old_Campaign", "A", "B")</f>
        <v>B</v>
      </c>
    </row>
    <row r="756" spans="1:6" x14ac:dyDescent="0.2">
      <c r="A756" s="1">
        <v>44574</v>
      </c>
      <c r="B756" s="5" t="s">
        <v>5</v>
      </c>
      <c r="C756" s="2">
        <v>1161</v>
      </c>
      <c r="D756" s="2">
        <v>228</v>
      </c>
      <c r="E756" s="3">
        <v>3729.6</v>
      </c>
      <c r="F756" s="4" t="str">
        <f>IF(campaignData[[#This Row],[Campaign]]="Old_Campaign", "A", "B")</f>
        <v>A</v>
      </c>
    </row>
    <row r="757" spans="1:6" x14ac:dyDescent="0.2">
      <c r="A757" s="1">
        <v>44574</v>
      </c>
      <c r="B757" s="5" t="s">
        <v>6</v>
      </c>
      <c r="C757" s="2">
        <v>1180</v>
      </c>
      <c r="D757" s="2">
        <v>262</v>
      </c>
      <c r="E757" s="3">
        <v>3766.3</v>
      </c>
      <c r="F757" s="4" t="str">
        <f>IF(campaignData[[#This Row],[Campaign]]="Old_Campaign", "A", "B")</f>
        <v>B</v>
      </c>
    </row>
    <row r="758" spans="1:6" x14ac:dyDescent="0.2">
      <c r="A758" s="1">
        <v>44575</v>
      </c>
      <c r="B758" s="5" t="s">
        <v>5</v>
      </c>
      <c r="C758" s="2">
        <v>1207</v>
      </c>
      <c r="D758" s="2">
        <v>220</v>
      </c>
      <c r="E758" s="3">
        <v>2810.9</v>
      </c>
      <c r="F758" s="4" t="str">
        <f>IF(campaignData[[#This Row],[Campaign]]="Old_Campaign", "A", "B")</f>
        <v>A</v>
      </c>
    </row>
    <row r="759" spans="1:6" x14ac:dyDescent="0.2">
      <c r="A759" s="1">
        <v>44575</v>
      </c>
      <c r="B759" s="5" t="s">
        <v>6</v>
      </c>
      <c r="C759" s="2">
        <v>1125</v>
      </c>
      <c r="D759" s="2">
        <v>269</v>
      </c>
      <c r="E759" s="3">
        <v>4284.7299999999996</v>
      </c>
      <c r="F759" s="4" t="str">
        <f>IF(campaignData[[#This Row],[Campaign]]="Old_Campaign", "A", "B")</f>
        <v>B</v>
      </c>
    </row>
    <row r="760" spans="1:6" x14ac:dyDescent="0.2">
      <c r="A760" s="1">
        <v>44576</v>
      </c>
      <c r="B760" s="5" t="s">
        <v>5</v>
      </c>
      <c r="C760" s="2">
        <v>1178</v>
      </c>
      <c r="D760" s="2">
        <v>236</v>
      </c>
      <c r="E760" s="3">
        <v>3842.34</v>
      </c>
      <c r="F760" s="4" t="str">
        <f>IF(campaignData[[#This Row],[Campaign]]="Old_Campaign", "A", "B")</f>
        <v>A</v>
      </c>
    </row>
    <row r="761" spans="1:6" x14ac:dyDescent="0.2">
      <c r="A761" s="1">
        <v>44576</v>
      </c>
      <c r="B761" s="5" t="s">
        <v>6</v>
      </c>
      <c r="C761" s="2">
        <v>1114</v>
      </c>
      <c r="D761" s="2">
        <v>243</v>
      </c>
      <c r="E761" s="3">
        <v>3947.82</v>
      </c>
      <c r="F761" s="4" t="str">
        <f>IF(campaignData[[#This Row],[Campaign]]="Old_Campaign", "A", "B")</f>
        <v>B</v>
      </c>
    </row>
    <row r="762" spans="1:6" x14ac:dyDescent="0.2">
      <c r="A762" s="1">
        <v>44577</v>
      </c>
      <c r="B762" s="5" t="s">
        <v>5</v>
      </c>
      <c r="C762" s="2">
        <v>1205</v>
      </c>
      <c r="D762" s="2">
        <v>227</v>
      </c>
      <c r="E762" s="3">
        <v>3509</v>
      </c>
      <c r="F762" s="4" t="str">
        <f>IF(campaignData[[#This Row],[Campaign]]="Old_Campaign", "A", "B")</f>
        <v>A</v>
      </c>
    </row>
    <row r="763" spans="1:6" x14ac:dyDescent="0.2">
      <c r="A763" s="1">
        <v>44577</v>
      </c>
      <c r="B763" s="5" t="s">
        <v>6</v>
      </c>
      <c r="C763" s="2">
        <v>1199</v>
      </c>
      <c r="D763" s="2">
        <v>279</v>
      </c>
      <c r="E763" s="3">
        <v>5063.47</v>
      </c>
      <c r="F763" s="4" t="str">
        <f>IF(campaignData[[#This Row],[Campaign]]="Old_Campaign", "A", "B")</f>
        <v>B</v>
      </c>
    </row>
    <row r="764" spans="1:6" x14ac:dyDescent="0.2">
      <c r="A764" s="1">
        <v>44578</v>
      </c>
      <c r="B764" s="5" t="s">
        <v>5</v>
      </c>
      <c r="C764" s="2">
        <v>1226</v>
      </c>
      <c r="D764" s="2">
        <v>252</v>
      </c>
      <c r="E764" s="3">
        <v>3360.69</v>
      </c>
      <c r="F764" s="4" t="str">
        <f>IF(campaignData[[#This Row],[Campaign]]="Old_Campaign", "A", "B")</f>
        <v>A</v>
      </c>
    </row>
    <row r="765" spans="1:6" x14ac:dyDescent="0.2">
      <c r="A765" s="1">
        <v>44578</v>
      </c>
      <c r="B765" s="5" t="s">
        <v>6</v>
      </c>
      <c r="C765" s="2">
        <v>1124</v>
      </c>
      <c r="D765" s="2">
        <v>265</v>
      </c>
      <c r="E765" s="3">
        <v>3901.71</v>
      </c>
      <c r="F765" s="4" t="str">
        <f>IF(campaignData[[#This Row],[Campaign]]="Old_Campaign", "A", "B")</f>
        <v>B</v>
      </c>
    </row>
    <row r="766" spans="1:6" x14ac:dyDescent="0.2">
      <c r="A766" s="1">
        <v>44579</v>
      </c>
      <c r="B766" s="5" t="s">
        <v>5</v>
      </c>
      <c r="C766" s="2">
        <v>1193</v>
      </c>
      <c r="D766" s="2">
        <v>227</v>
      </c>
      <c r="E766" s="3">
        <v>3437.35</v>
      </c>
      <c r="F766" s="4" t="str">
        <f>IF(campaignData[[#This Row],[Campaign]]="Old_Campaign", "A", "B")</f>
        <v>A</v>
      </c>
    </row>
    <row r="767" spans="1:6" x14ac:dyDescent="0.2">
      <c r="A767" s="1">
        <v>44579</v>
      </c>
      <c r="B767" s="5" t="s">
        <v>6</v>
      </c>
      <c r="C767" s="2">
        <v>1120</v>
      </c>
      <c r="D767" s="2">
        <v>252</v>
      </c>
      <c r="E767" s="3">
        <v>3380.07</v>
      </c>
      <c r="F767" s="4" t="str">
        <f>IF(campaignData[[#This Row],[Campaign]]="Old_Campaign", "A", "B")</f>
        <v>B</v>
      </c>
    </row>
    <row r="768" spans="1:6" x14ac:dyDescent="0.2">
      <c r="A768" s="1">
        <v>44580</v>
      </c>
      <c r="B768" s="5" t="s">
        <v>5</v>
      </c>
      <c r="C768" s="2">
        <v>1217</v>
      </c>
      <c r="D768" s="2">
        <v>214</v>
      </c>
      <c r="E768" s="3">
        <v>4195.96</v>
      </c>
      <c r="F768" s="4" t="str">
        <f>IF(campaignData[[#This Row],[Campaign]]="Old_Campaign", "A", "B")</f>
        <v>A</v>
      </c>
    </row>
    <row r="769" spans="1:6" x14ac:dyDescent="0.2">
      <c r="A769" s="1">
        <v>44580</v>
      </c>
      <c r="B769" s="5" t="s">
        <v>6</v>
      </c>
      <c r="C769" s="2">
        <v>1166</v>
      </c>
      <c r="D769" s="2">
        <v>239</v>
      </c>
      <c r="E769" s="3">
        <v>3116.83</v>
      </c>
      <c r="F769" s="4" t="str">
        <f>IF(campaignData[[#This Row],[Campaign]]="Old_Campaign", "A", "B")</f>
        <v>B</v>
      </c>
    </row>
    <row r="770" spans="1:6" x14ac:dyDescent="0.2">
      <c r="A770" s="1">
        <v>44581</v>
      </c>
      <c r="B770" s="5" t="s">
        <v>5</v>
      </c>
      <c r="C770" s="2">
        <v>1223</v>
      </c>
      <c r="D770" s="2">
        <v>250</v>
      </c>
      <c r="E770" s="3">
        <v>3918.07</v>
      </c>
      <c r="F770" s="4" t="str">
        <f>IF(campaignData[[#This Row],[Campaign]]="Old_Campaign", "A", "B")</f>
        <v>A</v>
      </c>
    </row>
    <row r="771" spans="1:6" x14ac:dyDescent="0.2">
      <c r="A771" s="1">
        <v>44581</v>
      </c>
      <c r="B771" s="5" t="s">
        <v>6</v>
      </c>
      <c r="C771" s="2">
        <v>1125</v>
      </c>
      <c r="D771" s="2">
        <v>240</v>
      </c>
      <c r="E771" s="3">
        <v>3730.81</v>
      </c>
      <c r="F771" s="4" t="str">
        <f>IF(campaignData[[#This Row],[Campaign]]="Old_Campaign", "A", "B")</f>
        <v>B</v>
      </c>
    </row>
    <row r="772" spans="1:6" x14ac:dyDescent="0.2">
      <c r="A772" s="1">
        <v>44582</v>
      </c>
      <c r="B772" s="5" t="s">
        <v>5</v>
      </c>
      <c r="C772" s="2">
        <v>1200</v>
      </c>
      <c r="D772" s="2">
        <v>218</v>
      </c>
      <c r="E772" s="3">
        <v>2929.98</v>
      </c>
      <c r="F772" s="4" t="str">
        <f>IF(campaignData[[#This Row],[Campaign]]="Old_Campaign", "A", "B")</f>
        <v>A</v>
      </c>
    </row>
    <row r="773" spans="1:6" x14ac:dyDescent="0.2">
      <c r="A773" s="1">
        <v>44582</v>
      </c>
      <c r="B773" s="5" t="s">
        <v>6</v>
      </c>
      <c r="C773" s="2">
        <v>1141</v>
      </c>
      <c r="D773" s="2">
        <v>293</v>
      </c>
      <c r="E773" s="3">
        <v>5322.04</v>
      </c>
      <c r="F773" s="4" t="str">
        <f>IF(campaignData[[#This Row],[Campaign]]="Old_Campaign", "A", "B")</f>
        <v>B</v>
      </c>
    </row>
    <row r="774" spans="1:6" x14ac:dyDescent="0.2">
      <c r="A774" s="1">
        <v>44583</v>
      </c>
      <c r="B774" s="5" t="s">
        <v>5</v>
      </c>
      <c r="C774" s="2">
        <v>1267</v>
      </c>
      <c r="D774" s="2">
        <v>253</v>
      </c>
      <c r="E774" s="3">
        <v>4399.55</v>
      </c>
      <c r="F774" s="4" t="str">
        <f>IF(campaignData[[#This Row],[Campaign]]="Old_Campaign", "A", "B")</f>
        <v>A</v>
      </c>
    </row>
    <row r="775" spans="1:6" x14ac:dyDescent="0.2">
      <c r="A775" s="1">
        <v>44583</v>
      </c>
      <c r="B775" s="5" t="s">
        <v>6</v>
      </c>
      <c r="C775" s="2">
        <v>1157</v>
      </c>
      <c r="D775" s="2">
        <v>279</v>
      </c>
      <c r="E775" s="3">
        <v>4963.21</v>
      </c>
      <c r="F775" s="4" t="str">
        <f>IF(campaignData[[#This Row],[Campaign]]="Old_Campaign", "A", "B")</f>
        <v>B</v>
      </c>
    </row>
    <row r="776" spans="1:6" x14ac:dyDescent="0.2">
      <c r="A776" s="1">
        <v>44584</v>
      </c>
      <c r="B776" s="5" t="s">
        <v>5</v>
      </c>
      <c r="C776" s="2">
        <v>1193</v>
      </c>
      <c r="D776" s="2">
        <v>219</v>
      </c>
      <c r="E776" s="3">
        <v>2609.25</v>
      </c>
      <c r="F776" s="4" t="str">
        <f>IF(campaignData[[#This Row],[Campaign]]="Old_Campaign", "A", "B")</f>
        <v>A</v>
      </c>
    </row>
    <row r="777" spans="1:6" x14ac:dyDescent="0.2">
      <c r="A777" s="1">
        <v>44584</v>
      </c>
      <c r="B777" s="5" t="s">
        <v>6</v>
      </c>
      <c r="C777" s="2">
        <v>1117</v>
      </c>
      <c r="D777" s="2">
        <v>281</v>
      </c>
      <c r="E777" s="3">
        <v>4140.3900000000003</v>
      </c>
      <c r="F777" s="4" t="str">
        <f>IF(campaignData[[#This Row],[Campaign]]="Old_Campaign", "A", "B")</f>
        <v>B</v>
      </c>
    </row>
    <row r="778" spans="1:6" x14ac:dyDescent="0.2">
      <c r="A778" s="1">
        <v>44585</v>
      </c>
      <c r="B778" s="5" t="s">
        <v>5</v>
      </c>
      <c r="C778" s="2">
        <v>1227</v>
      </c>
      <c r="D778" s="2">
        <v>245</v>
      </c>
      <c r="E778" s="3">
        <v>3614.37</v>
      </c>
      <c r="F778" s="4" t="str">
        <f>IF(campaignData[[#This Row],[Campaign]]="Old_Campaign", "A", "B")</f>
        <v>A</v>
      </c>
    </row>
    <row r="779" spans="1:6" x14ac:dyDescent="0.2">
      <c r="A779" s="1">
        <v>44585</v>
      </c>
      <c r="B779" s="5" t="s">
        <v>6</v>
      </c>
      <c r="C779" s="2">
        <v>1134</v>
      </c>
      <c r="D779" s="2">
        <v>278</v>
      </c>
      <c r="E779" s="3">
        <v>4702.54</v>
      </c>
      <c r="F779" s="4" t="str">
        <f>IF(campaignData[[#This Row],[Campaign]]="Old_Campaign", "A", "B")</f>
        <v>B</v>
      </c>
    </row>
    <row r="780" spans="1:6" x14ac:dyDescent="0.2">
      <c r="A780" s="1">
        <v>44586</v>
      </c>
      <c r="B780" s="5" t="s">
        <v>5</v>
      </c>
      <c r="C780" s="2">
        <v>1173</v>
      </c>
      <c r="D780" s="2">
        <v>213</v>
      </c>
      <c r="E780" s="3">
        <v>3368.83</v>
      </c>
      <c r="F780" s="4" t="str">
        <f>IF(campaignData[[#This Row],[Campaign]]="Old_Campaign", "A", "B")</f>
        <v>A</v>
      </c>
    </row>
    <row r="781" spans="1:6" x14ac:dyDescent="0.2">
      <c r="A781" s="1">
        <v>44586</v>
      </c>
      <c r="B781" s="5" t="s">
        <v>6</v>
      </c>
      <c r="C781" s="2">
        <v>1109</v>
      </c>
      <c r="D781" s="2">
        <v>225</v>
      </c>
      <c r="E781" s="3">
        <v>3847.86</v>
      </c>
      <c r="F781" s="4" t="str">
        <f>IF(campaignData[[#This Row],[Campaign]]="Old_Campaign", "A", "B")</f>
        <v>B</v>
      </c>
    </row>
    <row r="782" spans="1:6" x14ac:dyDescent="0.2">
      <c r="A782" s="1">
        <v>44587</v>
      </c>
      <c r="B782" s="5" t="s">
        <v>5</v>
      </c>
      <c r="C782" s="2">
        <v>1183</v>
      </c>
      <c r="D782" s="2">
        <v>200</v>
      </c>
      <c r="E782" s="3">
        <v>2855.98</v>
      </c>
      <c r="F782" s="4" t="str">
        <f>IF(campaignData[[#This Row],[Campaign]]="Old_Campaign", "A", "B")</f>
        <v>A</v>
      </c>
    </row>
    <row r="783" spans="1:6" x14ac:dyDescent="0.2">
      <c r="A783" s="1">
        <v>44587</v>
      </c>
      <c r="B783" s="5" t="s">
        <v>6</v>
      </c>
      <c r="C783" s="2">
        <v>1183</v>
      </c>
      <c r="D783" s="2">
        <v>251</v>
      </c>
      <c r="E783" s="3">
        <v>3650.51</v>
      </c>
      <c r="F783" s="4" t="str">
        <f>IF(campaignData[[#This Row],[Campaign]]="Old_Campaign", "A", "B")</f>
        <v>B</v>
      </c>
    </row>
    <row r="784" spans="1:6" x14ac:dyDescent="0.2">
      <c r="A784" s="1">
        <v>44588</v>
      </c>
      <c r="B784" s="5" t="s">
        <v>5</v>
      </c>
      <c r="C784" s="2">
        <v>1183</v>
      </c>
      <c r="D784" s="2">
        <v>238</v>
      </c>
      <c r="E784" s="3">
        <v>4060.02</v>
      </c>
      <c r="F784" s="4" t="str">
        <f>IF(campaignData[[#This Row],[Campaign]]="Old_Campaign", "A", "B")</f>
        <v>A</v>
      </c>
    </row>
    <row r="785" spans="1:6" x14ac:dyDescent="0.2">
      <c r="A785" s="1">
        <v>44588</v>
      </c>
      <c r="B785" s="5" t="s">
        <v>6</v>
      </c>
      <c r="C785" s="2">
        <v>1168</v>
      </c>
      <c r="D785" s="2">
        <v>284</v>
      </c>
      <c r="E785" s="3">
        <v>5039.4799999999996</v>
      </c>
      <c r="F785" s="4" t="str">
        <f>IF(campaignData[[#This Row],[Campaign]]="Old_Campaign", "A", "B")</f>
        <v>B</v>
      </c>
    </row>
    <row r="786" spans="1:6" x14ac:dyDescent="0.2">
      <c r="A786" s="1">
        <v>44589</v>
      </c>
      <c r="B786" s="5" t="s">
        <v>5</v>
      </c>
      <c r="C786" s="2">
        <v>1125</v>
      </c>
      <c r="D786" s="2">
        <v>210</v>
      </c>
      <c r="E786" s="3">
        <v>2679.79</v>
      </c>
      <c r="F786" s="4" t="str">
        <f>IF(campaignData[[#This Row],[Campaign]]="Old_Campaign", "A", "B")</f>
        <v>A</v>
      </c>
    </row>
    <row r="787" spans="1:6" x14ac:dyDescent="0.2">
      <c r="A787" s="1">
        <v>44589</v>
      </c>
      <c r="B787" s="5" t="s">
        <v>6</v>
      </c>
      <c r="C787" s="2">
        <v>1188</v>
      </c>
      <c r="D787" s="2">
        <v>261</v>
      </c>
      <c r="E787" s="3">
        <v>3970.58</v>
      </c>
      <c r="F787" s="4" t="str">
        <f>IF(campaignData[[#This Row],[Campaign]]="Old_Campaign", "A", "B")</f>
        <v>B</v>
      </c>
    </row>
    <row r="788" spans="1:6" x14ac:dyDescent="0.2">
      <c r="A788" s="1">
        <v>44590</v>
      </c>
      <c r="B788" s="5" t="s">
        <v>5</v>
      </c>
      <c r="C788" s="2">
        <v>1201</v>
      </c>
      <c r="D788" s="2">
        <v>225</v>
      </c>
      <c r="E788" s="3">
        <v>3615.01</v>
      </c>
      <c r="F788" s="4" t="str">
        <f>IF(campaignData[[#This Row],[Campaign]]="Old_Campaign", "A", "B")</f>
        <v>A</v>
      </c>
    </row>
    <row r="789" spans="1:6" x14ac:dyDescent="0.2">
      <c r="A789" s="1">
        <v>44590</v>
      </c>
      <c r="B789" s="5" t="s">
        <v>6</v>
      </c>
      <c r="C789" s="2">
        <v>1100</v>
      </c>
      <c r="D789" s="2">
        <v>244</v>
      </c>
      <c r="E789" s="3">
        <v>4313.66</v>
      </c>
      <c r="F789" s="4" t="str">
        <f>IF(campaignData[[#This Row],[Campaign]]="Old_Campaign", "A", "B")</f>
        <v>B</v>
      </c>
    </row>
    <row r="790" spans="1:6" x14ac:dyDescent="0.2">
      <c r="A790" s="1">
        <v>44591</v>
      </c>
      <c r="B790" s="5" t="s">
        <v>5</v>
      </c>
      <c r="C790" s="2">
        <v>1223</v>
      </c>
      <c r="D790" s="2">
        <v>225</v>
      </c>
      <c r="E790" s="3">
        <v>3854.33</v>
      </c>
      <c r="F790" s="4" t="str">
        <f>IF(campaignData[[#This Row],[Campaign]]="Old_Campaign", "A", "B")</f>
        <v>A</v>
      </c>
    </row>
    <row r="791" spans="1:6" x14ac:dyDescent="0.2">
      <c r="A791" s="1">
        <v>44591</v>
      </c>
      <c r="B791" s="5" t="s">
        <v>6</v>
      </c>
      <c r="C791" s="2">
        <v>1126</v>
      </c>
      <c r="D791" s="2">
        <v>223</v>
      </c>
      <c r="E791" s="3">
        <v>4215.87</v>
      </c>
      <c r="F791" s="4" t="str">
        <f>IF(campaignData[[#This Row],[Campaign]]="Old_Campaign", "A", "B")</f>
        <v>B</v>
      </c>
    </row>
    <row r="792" spans="1:6" x14ac:dyDescent="0.2">
      <c r="A792" s="1">
        <v>44592</v>
      </c>
      <c r="B792" s="5" t="s">
        <v>5</v>
      </c>
      <c r="C792" s="2">
        <v>1230</v>
      </c>
      <c r="D792" s="2">
        <v>238</v>
      </c>
      <c r="E792" s="3">
        <v>3771.86</v>
      </c>
      <c r="F792" s="4" t="str">
        <f>IF(campaignData[[#This Row],[Campaign]]="Old_Campaign", "A", "B")</f>
        <v>A</v>
      </c>
    </row>
    <row r="793" spans="1:6" x14ac:dyDescent="0.2">
      <c r="A793" s="1">
        <v>44592</v>
      </c>
      <c r="B793" s="5" t="s">
        <v>6</v>
      </c>
      <c r="C793" s="2">
        <v>1137</v>
      </c>
      <c r="D793" s="2">
        <v>261</v>
      </c>
      <c r="E793" s="3">
        <v>4196.59</v>
      </c>
      <c r="F793" s="4" t="str">
        <f>IF(campaignData[[#This Row],[Campaign]]="Old_Campaign", "A", "B")</f>
        <v>B</v>
      </c>
    </row>
    <row r="794" spans="1:6" x14ac:dyDescent="0.2">
      <c r="A794" s="1">
        <v>44593</v>
      </c>
      <c r="B794" s="5" t="s">
        <v>5</v>
      </c>
      <c r="C794" s="2">
        <v>1194</v>
      </c>
      <c r="D794" s="2">
        <v>234</v>
      </c>
      <c r="E794" s="3">
        <v>3425.08</v>
      </c>
      <c r="F794" s="4" t="str">
        <f>IF(campaignData[[#This Row],[Campaign]]="Old_Campaign", "A", "B")</f>
        <v>A</v>
      </c>
    </row>
    <row r="795" spans="1:6" x14ac:dyDescent="0.2">
      <c r="A795" s="1">
        <v>44593</v>
      </c>
      <c r="B795" s="5" t="s">
        <v>6</v>
      </c>
      <c r="C795" s="2">
        <v>1166</v>
      </c>
      <c r="D795" s="2">
        <v>274</v>
      </c>
      <c r="E795" s="3">
        <v>4325.7299999999996</v>
      </c>
      <c r="F795" s="4" t="str">
        <f>IF(campaignData[[#This Row],[Campaign]]="Old_Campaign", "A", "B")</f>
        <v>B</v>
      </c>
    </row>
    <row r="796" spans="1:6" x14ac:dyDescent="0.2">
      <c r="A796" s="1">
        <v>44594</v>
      </c>
      <c r="B796" s="5" t="s">
        <v>5</v>
      </c>
      <c r="C796" s="2">
        <v>1231</v>
      </c>
      <c r="D796" s="2">
        <v>239</v>
      </c>
      <c r="E796" s="3">
        <v>3995.13</v>
      </c>
      <c r="F796" s="4" t="str">
        <f>IF(campaignData[[#This Row],[Campaign]]="Old_Campaign", "A", "B")</f>
        <v>A</v>
      </c>
    </row>
    <row r="797" spans="1:6" x14ac:dyDescent="0.2">
      <c r="A797" s="1">
        <v>44594</v>
      </c>
      <c r="B797" s="5" t="s">
        <v>6</v>
      </c>
      <c r="C797" s="2">
        <v>1151</v>
      </c>
      <c r="D797" s="2">
        <v>262</v>
      </c>
      <c r="E797" s="3">
        <v>3758.03</v>
      </c>
      <c r="F797" s="4" t="str">
        <f>IF(campaignData[[#This Row],[Campaign]]="Old_Campaign", "A", "B")</f>
        <v>B</v>
      </c>
    </row>
    <row r="798" spans="1:6" x14ac:dyDescent="0.2">
      <c r="A798" s="1">
        <v>44595</v>
      </c>
      <c r="B798" s="5" t="s">
        <v>5</v>
      </c>
      <c r="C798" s="2">
        <v>1194</v>
      </c>
      <c r="D798" s="2">
        <v>240</v>
      </c>
      <c r="E798" s="3">
        <v>3422.12</v>
      </c>
      <c r="F798" s="4" t="str">
        <f>IF(campaignData[[#This Row],[Campaign]]="Old_Campaign", "A", "B")</f>
        <v>A</v>
      </c>
    </row>
    <row r="799" spans="1:6" x14ac:dyDescent="0.2">
      <c r="A799" s="1">
        <v>44595</v>
      </c>
      <c r="B799" s="5" t="s">
        <v>6</v>
      </c>
      <c r="C799" s="2">
        <v>1120</v>
      </c>
      <c r="D799" s="2">
        <v>247</v>
      </c>
      <c r="E799" s="3">
        <v>3286.06</v>
      </c>
      <c r="F799" s="4" t="str">
        <f>IF(campaignData[[#This Row],[Campaign]]="Old_Campaign", "A", "B")</f>
        <v>B</v>
      </c>
    </row>
    <row r="800" spans="1:6" x14ac:dyDescent="0.2">
      <c r="A800" s="1">
        <v>44596</v>
      </c>
      <c r="B800" s="5" t="s">
        <v>5</v>
      </c>
      <c r="C800" s="2">
        <v>1153</v>
      </c>
      <c r="D800" s="2">
        <v>233</v>
      </c>
      <c r="E800" s="3">
        <v>2480.4899999999998</v>
      </c>
      <c r="F800" s="4" t="str">
        <f>IF(campaignData[[#This Row],[Campaign]]="Old_Campaign", "A", "B")</f>
        <v>A</v>
      </c>
    </row>
    <row r="801" spans="1:6" x14ac:dyDescent="0.2">
      <c r="A801" s="1">
        <v>44596</v>
      </c>
      <c r="B801" s="5" t="s">
        <v>6</v>
      </c>
      <c r="C801" s="2">
        <v>1138</v>
      </c>
      <c r="D801" s="2">
        <v>246</v>
      </c>
      <c r="E801" s="3">
        <v>4023.81</v>
      </c>
      <c r="F801" s="4" t="str">
        <f>IF(campaignData[[#This Row],[Campaign]]="Old_Campaign", "A", "B")</f>
        <v>B</v>
      </c>
    </row>
    <row r="802" spans="1:6" x14ac:dyDescent="0.2">
      <c r="A802" s="1">
        <v>44597</v>
      </c>
      <c r="B802" s="5" t="s">
        <v>5</v>
      </c>
      <c r="C802" s="2">
        <v>1171</v>
      </c>
      <c r="D802" s="2">
        <v>229</v>
      </c>
      <c r="E802" s="3">
        <v>4008.8</v>
      </c>
      <c r="F802" s="4" t="str">
        <f>IF(campaignData[[#This Row],[Campaign]]="Old_Campaign", "A", "B")</f>
        <v>A</v>
      </c>
    </row>
    <row r="803" spans="1:6" x14ac:dyDescent="0.2">
      <c r="A803" s="1">
        <v>44597</v>
      </c>
      <c r="B803" s="5" t="s">
        <v>6</v>
      </c>
      <c r="C803" s="2">
        <v>1134</v>
      </c>
      <c r="D803" s="2">
        <v>238</v>
      </c>
      <c r="E803" s="3">
        <v>3594.65</v>
      </c>
      <c r="F803" s="4" t="str">
        <f>IF(campaignData[[#This Row],[Campaign]]="Old_Campaign", "A", "B")</f>
        <v>B</v>
      </c>
    </row>
    <row r="804" spans="1:6" x14ac:dyDescent="0.2">
      <c r="A804" s="1">
        <v>44598</v>
      </c>
      <c r="B804" s="5" t="s">
        <v>5</v>
      </c>
      <c r="C804" s="2">
        <v>1243</v>
      </c>
      <c r="D804" s="2">
        <v>216</v>
      </c>
      <c r="E804" s="3">
        <v>3359.82</v>
      </c>
      <c r="F804" s="4" t="str">
        <f>IF(campaignData[[#This Row],[Campaign]]="Old_Campaign", "A", "B")</f>
        <v>A</v>
      </c>
    </row>
    <row r="805" spans="1:6" x14ac:dyDescent="0.2">
      <c r="A805" s="1">
        <v>44598</v>
      </c>
      <c r="B805" s="5" t="s">
        <v>6</v>
      </c>
      <c r="C805" s="2">
        <v>1148</v>
      </c>
      <c r="D805" s="2">
        <v>257</v>
      </c>
      <c r="E805" s="3">
        <v>4100.55</v>
      </c>
      <c r="F805" s="4" t="str">
        <f>IF(campaignData[[#This Row],[Campaign]]="Old_Campaign", "A", "B")</f>
        <v>B</v>
      </c>
    </row>
    <row r="806" spans="1:6" x14ac:dyDescent="0.2">
      <c r="A806" s="1">
        <v>44599</v>
      </c>
      <c r="B806" s="5" t="s">
        <v>5</v>
      </c>
      <c r="C806" s="2">
        <v>1242</v>
      </c>
      <c r="D806" s="2">
        <v>221</v>
      </c>
      <c r="E806" s="3">
        <v>3608.8</v>
      </c>
      <c r="F806" s="4" t="str">
        <f>IF(campaignData[[#This Row],[Campaign]]="Old_Campaign", "A", "B")</f>
        <v>A</v>
      </c>
    </row>
    <row r="807" spans="1:6" x14ac:dyDescent="0.2">
      <c r="A807" s="1">
        <v>44599</v>
      </c>
      <c r="B807" s="5" t="s">
        <v>6</v>
      </c>
      <c r="C807" s="2">
        <v>1134</v>
      </c>
      <c r="D807" s="2">
        <v>253</v>
      </c>
      <c r="E807" s="3">
        <v>3768.22</v>
      </c>
      <c r="F807" s="4" t="str">
        <f>IF(campaignData[[#This Row],[Campaign]]="Old_Campaign", "A", "B")</f>
        <v>B</v>
      </c>
    </row>
    <row r="808" spans="1:6" x14ac:dyDescent="0.2">
      <c r="A808" s="1">
        <v>44600</v>
      </c>
      <c r="B808" s="5" t="s">
        <v>5</v>
      </c>
      <c r="C808" s="2">
        <v>1172</v>
      </c>
      <c r="D808" s="2">
        <v>220</v>
      </c>
      <c r="E808" s="3">
        <v>2520.73</v>
      </c>
      <c r="F808" s="4" t="str">
        <f>IF(campaignData[[#This Row],[Campaign]]="Old_Campaign", "A", "B")</f>
        <v>A</v>
      </c>
    </row>
    <row r="809" spans="1:6" x14ac:dyDescent="0.2">
      <c r="A809" s="1">
        <v>44600</v>
      </c>
      <c r="B809" s="5" t="s">
        <v>6</v>
      </c>
      <c r="C809" s="2">
        <v>1142</v>
      </c>
      <c r="D809" s="2">
        <v>274</v>
      </c>
      <c r="E809" s="3">
        <v>4642.41</v>
      </c>
      <c r="F809" s="4" t="str">
        <f>IF(campaignData[[#This Row],[Campaign]]="Old_Campaign", "A", "B")</f>
        <v>B</v>
      </c>
    </row>
    <row r="810" spans="1:6" x14ac:dyDescent="0.2">
      <c r="A810" s="1">
        <v>44601</v>
      </c>
      <c r="B810" s="5" t="s">
        <v>5</v>
      </c>
      <c r="C810" s="2">
        <v>1130</v>
      </c>
      <c r="D810" s="2">
        <v>218</v>
      </c>
      <c r="E810" s="3">
        <v>3472.47</v>
      </c>
      <c r="F810" s="4" t="str">
        <f>IF(campaignData[[#This Row],[Campaign]]="Old_Campaign", "A", "B")</f>
        <v>A</v>
      </c>
    </row>
    <row r="811" spans="1:6" x14ac:dyDescent="0.2">
      <c r="A811" s="1">
        <v>44601</v>
      </c>
      <c r="B811" s="5" t="s">
        <v>6</v>
      </c>
      <c r="C811" s="2">
        <v>1104</v>
      </c>
      <c r="D811" s="2">
        <v>257</v>
      </c>
      <c r="E811" s="3">
        <v>3829.02</v>
      </c>
      <c r="F811" s="4" t="str">
        <f>IF(campaignData[[#This Row],[Campaign]]="Old_Campaign", "A", "B")</f>
        <v>B</v>
      </c>
    </row>
    <row r="812" spans="1:6" x14ac:dyDescent="0.2">
      <c r="A812" s="1">
        <v>44602</v>
      </c>
      <c r="B812" s="5" t="s">
        <v>5</v>
      </c>
      <c r="C812" s="2">
        <v>1256</v>
      </c>
      <c r="D812" s="2">
        <v>245</v>
      </c>
      <c r="E812" s="3">
        <v>3962.22</v>
      </c>
      <c r="F812" s="4" t="str">
        <f>IF(campaignData[[#This Row],[Campaign]]="Old_Campaign", "A", "B")</f>
        <v>A</v>
      </c>
    </row>
    <row r="813" spans="1:6" x14ac:dyDescent="0.2">
      <c r="A813" s="1">
        <v>44602</v>
      </c>
      <c r="B813" s="5" t="s">
        <v>6</v>
      </c>
      <c r="C813" s="2">
        <v>1113</v>
      </c>
      <c r="D813" s="2">
        <v>242</v>
      </c>
      <c r="E813" s="3">
        <v>3672.39</v>
      </c>
      <c r="F813" s="4" t="str">
        <f>IF(campaignData[[#This Row],[Campaign]]="Old_Campaign", "A", "B")</f>
        <v>B</v>
      </c>
    </row>
    <row r="814" spans="1:6" x14ac:dyDescent="0.2">
      <c r="A814" s="1">
        <v>44603</v>
      </c>
      <c r="B814" s="5" t="s">
        <v>5</v>
      </c>
      <c r="C814" s="2">
        <v>1255</v>
      </c>
      <c r="D814" s="2">
        <v>258</v>
      </c>
      <c r="E814" s="3">
        <v>3357.43</v>
      </c>
      <c r="F814" s="4" t="str">
        <f>IF(campaignData[[#This Row],[Campaign]]="Old_Campaign", "A", "B")</f>
        <v>A</v>
      </c>
    </row>
    <row r="815" spans="1:6" x14ac:dyDescent="0.2">
      <c r="A815" s="1">
        <v>44603</v>
      </c>
      <c r="B815" s="5" t="s">
        <v>6</v>
      </c>
      <c r="C815" s="2">
        <v>1138</v>
      </c>
      <c r="D815" s="2">
        <v>279</v>
      </c>
      <c r="E815" s="3">
        <v>3897.14</v>
      </c>
      <c r="F815" s="4" t="str">
        <f>IF(campaignData[[#This Row],[Campaign]]="Old_Campaign", "A", "B")</f>
        <v>B</v>
      </c>
    </row>
    <row r="816" spans="1:6" x14ac:dyDescent="0.2">
      <c r="A816" s="1">
        <v>44604</v>
      </c>
      <c r="B816" s="5" t="s">
        <v>5</v>
      </c>
      <c r="C816" s="2">
        <v>1220</v>
      </c>
      <c r="D816" s="2">
        <v>230</v>
      </c>
      <c r="E816" s="3">
        <v>3751.29</v>
      </c>
      <c r="F816" s="4" t="str">
        <f>IF(campaignData[[#This Row],[Campaign]]="Old_Campaign", "A", "B")</f>
        <v>A</v>
      </c>
    </row>
    <row r="817" spans="1:6" x14ac:dyDescent="0.2">
      <c r="A817" s="1">
        <v>44604</v>
      </c>
      <c r="B817" s="5" t="s">
        <v>6</v>
      </c>
      <c r="C817" s="2">
        <v>1164</v>
      </c>
      <c r="D817" s="2">
        <v>288</v>
      </c>
      <c r="E817" s="3">
        <v>5075.0200000000004</v>
      </c>
      <c r="F817" s="4" t="str">
        <f>IF(campaignData[[#This Row],[Campaign]]="Old_Campaign", "A", "B")</f>
        <v>B</v>
      </c>
    </row>
    <row r="818" spans="1:6" x14ac:dyDescent="0.2">
      <c r="A818" s="1">
        <v>44605</v>
      </c>
      <c r="B818" s="5" t="s">
        <v>5</v>
      </c>
      <c r="C818" s="2">
        <v>1188</v>
      </c>
      <c r="D818" s="2">
        <v>220</v>
      </c>
      <c r="E818" s="3">
        <v>3131.56</v>
      </c>
      <c r="F818" s="4" t="str">
        <f>IF(campaignData[[#This Row],[Campaign]]="Old_Campaign", "A", "B")</f>
        <v>A</v>
      </c>
    </row>
    <row r="819" spans="1:6" x14ac:dyDescent="0.2">
      <c r="A819" s="1">
        <v>44605</v>
      </c>
      <c r="B819" s="5" t="s">
        <v>6</v>
      </c>
      <c r="C819" s="2">
        <v>1115</v>
      </c>
      <c r="D819" s="2">
        <v>250</v>
      </c>
      <c r="E819" s="3">
        <v>3938.14</v>
      </c>
      <c r="F819" s="4" t="str">
        <f>IF(campaignData[[#This Row],[Campaign]]="Old_Campaign", "A", "B")</f>
        <v>B</v>
      </c>
    </row>
    <row r="820" spans="1:6" x14ac:dyDescent="0.2">
      <c r="A820" s="1">
        <v>44606</v>
      </c>
      <c r="B820" s="5" t="s">
        <v>5</v>
      </c>
      <c r="C820" s="2">
        <v>1230</v>
      </c>
      <c r="D820" s="2">
        <v>254</v>
      </c>
      <c r="E820" s="3">
        <v>4410.3999999999996</v>
      </c>
      <c r="F820" s="4" t="str">
        <f>IF(campaignData[[#This Row],[Campaign]]="Old_Campaign", "A", "B")</f>
        <v>A</v>
      </c>
    </row>
    <row r="821" spans="1:6" x14ac:dyDescent="0.2">
      <c r="A821" s="1">
        <v>44606</v>
      </c>
      <c r="B821" s="5" t="s">
        <v>6</v>
      </c>
      <c r="C821" s="2">
        <v>1086</v>
      </c>
      <c r="D821" s="2">
        <v>246</v>
      </c>
      <c r="E821" s="3">
        <v>4172.6099999999997</v>
      </c>
      <c r="F821" s="4" t="str">
        <f>IF(campaignData[[#This Row],[Campaign]]="Old_Campaign", "A", "B")</f>
        <v>B</v>
      </c>
    </row>
    <row r="822" spans="1:6" x14ac:dyDescent="0.2">
      <c r="A822" s="1">
        <v>44607</v>
      </c>
      <c r="B822" s="5" t="s">
        <v>5</v>
      </c>
      <c r="C822" s="2">
        <v>1185</v>
      </c>
      <c r="D822" s="2">
        <v>228</v>
      </c>
      <c r="E822" s="3">
        <v>2978.57</v>
      </c>
      <c r="F822" s="4" t="str">
        <f>IF(campaignData[[#This Row],[Campaign]]="Old_Campaign", "A", "B")</f>
        <v>A</v>
      </c>
    </row>
    <row r="823" spans="1:6" x14ac:dyDescent="0.2">
      <c r="A823" s="1">
        <v>44607</v>
      </c>
      <c r="B823" s="5" t="s">
        <v>6</v>
      </c>
      <c r="C823" s="2">
        <v>1117</v>
      </c>
      <c r="D823" s="2">
        <v>252</v>
      </c>
      <c r="E823" s="3">
        <v>3875.6</v>
      </c>
      <c r="F823" s="4" t="str">
        <f>IF(campaignData[[#This Row],[Campaign]]="Old_Campaign", "A", "B")</f>
        <v>B</v>
      </c>
    </row>
    <row r="824" spans="1:6" x14ac:dyDescent="0.2">
      <c r="A824" s="1">
        <v>44608</v>
      </c>
      <c r="B824" s="5" t="s">
        <v>5</v>
      </c>
      <c r="C824" s="2">
        <v>1210</v>
      </c>
      <c r="D824" s="2">
        <v>223</v>
      </c>
      <c r="E824" s="3">
        <v>3278.13</v>
      </c>
      <c r="F824" s="4" t="str">
        <f>IF(campaignData[[#This Row],[Campaign]]="Old_Campaign", "A", "B")</f>
        <v>A</v>
      </c>
    </row>
    <row r="825" spans="1:6" x14ac:dyDescent="0.2">
      <c r="A825" s="1">
        <v>44608</v>
      </c>
      <c r="B825" s="5" t="s">
        <v>6</v>
      </c>
      <c r="C825" s="2">
        <v>1182</v>
      </c>
      <c r="D825" s="2">
        <v>252</v>
      </c>
      <c r="E825" s="3">
        <v>3309.69</v>
      </c>
      <c r="F825" s="4" t="str">
        <f>IF(campaignData[[#This Row],[Campaign]]="Old_Campaign", "A", "B")</f>
        <v>B</v>
      </c>
    </row>
    <row r="826" spans="1:6" x14ac:dyDescent="0.2">
      <c r="A826" s="1">
        <v>44609</v>
      </c>
      <c r="B826" s="5" t="s">
        <v>5</v>
      </c>
      <c r="C826" s="2">
        <v>1184</v>
      </c>
      <c r="D826" s="2">
        <v>208</v>
      </c>
      <c r="E826" s="3">
        <v>2967.95</v>
      </c>
      <c r="F826" s="4" t="str">
        <f>IF(campaignData[[#This Row],[Campaign]]="Old_Campaign", "A", "B")</f>
        <v>A</v>
      </c>
    </row>
    <row r="827" spans="1:6" x14ac:dyDescent="0.2">
      <c r="A827" s="1">
        <v>44609</v>
      </c>
      <c r="B827" s="5" t="s">
        <v>6</v>
      </c>
      <c r="C827" s="2">
        <v>1161</v>
      </c>
      <c r="D827" s="2">
        <v>281</v>
      </c>
      <c r="E827" s="3">
        <v>4410.97</v>
      </c>
      <c r="F827" s="4" t="str">
        <f>IF(campaignData[[#This Row],[Campaign]]="Old_Campaign", "A", "B")</f>
        <v>B</v>
      </c>
    </row>
    <row r="828" spans="1:6" x14ac:dyDescent="0.2">
      <c r="A828" s="1">
        <v>44610</v>
      </c>
      <c r="B828" s="5" t="s">
        <v>5</v>
      </c>
      <c r="C828" s="2">
        <v>1158</v>
      </c>
      <c r="D828" s="2">
        <v>200</v>
      </c>
      <c r="E828" s="3">
        <v>2997.18</v>
      </c>
      <c r="F828" s="4" t="str">
        <f>IF(campaignData[[#This Row],[Campaign]]="Old_Campaign", "A", "B")</f>
        <v>A</v>
      </c>
    </row>
    <row r="829" spans="1:6" x14ac:dyDescent="0.2">
      <c r="A829" s="1">
        <v>44610</v>
      </c>
      <c r="B829" s="5" t="s">
        <v>6</v>
      </c>
      <c r="C829" s="2">
        <v>1104</v>
      </c>
      <c r="D829" s="2">
        <v>281</v>
      </c>
      <c r="E829" s="3">
        <v>4374.83</v>
      </c>
      <c r="F829" s="4" t="str">
        <f>IF(campaignData[[#This Row],[Campaign]]="Old_Campaign", "A", "B")</f>
        <v>B</v>
      </c>
    </row>
    <row r="830" spans="1:6" x14ac:dyDescent="0.2">
      <c r="A830" s="1">
        <v>44611</v>
      </c>
      <c r="B830" s="5" t="s">
        <v>5</v>
      </c>
      <c r="C830" s="2">
        <v>1300</v>
      </c>
      <c r="D830" s="2">
        <v>238</v>
      </c>
      <c r="E830" s="3">
        <v>3636.59</v>
      </c>
      <c r="F830" s="4" t="str">
        <f>IF(campaignData[[#This Row],[Campaign]]="Old_Campaign", "A", "B")</f>
        <v>A</v>
      </c>
    </row>
    <row r="831" spans="1:6" x14ac:dyDescent="0.2">
      <c r="A831" s="1">
        <v>44611</v>
      </c>
      <c r="B831" s="5" t="s">
        <v>6</v>
      </c>
      <c r="C831" s="2">
        <v>1153</v>
      </c>
      <c r="D831" s="2">
        <v>247</v>
      </c>
      <c r="E831" s="3">
        <v>4444.08</v>
      </c>
      <c r="F831" s="4" t="str">
        <f>IF(campaignData[[#This Row],[Campaign]]="Old_Campaign", "A", "B")</f>
        <v>B</v>
      </c>
    </row>
    <row r="832" spans="1:6" x14ac:dyDescent="0.2">
      <c r="A832" s="1">
        <v>44612</v>
      </c>
      <c r="B832" s="5" t="s">
        <v>5</v>
      </c>
      <c r="C832" s="2">
        <v>1182</v>
      </c>
      <c r="D832" s="2">
        <v>220</v>
      </c>
      <c r="E832" s="3">
        <v>3718.01</v>
      </c>
      <c r="F832" s="4" t="str">
        <f>IF(campaignData[[#This Row],[Campaign]]="Old_Campaign", "A", "B")</f>
        <v>A</v>
      </c>
    </row>
    <row r="833" spans="1:6" x14ac:dyDescent="0.2">
      <c r="A833" s="1">
        <v>44612</v>
      </c>
      <c r="B833" s="5" t="s">
        <v>6</v>
      </c>
      <c r="C833" s="2">
        <v>1073</v>
      </c>
      <c r="D833" s="2">
        <v>260</v>
      </c>
      <c r="E833" s="3">
        <v>4286.3599999999997</v>
      </c>
      <c r="F833" s="4" t="str">
        <f>IF(campaignData[[#This Row],[Campaign]]="Old_Campaign", "A", "B")</f>
        <v>B</v>
      </c>
    </row>
    <row r="834" spans="1:6" x14ac:dyDescent="0.2">
      <c r="A834" s="1">
        <v>44613</v>
      </c>
      <c r="B834" s="5" t="s">
        <v>5</v>
      </c>
      <c r="C834" s="2">
        <v>1192</v>
      </c>
      <c r="D834" s="2">
        <v>258</v>
      </c>
      <c r="E834" s="3">
        <v>2736.8</v>
      </c>
      <c r="F834" s="4" t="str">
        <f>IF(campaignData[[#This Row],[Campaign]]="Old_Campaign", "A", "B")</f>
        <v>A</v>
      </c>
    </row>
    <row r="835" spans="1:6" x14ac:dyDescent="0.2">
      <c r="A835" s="1">
        <v>44613</v>
      </c>
      <c r="B835" s="5" t="s">
        <v>6</v>
      </c>
      <c r="C835" s="2">
        <v>1204</v>
      </c>
      <c r="D835" s="2">
        <v>279</v>
      </c>
      <c r="E835" s="3">
        <v>4373.53</v>
      </c>
      <c r="F835" s="4" t="str">
        <f>IF(campaignData[[#This Row],[Campaign]]="Old_Campaign", "A", "B")</f>
        <v>B</v>
      </c>
    </row>
    <row r="836" spans="1:6" x14ac:dyDescent="0.2">
      <c r="A836" s="1">
        <v>44614</v>
      </c>
      <c r="B836" s="5" t="s">
        <v>5</v>
      </c>
      <c r="C836" s="2">
        <v>1241</v>
      </c>
      <c r="D836" s="2">
        <v>241</v>
      </c>
      <c r="E836" s="3">
        <v>3821.94</v>
      </c>
      <c r="F836" s="4" t="str">
        <f>IF(campaignData[[#This Row],[Campaign]]="Old_Campaign", "A", "B")</f>
        <v>A</v>
      </c>
    </row>
    <row r="837" spans="1:6" x14ac:dyDescent="0.2">
      <c r="A837" s="1">
        <v>44614</v>
      </c>
      <c r="B837" s="5" t="s">
        <v>6</v>
      </c>
      <c r="C837" s="2">
        <v>1140</v>
      </c>
      <c r="D837" s="2">
        <v>260</v>
      </c>
      <c r="E837" s="3">
        <v>4357.41</v>
      </c>
      <c r="F837" s="4" t="str">
        <f>IF(campaignData[[#This Row],[Campaign]]="Old_Campaign", "A", "B")</f>
        <v>B</v>
      </c>
    </row>
    <row r="838" spans="1:6" x14ac:dyDescent="0.2">
      <c r="A838" s="1">
        <v>44615</v>
      </c>
      <c r="B838" s="5" t="s">
        <v>5</v>
      </c>
      <c r="C838" s="2">
        <v>1195</v>
      </c>
      <c r="D838" s="2">
        <v>225</v>
      </c>
      <c r="E838" s="3">
        <v>3638.66</v>
      </c>
      <c r="F838" s="4" t="str">
        <f>IF(campaignData[[#This Row],[Campaign]]="Old_Campaign", "A", "B")</f>
        <v>A</v>
      </c>
    </row>
    <row r="839" spans="1:6" x14ac:dyDescent="0.2">
      <c r="A839" s="1">
        <v>44615</v>
      </c>
      <c r="B839" s="5" t="s">
        <v>6</v>
      </c>
      <c r="C839" s="2">
        <v>1154</v>
      </c>
      <c r="D839" s="2">
        <v>257</v>
      </c>
      <c r="E839" s="3">
        <v>3733.3</v>
      </c>
      <c r="F839" s="4" t="str">
        <f>IF(campaignData[[#This Row],[Campaign]]="Old_Campaign", "A", "B")</f>
        <v>B</v>
      </c>
    </row>
    <row r="840" spans="1:6" x14ac:dyDescent="0.2">
      <c r="A840" s="1">
        <v>44616</v>
      </c>
      <c r="B840" s="5" t="s">
        <v>5</v>
      </c>
      <c r="C840" s="2">
        <v>1198</v>
      </c>
      <c r="D840" s="2">
        <v>256</v>
      </c>
      <c r="E840" s="3">
        <v>3795.23</v>
      </c>
      <c r="F840" s="4" t="str">
        <f>IF(campaignData[[#This Row],[Campaign]]="Old_Campaign", "A", "B")</f>
        <v>A</v>
      </c>
    </row>
    <row r="841" spans="1:6" x14ac:dyDescent="0.2">
      <c r="A841" s="1">
        <v>44616</v>
      </c>
      <c r="B841" s="5" t="s">
        <v>6</v>
      </c>
      <c r="C841" s="2">
        <v>1148</v>
      </c>
      <c r="D841" s="2">
        <v>267</v>
      </c>
      <c r="E841" s="3">
        <v>4564.8</v>
      </c>
      <c r="F841" s="4" t="str">
        <f>IF(campaignData[[#This Row],[Campaign]]="Old_Campaign", "A", "B")</f>
        <v>B</v>
      </c>
    </row>
    <row r="842" spans="1:6" x14ac:dyDescent="0.2">
      <c r="A842" s="1">
        <v>44617</v>
      </c>
      <c r="B842" s="5" t="s">
        <v>5</v>
      </c>
      <c r="C842" s="2">
        <v>1174</v>
      </c>
      <c r="D842" s="2">
        <v>223</v>
      </c>
      <c r="E842" s="3">
        <v>3773.3</v>
      </c>
      <c r="F842" s="4" t="str">
        <f>IF(campaignData[[#This Row],[Campaign]]="Old_Campaign", "A", "B")</f>
        <v>A</v>
      </c>
    </row>
    <row r="843" spans="1:6" x14ac:dyDescent="0.2">
      <c r="A843" s="1">
        <v>44617</v>
      </c>
      <c r="B843" s="5" t="s">
        <v>6</v>
      </c>
      <c r="C843" s="2">
        <v>1155</v>
      </c>
      <c r="D843" s="2">
        <v>297</v>
      </c>
      <c r="E843" s="3">
        <v>5026.72</v>
      </c>
      <c r="F843" s="4" t="str">
        <f>IF(campaignData[[#This Row],[Campaign]]="Old_Campaign", "A", "B")</f>
        <v>B</v>
      </c>
    </row>
    <row r="844" spans="1:6" x14ac:dyDescent="0.2">
      <c r="A844" s="1">
        <v>44618</v>
      </c>
      <c r="B844" s="5" t="s">
        <v>5</v>
      </c>
      <c r="C844" s="2">
        <v>1184</v>
      </c>
      <c r="D844" s="2">
        <v>205</v>
      </c>
      <c r="E844" s="3">
        <v>2931.73</v>
      </c>
      <c r="F844" s="4" t="str">
        <f>IF(campaignData[[#This Row],[Campaign]]="Old_Campaign", "A", "B")</f>
        <v>A</v>
      </c>
    </row>
    <row r="845" spans="1:6" x14ac:dyDescent="0.2">
      <c r="A845" s="1">
        <v>44618</v>
      </c>
      <c r="B845" s="5" t="s">
        <v>6</v>
      </c>
      <c r="C845" s="2">
        <v>1184</v>
      </c>
      <c r="D845" s="2">
        <v>276</v>
      </c>
      <c r="E845" s="3">
        <v>3989.54</v>
      </c>
      <c r="F845" s="4" t="str">
        <f>IF(campaignData[[#This Row],[Campaign]]="Old_Campaign", "A", "B")</f>
        <v>B</v>
      </c>
    </row>
    <row r="846" spans="1:6" x14ac:dyDescent="0.2">
      <c r="A846" s="1">
        <v>44619</v>
      </c>
      <c r="B846" s="5" t="s">
        <v>5</v>
      </c>
      <c r="C846" s="2">
        <v>1242</v>
      </c>
      <c r="D846" s="2">
        <v>252</v>
      </c>
      <c r="E846" s="3">
        <v>4050.97</v>
      </c>
      <c r="F846" s="4" t="str">
        <f>IF(campaignData[[#This Row],[Campaign]]="Old_Campaign", "A", "B")</f>
        <v>A</v>
      </c>
    </row>
    <row r="847" spans="1:6" x14ac:dyDescent="0.2">
      <c r="A847" s="1">
        <v>44619</v>
      </c>
      <c r="B847" s="5" t="s">
        <v>6</v>
      </c>
      <c r="C847" s="2">
        <v>1115</v>
      </c>
      <c r="D847" s="2">
        <v>244</v>
      </c>
      <c r="E847" s="3">
        <v>4112.95</v>
      </c>
      <c r="F847" s="4" t="str">
        <f>IF(campaignData[[#This Row],[Campaign]]="Old_Campaign", "A", "B")</f>
        <v>B</v>
      </c>
    </row>
    <row r="848" spans="1:6" x14ac:dyDescent="0.2">
      <c r="A848" s="1">
        <v>44620</v>
      </c>
      <c r="B848" s="5" t="s">
        <v>5</v>
      </c>
      <c r="C848" s="2">
        <v>1203</v>
      </c>
      <c r="D848" s="2">
        <v>230</v>
      </c>
      <c r="E848" s="3">
        <v>3407.25</v>
      </c>
      <c r="F848" s="4" t="str">
        <f>IF(campaignData[[#This Row],[Campaign]]="Old_Campaign", "A", "B")</f>
        <v>A</v>
      </c>
    </row>
    <row r="849" spans="1:6" x14ac:dyDescent="0.2">
      <c r="A849" s="1">
        <v>44620</v>
      </c>
      <c r="B849" s="5" t="s">
        <v>6</v>
      </c>
      <c r="C849" s="2">
        <v>1156</v>
      </c>
      <c r="D849" s="2">
        <v>241</v>
      </c>
      <c r="E849" s="3">
        <v>3740.56</v>
      </c>
      <c r="F849" s="4" t="str">
        <f>IF(campaignData[[#This Row],[Campaign]]="Old_Campaign", "A", "B")</f>
        <v>B</v>
      </c>
    </row>
    <row r="850" spans="1:6" x14ac:dyDescent="0.2">
      <c r="A850" s="1">
        <v>44621</v>
      </c>
      <c r="B850" s="5" t="s">
        <v>5</v>
      </c>
      <c r="C850" s="2">
        <v>1264</v>
      </c>
      <c r="D850" s="2">
        <v>249</v>
      </c>
      <c r="E850" s="3">
        <v>3432.1</v>
      </c>
      <c r="F850" s="4" t="str">
        <f>IF(campaignData[[#This Row],[Campaign]]="Old_Campaign", "A", "B")</f>
        <v>A</v>
      </c>
    </row>
    <row r="851" spans="1:6" x14ac:dyDescent="0.2">
      <c r="A851" s="1">
        <v>44621</v>
      </c>
      <c r="B851" s="5" t="s">
        <v>6</v>
      </c>
      <c r="C851" s="2">
        <v>1130</v>
      </c>
      <c r="D851" s="2">
        <v>267</v>
      </c>
      <c r="E851" s="3">
        <v>4465.8999999999996</v>
      </c>
      <c r="F851" s="4" t="str">
        <f>IF(campaignData[[#This Row],[Campaign]]="Old_Campaign", "A", "B")</f>
        <v>B</v>
      </c>
    </row>
    <row r="852" spans="1:6" x14ac:dyDescent="0.2">
      <c r="A852" s="1">
        <v>44622</v>
      </c>
      <c r="B852" s="5" t="s">
        <v>5</v>
      </c>
      <c r="C852" s="2">
        <v>1162</v>
      </c>
      <c r="D852" s="2">
        <v>220</v>
      </c>
      <c r="E852" s="3">
        <v>3456.49</v>
      </c>
      <c r="F852" s="4" t="str">
        <f>IF(campaignData[[#This Row],[Campaign]]="Old_Campaign", "A", "B")</f>
        <v>A</v>
      </c>
    </row>
    <row r="853" spans="1:6" x14ac:dyDescent="0.2">
      <c r="A853" s="1">
        <v>44622</v>
      </c>
      <c r="B853" s="5" t="s">
        <v>6</v>
      </c>
      <c r="C853" s="2">
        <v>1177</v>
      </c>
      <c r="D853" s="2">
        <v>259</v>
      </c>
      <c r="E853" s="3">
        <v>4243.24</v>
      </c>
      <c r="F853" s="4" t="str">
        <f>IF(campaignData[[#This Row],[Campaign]]="Old_Campaign", "A", "B")</f>
        <v>B</v>
      </c>
    </row>
    <row r="854" spans="1:6" x14ac:dyDescent="0.2">
      <c r="A854" s="1">
        <v>44623</v>
      </c>
      <c r="B854" s="5" t="s">
        <v>5</v>
      </c>
      <c r="C854" s="2">
        <v>1212</v>
      </c>
      <c r="D854" s="2">
        <v>236</v>
      </c>
      <c r="E854" s="3">
        <v>3654.64</v>
      </c>
      <c r="F854" s="4" t="str">
        <f>IF(campaignData[[#This Row],[Campaign]]="Old_Campaign", "A", "B")</f>
        <v>A</v>
      </c>
    </row>
    <row r="855" spans="1:6" x14ac:dyDescent="0.2">
      <c r="A855" s="1">
        <v>44623</v>
      </c>
      <c r="B855" s="5" t="s">
        <v>6</v>
      </c>
      <c r="C855" s="2">
        <v>1117</v>
      </c>
      <c r="D855" s="2">
        <v>262</v>
      </c>
      <c r="E855" s="3">
        <v>3100.98</v>
      </c>
      <c r="F855" s="4" t="str">
        <f>IF(campaignData[[#This Row],[Campaign]]="Old_Campaign", "A", "B")</f>
        <v>B</v>
      </c>
    </row>
    <row r="856" spans="1:6" x14ac:dyDescent="0.2">
      <c r="A856" s="1">
        <v>44624</v>
      </c>
      <c r="B856" s="5" t="s">
        <v>5</v>
      </c>
      <c r="C856" s="2">
        <v>1194</v>
      </c>
      <c r="D856" s="2">
        <v>238</v>
      </c>
      <c r="E856" s="3">
        <v>2629.67</v>
      </c>
      <c r="F856" s="4" t="str">
        <f>IF(campaignData[[#This Row],[Campaign]]="Old_Campaign", "A", "B")</f>
        <v>A</v>
      </c>
    </row>
    <row r="857" spans="1:6" x14ac:dyDescent="0.2">
      <c r="A857" s="1">
        <v>44624</v>
      </c>
      <c r="B857" s="5" t="s">
        <v>6</v>
      </c>
      <c r="C857" s="2">
        <v>1214</v>
      </c>
      <c r="D857" s="2">
        <v>291</v>
      </c>
      <c r="E857" s="3">
        <v>5093.1400000000003</v>
      </c>
      <c r="F857" s="4" t="str">
        <f>IF(campaignData[[#This Row],[Campaign]]="Old_Campaign", "A", "B")</f>
        <v>B</v>
      </c>
    </row>
    <row r="858" spans="1:6" x14ac:dyDescent="0.2">
      <c r="A858" s="1">
        <v>44625</v>
      </c>
      <c r="B858" s="5" t="s">
        <v>5</v>
      </c>
      <c r="C858" s="2">
        <v>1225</v>
      </c>
      <c r="D858" s="2">
        <v>243</v>
      </c>
      <c r="E858" s="3">
        <v>4443.68</v>
      </c>
      <c r="F858" s="4" t="str">
        <f>IF(campaignData[[#This Row],[Campaign]]="Old_Campaign", "A", "B")</f>
        <v>A</v>
      </c>
    </row>
    <row r="859" spans="1:6" x14ac:dyDescent="0.2">
      <c r="A859" s="1">
        <v>44625</v>
      </c>
      <c r="B859" s="5" t="s">
        <v>6</v>
      </c>
      <c r="C859" s="2">
        <v>1149</v>
      </c>
      <c r="D859" s="2">
        <v>297</v>
      </c>
      <c r="E859" s="3">
        <v>4966.22</v>
      </c>
      <c r="F859" s="4" t="str">
        <f>IF(campaignData[[#This Row],[Campaign]]="Old_Campaign", "A", "B")</f>
        <v>B</v>
      </c>
    </row>
    <row r="860" spans="1:6" x14ac:dyDescent="0.2">
      <c r="A860" s="1">
        <v>44626</v>
      </c>
      <c r="B860" s="5" t="s">
        <v>5</v>
      </c>
      <c r="C860" s="2">
        <v>1211</v>
      </c>
      <c r="D860" s="2">
        <v>239</v>
      </c>
      <c r="E860" s="3">
        <v>3351.61</v>
      </c>
      <c r="F860" s="4" t="str">
        <f>IF(campaignData[[#This Row],[Campaign]]="Old_Campaign", "A", "B")</f>
        <v>A</v>
      </c>
    </row>
    <row r="861" spans="1:6" x14ac:dyDescent="0.2">
      <c r="A861" s="1">
        <v>44626</v>
      </c>
      <c r="B861" s="5" t="s">
        <v>6</v>
      </c>
      <c r="C861" s="2">
        <v>1117</v>
      </c>
      <c r="D861" s="2">
        <v>253</v>
      </c>
      <c r="E861" s="3">
        <v>4368.46</v>
      </c>
      <c r="F861" s="4" t="str">
        <f>IF(campaignData[[#This Row],[Campaign]]="Old_Campaign", "A", "B")</f>
        <v>B</v>
      </c>
    </row>
    <row r="862" spans="1:6" x14ac:dyDescent="0.2">
      <c r="A862" s="1">
        <v>44627</v>
      </c>
      <c r="B862" s="5" t="s">
        <v>5</v>
      </c>
      <c r="C862" s="2">
        <v>1208</v>
      </c>
      <c r="D862" s="2">
        <v>229</v>
      </c>
      <c r="E862" s="3">
        <v>3398.79</v>
      </c>
      <c r="F862" s="4" t="str">
        <f>IF(campaignData[[#This Row],[Campaign]]="Old_Campaign", "A", "B")</f>
        <v>A</v>
      </c>
    </row>
    <row r="863" spans="1:6" x14ac:dyDescent="0.2">
      <c r="A863" s="1">
        <v>44627</v>
      </c>
      <c r="B863" s="5" t="s">
        <v>6</v>
      </c>
      <c r="C863" s="2">
        <v>1189</v>
      </c>
      <c r="D863" s="2">
        <v>290</v>
      </c>
      <c r="E863" s="3">
        <v>4304.1099999999997</v>
      </c>
      <c r="F863" s="4" t="str">
        <f>IF(campaignData[[#This Row],[Campaign]]="Old_Campaign", "A", "B")</f>
        <v>B</v>
      </c>
    </row>
    <row r="864" spans="1:6" x14ac:dyDescent="0.2">
      <c r="A864" s="1">
        <v>44628</v>
      </c>
      <c r="B864" s="5" t="s">
        <v>5</v>
      </c>
      <c r="C864" s="2">
        <v>1195</v>
      </c>
      <c r="D864" s="2">
        <v>242</v>
      </c>
      <c r="E864" s="3">
        <v>3301.54</v>
      </c>
      <c r="F864" s="4" t="str">
        <f>IF(campaignData[[#This Row],[Campaign]]="Old_Campaign", "A", "B")</f>
        <v>A</v>
      </c>
    </row>
    <row r="865" spans="1:6" x14ac:dyDescent="0.2">
      <c r="A865" s="1">
        <v>44628</v>
      </c>
      <c r="B865" s="5" t="s">
        <v>6</v>
      </c>
      <c r="C865" s="2">
        <v>1137</v>
      </c>
      <c r="D865" s="2">
        <v>290</v>
      </c>
      <c r="E865" s="3">
        <v>4455.42</v>
      </c>
      <c r="F865" s="4" t="str">
        <f>IF(campaignData[[#This Row],[Campaign]]="Old_Campaign", "A", "B")</f>
        <v>B</v>
      </c>
    </row>
    <row r="866" spans="1:6" x14ac:dyDescent="0.2">
      <c r="A866" s="1">
        <v>44629</v>
      </c>
      <c r="B866" s="5" t="s">
        <v>5</v>
      </c>
      <c r="C866" s="2">
        <v>1210</v>
      </c>
      <c r="D866" s="2">
        <v>225</v>
      </c>
      <c r="E866" s="3">
        <v>2856.98</v>
      </c>
      <c r="F866" s="4" t="str">
        <f>IF(campaignData[[#This Row],[Campaign]]="Old_Campaign", "A", "B")</f>
        <v>A</v>
      </c>
    </row>
    <row r="867" spans="1:6" x14ac:dyDescent="0.2">
      <c r="A867" s="1">
        <v>44629</v>
      </c>
      <c r="B867" s="5" t="s">
        <v>6</v>
      </c>
      <c r="C867" s="2">
        <v>1177</v>
      </c>
      <c r="D867" s="2">
        <v>257</v>
      </c>
      <c r="E867" s="3">
        <v>2652.71</v>
      </c>
      <c r="F867" s="4" t="str">
        <f>IF(campaignData[[#This Row],[Campaign]]="Old_Campaign", "A", "B")</f>
        <v>B</v>
      </c>
    </row>
    <row r="868" spans="1:6" x14ac:dyDescent="0.2">
      <c r="A868" s="1">
        <v>44630</v>
      </c>
      <c r="B868" s="5" t="s">
        <v>5</v>
      </c>
      <c r="C868" s="2">
        <v>1127</v>
      </c>
      <c r="D868" s="2">
        <v>229</v>
      </c>
      <c r="E868" s="3">
        <v>3862.06</v>
      </c>
      <c r="F868" s="4" t="str">
        <f>IF(campaignData[[#This Row],[Campaign]]="Old_Campaign", "A", "B")</f>
        <v>A</v>
      </c>
    </row>
    <row r="869" spans="1:6" x14ac:dyDescent="0.2">
      <c r="A869" s="1">
        <v>44630</v>
      </c>
      <c r="B869" s="5" t="s">
        <v>6</v>
      </c>
      <c r="C869" s="2">
        <v>1156</v>
      </c>
      <c r="D869" s="2">
        <v>270</v>
      </c>
      <c r="E869" s="3">
        <v>4095.85</v>
      </c>
      <c r="F869" s="4" t="str">
        <f>IF(campaignData[[#This Row],[Campaign]]="Old_Campaign", "A", "B")</f>
        <v>B</v>
      </c>
    </row>
    <row r="870" spans="1:6" x14ac:dyDescent="0.2">
      <c r="A870" s="1">
        <v>44631</v>
      </c>
      <c r="B870" s="5" t="s">
        <v>5</v>
      </c>
      <c r="C870" s="2">
        <v>1296</v>
      </c>
      <c r="D870" s="2">
        <v>269</v>
      </c>
      <c r="E870" s="3">
        <v>4282.63</v>
      </c>
      <c r="F870" s="4" t="str">
        <f>IF(campaignData[[#This Row],[Campaign]]="Old_Campaign", "A", "B")</f>
        <v>A</v>
      </c>
    </row>
    <row r="871" spans="1:6" x14ac:dyDescent="0.2">
      <c r="A871" s="1">
        <v>44631</v>
      </c>
      <c r="B871" s="5" t="s">
        <v>6</v>
      </c>
      <c r="C871" s="2">
        <v>1157</v>
      </c>
      <c r="D871" s="2">
        <v>269</v>
      </c>
      <c r="E871" s="3">
        <v>4408.83</v>
      </c>
      <c r="F871" s="4" t="str">
        <f>IF(campaignData[[#This Row],[Campaign]]="Old_Campaign", "A", "B")</f>
        <v>B</v>
      </c>
    </row>
    <row r="872" spans="1:6" x14ac:dyDescent="0.2">
      <c r="A872" s="1">
        <v>44632</v>
      </c>
      <c r="B872" s="5" t="s">
        <v>5</v>
      </c>
      <c r="C872" s="2">
        <v>1191</v>
      </c>
      <c r="D872" s="2">
        <v>247</v>
      </c>
      <c r="E872" s="3">
        <v>3215.1</v>
      </c>
      <c r="F872" s="4" t="str">
        <f>IF(campaignData[[#This Row],[Campaign]]="Old_Campaign", "A", "B")</f>
        <v>A</v>
      </c>
    </row>
    <row r="873" spans="1:6" x14ac:dyDescent="0.2">
      <c r="A873" s="1">
        <v>44632</v>
      </c>
      <c r="B873" s="5" t="s">
        <v>6</v>
      </c>
      <c r="C873" s="2">
        <v>1204</v>
      </c>
      <c r="D873" s="2">
        <v>252</v>
      </c>
      <c r="E873" s="3">
        <v>3713.03</v>
      </c>
      <c r="F873" s="4" t="str">
        <f>IF(campaignData[[#This Row],[Campaign]]="Old_Campaign", "A", "B")</f>
        <v>B</v>
      </c>
    </row>
    <row r="874" spans="1:6" x14ac:dyDescent="0.2">
      <c r="A874" s="1">
        <v>44633</v>
      </c>
      <c r="B874" s="5" t="s">
        <v>5</v>
      </c>
      <c r="C874" s="2">
        <v>1165</v>
      </c>
      <c r="D874" s="2">
        <v>234</v>
      </c>
      <c r="E874" s="3">
        <v>3301.3</v>
      </c>
      <c r="F874" s="4" t="str">
        <f>IF(campaignData[[#This Row],[Campaign]]="Old_Campaign", "A", "B")</f>
        <v>A</v>
      </c>
    </row>
    <row r="875" spans="1:6" x14ac:dyDescent="0.2">
      <c r="A875" s="1">
        <v>44633</v>
      </c>
      <c r="B875" s="5" t="s">
        <v>6</v>
      </c>
      <c r="C875" s="2">
        <v>1133</v>
      </c>
      <c r="D875" s="2">
        <v>239</v>
      </c>
      <c r="E875" s="3">
        <v>3878.08</v>
      </c>
      <c r="F875" s="4" t="str">
        <f>IF(campaignData[[#This Row],[Campaign]]="Old_Campaign", "A", "B")</f>
        <v>B</v>
      </c>
    </row>
    <row r="876" spans="1:6" x14ac:dyDescent="0.2">
      <c r="A876" s="1">
        <v>44634</v>
      </c>
      <c r="B876" s="5" t="s">
        <v>5</v>
      </c>
      <c r="C876" s="2">
        <v>1168</v>
      </c>
      <c r="D876" s="2">
        <v>211</v>
      </c>
      <c r="E876" s="3">
        <v>3873.4</v>
      </c>
      <c r="F876" s="4" t="str">
        <f>IF(campaignData[[#This Row],[Campaign]]="Old_Campaign", "A", "B")</f>
        <v>A</v>
      </c>
    </row>
    <row r="877" spans="1:6" x14ac:dyDescent="0.2">
      <c r="A877" s="1">
        <v>44634</v>
      </c>
      <c r="B877" s="5" t="s">
        <v>6</v>
      </c>
      <c r="C877" s="2">
        <v>1145</v>
      </c>
      <c r="D877" s="2">
        <v>282</v>
      </c>
      <c r="E877" s="3">
        <v>3433.83</v>
      </c>
      <c r="F877" s="4" t="str">
        <f>IF(campaignData[[#This Row],[Campaign]]="Old_Campaign", "A", "B")</f>
        <v>B</v>
      </c>
    </row>
    <row r="878" spans="1:6" x14ac:dyDescent="0.2">
      <c r="A878" s="1">
        <v>44635</v>
      </c>
      <c r="B878" s="5" t="s">
        <v>5</v>
      </c>
      <c r="C878" s="2">
        <v>1204</v>
      </c>
      <c r="D878" s="2">
        <v>222</v>
      </c>
      <c r="E878" s="3">
        <v>2842.21</v>
      </c>
      <c r="F878" s="4" t="str">
        <f>IF(campaignData[[#This Row],[Campaign]]="Old_Campaign", "A", "B")</f>
        <v>A</v>
      </c>
    </row>
    <row r="879" spans="1:6" x14ac:dyDescent="0.2">
      <c r="A879" s="1">
        <v>44635</v>
      </c>
      <c r="B879" s="5" t="s">
        <v>6</v>
      </c>
      <c r="C879" s="2">
        <v>1218</v>
      </c>
      <c r="D879" s="2">
        <v>274</v>
      </c>
      <c r="E879" s="3">
        <v>5162.4399999999996</v>
      </c>
      <c r="F879" s="4" t="str">
        <f>IF(campaignData[[#This Row],[Campaign]]="Old_Campaign", "A", "B")</f>
        <v>B</v>
      </c>
    </row>
    <row r="880" spans="1:6" x14ac:dyDescent="0.2">
      <c r="A880" s="1">
        <v>44636</v>
      </c>
      <c r="B880" s="5" t="s">
        <v>5</v>
      </c>
      <c r="C880" s="2">
        <v>1168</v>
      </c>
      <c r="D880" s="2">
        <v>214</v>
      </c>
      <c r="E880" s="3">
        <v>2567.91</v>
      </c>
      <c r="F880" s="4" t="str">
        <f>IF(campaignData[[#This Row],[Campaign]]="Old_Campaign", "A", "B")</f>
        <v>A</v>
      </c>
    </row>
    <row r="881" spans="1:6" x14ac:dyDescent="0.2">
      <c r="A881" s="1">
        <v>44636</v>
      </c>
      <c r="B881" s="5" t="s">
        <v>6</v>
      </c>
      <c r="C881" s="2">
        <v>1164</v>
      </c>
      <c r="D881" s="2">
        <v>302</v>
      </c>
      <c r="E881" s="3">
        <v>4361.58</v>
      </c>
      <c r="F881" s="4" t="str">
        <f>IF(campaignData[[#This Row],[Campaign]]="Old_Campaign", "A", "B")</f>
        <v>B</v>
      </c>
    </row>
    <row r="882" spans="1:6" x14ac:dyDescent="0.2">
      <c r="A882" s="1">
        <v>44637</v>
      </c>
      <c r="B882" s="5" t="s">
        <v>5</v>
      </c>
      <c r="C882" s="2">
        <v>1233</v>
      </c>
      <c r="D882" s="2">
        <v>250</v>
      </c>
      <c r="E882" s="3">
        <v>4323.0200000000004</v>
      </c>
      <c r="F882" s="4" t="str">
        <f>IF(campaignData[[#This Row],[Campaign]]="Old_Campaign", "A", "B")</f>
        <v>A</v>
      </c>
    </row>
    <row r="883" spans="1:6" x14ac:dyDescent="0.2">
      <c r="A883" s="1">
        <v>44637</v>
      </c>
      <c r="B883" s="5" t="s">
        <v>6</v>
      </c>
      <c r="C883" s="2">
        <v>1140</v>
      </c>
      <c r="D883" s="2">
        <v>260</v>
      </c>
      <c r="E883" s="3">
        <v>3755.77</v>
      </c>
      <c r="F883" s="4" t="str">
        <f>IF(campaignData[[#This Row],[Campaign]]="Old_Campaign", "A", "B")</f>
        <v>B</v>
      </c>
    </row>
    <row r="884" spans="1:6" x14ac:dyDescent="0.2">
      <c r="A884" s="1">
        <v>44638</v>
      </c>
      <c r="B884" s="5" t="s">
        <v>5</v>
      </c>
      <c r="C884" s="2">
        <v>1171</v>
      </c>
      <c r="D884" s="2">
        <v>222</v>
      </c>
      <c r="E884" s="3">
        <v>3128.07</v>
      </c>
      <c r="F884" s="4" t="str">
        <f>IF(campaignData[[#This Row],[Campaign]]="Old_Campaign", "A", "B")</f>
        <v>A</v>
      </c>
    </row>
    <row r="885" spans="1:6" x14ac:dyDescent="0.2">
      <c r="A885" s="1">
        <v>44638</v>
      </c>
      <c r="B885" s="5" t="s">
        <v>6</v>
      </c>
      <c r="C885" s="2">
        <v>1140</v>
      </c>
      <c r="D885" s="2">
        <v>262</v>
      </c>
      <c r="E885" s="3">
        <v>3647.14</v>
      </c>
      <c r="F885" s="4" t="str">
        <f>IF(campaignData[[#This Row],[Campaign]]="Old_Campaign", "A", "B")</f>
        <v>B</v>
      </c>
    </row>
    <row r="886" spans="1:6" x14ac:dyDescent="0.2">
      <c r="A886" s="1">
        <v>44639</v>
      </c>
      <c r="B886" s="5" t="s">
        <v>5</v>
      </c>
      <c r="C886" s="2">
        <v>1159</v>
      </c>
      <c r="D886" s="2">
        <v>199</v>
      </c>
      <c r="E886" s="3">
        <v>2692.39</v>
      </c>
      <c r="F886" s="4" t="str">
        <f>IF(campaignData[[#This Row],[Campaign]]="Old_Campaign", "A", "B")</f>
        <v>A</v>
      </c>
    </row>
    <row r="887" spans="1:6" x14ac:dyDescent="0.2">
      <c r="A887" s="1">
        <v>44639</v>
      </c>
      <c r="B887" s="5" t="s">
        <v>6</v>
      </c>
      <c r="C887" s="2">
        <v>1150</v>
      </c>
      <c r="D887" s="2">
        <v>255</v>
      </c>
      <c r="E887" s="3">
        <v>4924.67</v>
      </c>
      <c r="F887" s="4" t="str">
        <f>IF(campaignData[[#This Row],[Campaign]]="Old_Campaign", "A", "B")</f>
        <v>B</v>
      </c>
    </row>
    <row r="888" spans="1:6" x14ac:dyDescent="0.2">
      <c r="A888" s="1">
        <v>44640</v>
      </c>
      <c r="B888" s="5" t="s">
        <v>5</v>
      </c>
      <c r="C888" s="2">
        <v>1200</v>
      </c>
      <c r="D888" s="2">
        <v>234</v>
      </c>
      <c r="E888" s="3">
        <v>3691.76</v>
      </c>
      <c r="F888" s="4" t="str">
        <f>IF(campaignData[[#This Row],[Campaign]]="Old_Campaign", "A", "B")</f>
        <v>A</v>
      </c>
    </row>
    <row r="889" spans="1:6" x14ac:dyDescent="0.2">
      <c r="A889" s="1">
        <v>44640</v>
      </c>
      <c r="B889" s="5" t="s">
        <v>6</v>
      </c>
      <c r="C889" s="2">
        <v>1170</v>
      </c>
      <c r="D889" s="2">
        <v>283</v>
      </c>
      <c r="E889" s="3">
        <v>4474.33</v>
      </c>
      <c r="F889" s="4" t="str">
        <f>IF(campaignData[[#This Row],[Campaign]]="Old_Campaign", "A", "B")</f>
        <v>B</v>
      </c>
    </row>
    <row r="890" spans="1:6" x14ac:dyDescent="0.2">
      <c r="A890" s="1">
        <v>44641</v>
      </c>
      <c r="B890" s="5" t="s">
        <v>5</v>
      </c>
      <c r="C890" s="2">
        <v>1135</v>
      </c>
      <c r="D890" s="2">
        <v>209</v>
      </c>
      <c r="E890" s="3">
        <v>3355.09</v>
      </c>
      <c r="F890" s="4" t="str">
        <f>IF(campaignData[[#This Row],[Campaign]]="Old_Campaign", "A", "B")</f>
        <v>A</v>
      </c>
    </row>
    <row r="891" spans="1:6" x14ac:dyDescent="0.2">
      <c r="A891" s="1">
        <v>44641</v>
      </c>
      <c r="B891" s="5" t="s">
        <v>6</v>
      </c>
      <c r="C891" s="2">
        <v>1155</v>
      </c>
      <c r="D891" s="2">
        <v>298</v>
      </c>
      <c r="E891" s="3">
        <v>4483.46</v>
      </c>
      <c r="F891" s="4" t="str">
        <f>IF(campaignData[[#This Row],[Campaign]]="Old_Campaign", "A", "B")</f>
        <v>B</v>
      </c>
    </row>
    <row r="892" spans="1:6" x14ac:dyDescent="0.2">
      <c r="A892" s="1">
        <v>44642</v>
      </c>
      <c r="B892" s="5" t="s">
        <v>5</v>
      </c>
      <c r="C892" s="2">
        <v>1178</v>
      </c>
      <c r="D892" s="2">
        <v>238</v>
      </c>
      <c r="E892" s="3">
        <v>3428.45</v>
      </c>
      <c r="F892" s="4" t="str">
        <f>IF(campaignData[[#This Row],[Campaign]]="Old_Campaign", "A", "B")</f>
        <v>A</v>
      </c>
    </row>
    <row r="893" spans="1:6" x14ac:dyDescent="0.2">
      <c r="A893" s="1">
        <v>44642</v>
      </c>
      <c r="B893" s="5" t="s">
        <v>6</v>
      </c>
      <c r="C893" s="2">
        <v>1130</v>
      </c>
      <c r="D893" s="2">
        <v>274</v>
      </c>
      <c r="E893" s="3">
        <v>4248.9799999999996</v>
      </c>
      <c r="F893" s="4" t="str">
        <f>IF(campaignData[[#This Row],[Campaign]]="Old_Campaign", "A", "B")</f>
        <v>B</v>
      </c>
    </row>
    <row r="894" spans="1:6" x14ac:dyDescent="0.2">
      <c r="A894" s="1">
        <v>44643</v>
      </c>
      <c r="B894" s="5" t="s">
        <v>5</v>
      </c>
      <c r="C894" s="2">
        <v>1162</v>
      </c>
      <c r="D894" s="2">
        <v>187</v>
      </c>
      <c r="E894" s="3">
        <v>2801.53</v>
      </c>
      <c r="F894" s="4" t="str">
        <f>IF(campaignData[[#This Row],[Campaign]]="Old_Campaign", "A", "B")</f>
        <v>A</v>
      </c>
    </row>
    <row r="895" spans="1:6" x14ac:dyDescent="0.2">
      <c r="A895" s="1">
        <v>44643</v>
      </c>
      <c r="B895" s="5" t="s">
        <v>6</v>
      </c>
      <c r="C895" s="2">
        <v>1115</v>
      </c>
      <c r="D895" s="2">
        <v>256</v>
      </c>
      <c r="E895" s="3">
        <v>4253.17</v>
      </c>
      <c r="F895" s="4" t="str">
        <f>IF(campaignData[[#This Row],[Campaign]]="Old_Campaign", "A", "B")</f>
        <v>B</v>
      </c>
    </row>
    <row r="896" spans="1:6" x14ac:dyDescent="0.2">
      <c r="A896" s="1">
        <v>44644</v>
      </c>
      <c r="B896" s="5" t="s">
        <v>5</v>
      </c>
      <c r="C896" s="2">
        <v>1146</v>
      </c>
      <c r="D896" s="2">
        <v>224</v>
      </c>
      <c r="E896" s="3">
        <v>3145.52</v>
      </c>
      <c r="F896" s="4" t="str">
        <f>IF(campaignData[[#This Row],[Campaign]]="Old_Campaign", "A", "B")</f>
        <v>A</v>
      </c>
    </row>
    <row r="897" spans="1:6" x14ac:dyDescent="0.2">
      <c r="A897" s="1">
        <v>44644</v>
      </c>
      <c r="B897" s="5" t="s">
        <v>6</v>
      </c>
      <c r="C897" s="2">
        <v>1147</v>
      </c>
      <c r="D897" s="2">
        <v>281</v>
      </c>
      <c r="E897" s="3">
        <v>4698.03</v>
      </c>
      <c r="F897" s="4" t="str">
        <f>IF(campaignData[[#This Row],[Campaign]]="Old_Campaign", "A", "B")</f>
        <v>B</v>
      </c>
    </row>
    <row r="898" spans="1:6" x14ac:dyDescent="0.2">
      <c r="A898" s="1">
        <v>44645</v>
      </c>
      <c r="B898" s="5" t="s">
        <v>5</v>
      </c>
      <c r="C898" s="2">
        <v>1231</v>
      </c>
      <c r="D898" s="2">
        <v>238</v>
      </c>
      <c r="E898" s="3">
        <v>2433.8200000000002</v>
      </c>
      <c r="F898" s="4" t="str">
        <f>IF(campaignData[[#This Row],[Campaign]]="Old_Campaign", "A", "B")</f>
        <v>A</v>
      </c>
    </row>
    <row r="899" spans="1:6" x14ac:dyDescent="0.2">
      <c r="A899" s="1">
        <v>44645</v>
      </c>
      <c r="B899" s="5" t="s">
        <v>6</v>
      </c>
      <c r="C899" s="2">
        <v>1198</v>
      </c>
      <c r="D899" s="2">
        <v>272</v>
      </c>
      <c r="E899" s="3">
        <v>4082.24</v>
      </c>
      <c r="F899" s="4" t="str">
        <f>IF(campaignData[[#This Row],[Campaign]]="Old_Campaign", "A", "B")</f>
        <v>B</v>
      </c>
    </row>
    <row r="900" spans="1:6" x14ac:dyDescent="0.2">
      <c r="A900" s="1">
        <v>44646</v>
      </c>
      <c r="B900" s="5" t="s">
        <v>5</v>
      </c>
      <c r="C900" s="2">
        <v>1201</v>
      </c>
      <c r="D900" s="2">
        <v>214</v>
      </c>
      <c r="E900" s="3">
        <v>3314.29</v>
      </c>
      <c r="F900" s="4" t="str">
        <f>IF(campaignData[[#This Row],[Campaign]]="Old_Campaign", "A", "B")</f>
        <v>A</v>
      </c>
    </row>
    <row r="901" spans="1:6" x14ac:dyDescent="0.2">
      <c r="A901" s="1">
        <v>44646</v>
      </c>
      <c r="B901" s="5" t="s">
        <v>6</v>
      </c>
      <c r="C901" s="2">
        <v>1128</v>
      </c>
      <c r="D901" s="2">
        <v>249</v>
      </c>
      <c r="E901" s="3">
        <v>3441.08</v>
      </c>
      <c r="F901" s="4" t="str">
        <f>IF(campaignData[[#This Row],[Campaign]]="Old_Campaign", "A", "B")</f>
        <v>B</v>
      </c>
    </row>
    <row r="902" spans="1:6" x14ac:dyDescent="0.2">
      <c r="A902" s="1">
        <v>44647</v>
      </c>
      <c r="B902" s="5" t="s">
        <v>5</v>
      </c>
      <c r="C902" s="2">
        <v>1126</v>
      </c>
      <c r="D902" s="2">
        <v>213</v>
      </c>
      <c r="E902" s="3">
        <v>3405.47</v>
      </c>
      <c r="F902" s="4" t="str">
        <f>IF(campaignData[[#This Row],[Campaign]]="Old_Campaign", "A", "B")</f>
        <v>A</v>
      </c>
    </row>
    <row r="903" spans="1:6" x14ac:dyDescent="0.2">
      <c r="A903" s="1">
        <v>44647</v>
      </c>
      <c r="B903" s="5" t="s">
        <v>6</v>
      </c>
      <c r="C903" s="2">
        <v>1125</v>
      </c>
      <c r="D903" s="2">
        <v>253</v>
      </c>
      <c r="E903" s="3">
        <v>2603.56</v>
      </c>
      <c r="F903" s="4" t="str">
        <f>IF(campaignData[[#This Row],[Campaign]]="Old_Campaign", "A", "B")</f>
        <v>B</v>
      </c>
    </row>
    <row r="904" spans="1:6" x14ac:dyDescent="0.2">
      <c r="A904" s="1">
        <v>44648</v>
      </c>
      <c r="B904" s="5" t="s">
        <v>5</v>
      </c>
      <c r="C904" s="2">
        <v>1183</v>
      </c>
      <c r="D904" s="2">
        <v>247</v>
      </c>
      <c r="E904" s="3">
        <v>3727.47</v>
      </c>
      <c r="F904" s="4" t="str">
        <f>IF(campaignData[[#This Row],[Campaign]]="Old_Campaign", "A", "B")</f>
        <v>A</v>
      </c>
    </row>
    <row r="905" spans="1:6" x14ac:dyDescent="0.2">
      <c r="A905" s="1">
        <v>44648</v>
      </c>
      <c r="B905" s="5" t="s">
        <v>6</v>
      </c>
      <c r="C905" s="2">
        <v>1145</v>
      </c>
      <c r="D905" s="2">
        <v>260</v>
      </c>
      <c r="E905" s="3">
        <v>4450.33</v>
      </c>
      <c r="F905" s="4" t="str">
        <f>IF(campaignData[[#This Row],[Campaign]]="Old_Campaign", "A", "B")</f>
        <v>B</v>
      </c>
    </row>
    <row r="906" spans="1:6" x14ac:dyDescent="0.2">
      <c r="A906" s="1">
        <v>44649</v>
      </c>
      <c r="B906" s="5" t="s">
        <v>5</v>
      </c>
      <c r="C906" s="2">
        <v>1203</v>
      </c>
      <c r="D906" s="2">
        <v>209</v>
      </c>
      <c r="E906" s="3">
        <v>3132.68</v>
      </c>
      <c r="F906" s="4" t="str">
        <f>IF(campaignData[[#This Row],[Campaign]]="Old_Campaign", "A", "B")</f>
        <v>A</v>
      </c>
    </row>
    <row r="907" spans="1:6" x14ac:dyDescent="0.2">
      <c r="A907" s="1">
        <v>44649</v>
      </c>
      <c r="B907" s="5" t="s">
        <v>6</v>
      </c>
      <c r="C907" s="2">
        <v>1160</v>
      </c>
      <c r="D907" s="2">
        <v>271</v>
      </c>
      <c r="E907" s="3">
        <v>4974.75</v>
      </c>
      <c r="F907" s="4" t="str">
        <f>IF(campaignData[[#This Row],[Campaign]]="Old_Campaign", "A", "B")</f>
        <v>B</v>
      </c>
    </row>
    <row r="908" spans="1:6" x14ac:dyDescent="0.2">
      <c r="A908" s="1">
        <v>44650</v>
      </c>
      <c r="B908" s="5" t="s">
        <v>5</v>
      </c>
      <c r="C908" s="2">
        <v>1211</v>
      </c>
      <c r="D908" s="2">
        <v>228</v>
      </c>
      <c r="E908" s="3">
        <v>2707.26</v>
      </c>
      <c r="F908" s="4" t="str">
        <f>IF(campaignData[[#This Row],[Campaign]]="Old_Campaign", "A", "B")</f>
        <v>A</v>
      </c>
    </row>
    <row r="909" spans="1:6" x14ac:dyDescent="0.2">
      <c r="A909" s="1">
        <v>44650</v>
      </c>
      <c r="B909" s="5" t="s">
        <v>6</v>
      </c>
      <c r="C909" s="2">
        <v>1143</v>
      </c>
      <c r="D909" s="2">
        <v>261</v>
      </c>
      <c r="E909" s="3">
        <v>3560.32</v>
      </c>
      <c r="F909" s="4" t="str">
        <f>IF(campaignData[[#This Row],[Campaign]]="Old_Campaign", "A", "B")</f>
        <v>B</v>
      </c>
    </row>
    <row r="910" spans="1:6" x14ac:dyDescent="0.2">
      <c r="A910" s="1">
        <v>44651</v>
      </c>
      <c r="B910" s="5" t="s">
        <v>5</v>
      </c>
      <c r="C910" s="2">
        <v>1207</v>
      </c>
      <c r="D910" s="2">
        <v>234</v>
      </c>
      <c r="E910" s="3">
        <v>3521.8</v>
      </c>
      <c r="F910" s="4" t="str">
        <f>IF(campaignData[[#This Row],[Campaign]]="Old_Campaign", "A", "B")</f>
        <v>A</v>
      </c>
    </row>
    <row r="911" spans="1:6" x14ac:dyDescent="0.2">
      <c r="A911" s="1">
        <v>44651</v>
      </c>
      <c r="B911" s="5" t="s">
        <v>6</v>
      </c>
      <c r="C911" s="2">
        <v>1125</v>
      </c>
      <c r="D911" s="2">
        <v>271</v>
      </c>
      <c r="E911" s="3">
        <v>3499.63</v>
      </c>
      <c r="F911" s="4" t="str">
        <f>IF(campaignData[[#This Row],[Campaign]]="Old_Campaign", "A", "B")</f>
        <v>B</v>
      </c>
    </row>
    <row r="912" spans="1:6" x14ac:dyDescent="0.2">
      <c r="A912" s="1">
        <v>44652</v>
      </c>
      <c r="B912" s="5" t="s">
        <v>5</v>
      </c>
      <c r="C912" s="2">
        <v>1195</v>
      </c>
      <c r="D912" s="2">
        <v>228</v>
      </c>
      <c r="E912" s="3">
        <v>3515.55</v>
      </c>
      <c r="F912" s="4" t="str">
        <f>IF(campaignData[[#This Row],[Campaign]]="Old_Campaign", "A", "B")</f>
        <v>A</v>
      </c>
    </row>
    <row r="913" spans="1:6" x14ac:dyDescent="0.2">
      <c r="A913" s="1">
        <v>44652</v>
      </c>
      <c r="B913" s="5" t="s">
        <v>6</v>
      </c>
      <c r="C913" s="2">
        <v>1194</v>
      </c>
      <c r="D913" s="2">
        <v>258</v>
      </c>
      <c r="E913" s="3">
        <v>3564.72</v>
      </c>
      <c r="F913" s="4" t="str">
        <f>IF(campaignData[[#This Row],[Campaign]]="Old_Campaign", "A", "B")</f>
        <v>B</v>
      </c>
    </row>
    <row r="914" spans="1:6" x14ac:dyDescent="0.2">
      <c r="A914" s="1">
        <v>44653</v>
      </c>
      <c r="B914" s="5" t="s">
        <v>5</v>
      </c>
      <c r="C914" s="2">
        <v>1145</v>
      </c>
      <c r="D914" s="2">
        <v>211</v>
      </c>
      <c r="E914" s="3">
        <v>3485.52</v>
      </c>
      <c r="F914" s="4" t="str">
        <f>IF(campaignData[[#This Row],[Campaign]]="Old_Campaign", "A", "B")</f>
        <v>A</v>
      </c>
    </row>
    <row r="915" spans="1:6" x14ac:dyDescent="0.2">
      <c r="A915" s="1">
        <v>44653</v>
      </c>
      <c r="B915" s="5" t="s">
        <v>6</v>
      </c>
      <c r="C915" s="2">
        <v>1132</v>
      </c>
      <c r="D915" s="2">
        <v>239</v>
      </c>
      <c r="E915" s="3">
        <v>3684.54</v>
      </c>
      <c r="F915" s="4" t="str">
        <f>IF(campaignData[[#This Row],[Campaign]]="Old_Campaign", "A", "B")</f>
        <v>B</v>
      </c>
    </row>
    <row r="916" spans="1:6" x14ac:dyDescent="0.2">
      <c r="A916" s="1">
        <v>44654</v>
      </c>
      <c r="B916" s="5" t="s">
        <v>5</v>
      </c>
      <c r="C916" s="2">
        <v>1225</v>
      </c>
      <c r="D916" s="2">
        <v>224</v>
      </c>
      <c r="E916" s="3">
        <v>2751.36</v>
      </c>
      <c r="F916" s="4" t="str">
        <f>IF(campaignData[[#This Row],[Campaign]]="Old_Campaign", "A", "B")</f>
        <v>A</v>
      </c>
    </row>
    <row r="917" spans="1:6" x14ac:dyDescent="0.2">
      <c r="A917" s="1">
        <v>44654</v>
      </c>
      <c r="B917" s="5" t="s">
        <v>6</v>
      </c>
      <c r="C917" s="2">
        <v>1149</v>
      </c>
      <c r="D917" s="2">
        <v>264</v>
      </c>
      <c r="E917" s="3">
        <v>3653.9</v>
      </c>
      <c r="F917" s="4" t="str">
        <f>IF(campaignData[[#This Row],[Campaign]]="Old_Campaign", "A", "B")</f>
        <v>B</v>
      </c>
    </row>
    <row r="918" spans="1:6" x14ac:dyDescent="0.2">
      <c r="A918" s="1">
        <v>44655</v>
      </c>
      <c r="B918" s="5" t="s">
        <v>5</v>
      </c>
      <c r="C918" s="2">
        <v>1195</v>
      </c>
      <c r="D918" s="2">
        <v>250</v>
      </c>
      <c r="E918" s="3">
        <v>3521.18</v>
      </c>
      <c r="F918" s="4" t="str">
        <f>IF(campaignData[[#This Row],[Campaign]]="Old_Campaign", "A", "B")</f>
        <v>A</v>
      </c>
    </row>
    <row r="919" spans="1:6" x14ac:dyDescent="0.2">
      <c r="A919" s="1">
        <v>44655</v>
      </c>
      <c r="B919" s="5" t="s">
        <v>6</v>
      </c>
      <c r="C919" s="2">
        <v>1159</v>
      </c>
      <c r="D919" s="2">
        <v>252</v>
      </c>
      <c r="E919" s="3">
        <v>4125.59</v>
      </c>
      <c r="F919" s="4" t="str">
        <f>IF(campaignData[[#This Row],[Campaign]]="Old_Campaign", "A", "B")</f>
        <v>B</v>
      </c>
    </row>
    <row r="920" spans="1:6" x14ac:dyDescent="0.2">
      <c r="A920" s="1">
        <v>44656</v>
      </c>
      <c r="B920" s="5" t="s">
        <v>5</v>
      </c>
      <c r="C920" s="2">
        <v>1196</v>
      </c>
      <c r="D920" s="2">
        <v>207</v>
      </c>
      <c r="E920" s="3">
        <v>3604.54</v>
      </c>
      <c r="F920" s="4" t="str">
        <f>IF(campaignData[[#This Row],[Campaign]]="Old_Campaign", "A", "B")</f>
        <v>A</v>
      </c>
    </row>
    <row r="921" spans="1:6" x14ac:dyDescent="0.2">
      <c r="A921" s="1">
        <v>44656</v>
      </c>
      <c r="B921" s="5" t="s">
        <v>6</v>
      </c>
      <c r="C921" s="2">
        <v>1154</v>
      </c>
      <c r="D921" s="2">
        <v>271</v>
      </c>
      <c r="E921" s="3">
        <v>3508.28</v>
      </c>
      <c r="F921" s="4" t="str">
        <f>IF(campaignData[[#This Row],[Campaign]]="Old_Campaign", "A", "B")</f>
        <v>B</v>
      </c>
    </row>
    <row r="922" spans="1:6" x14ac:dyDescent="0.2">
      <c r="A922" s="1">
        <v>44657</v>
      </c>
      <c r="B922" s="5" t="s">
        <v>5</v>
      </c>
      <c r="C922" s="2">
        <v>1169</v>
      </c>
      <c r="D922" s="2">
        <v>208</v>
      </c>
      <c r="E922" s="3">
        <v>2576.13</v>
      </c>
      <c r="F922" s="4" t="str">
        <f>IF(campaignData[[#This Row],[Campaign]]="Old_Campaign", "A", "B")</f>
        <v>A</v>
      </c>
    </row>
    <row r="923" spans="1:6" x14ac:dyDescent="0.2">
      <c r="A923" s="1">
        <v>44657</v>
      </c>
      <c r="B923" s="5" t="s">
        <v>6</v>
      </c>
      <c r="C923" s="2">
        <v>1182</v>
      </c>
      <c r="D923" s="2">
        <v>266</v>
      </c>
      <c r="E923" s="3">
        <v>3405.93</v>
      </c>
      <c r="F923" s="4" t="str">
        <f>IF(campaignData[[#This Row],[Campaign]]="Old_Campaign", "A", "B")</f>
        <v>B</v>
      </c>
    </row>
    <row r="924" spans="1:6" x14ac:dyDescent="0.2">
      <c r="A924" s="1">
        <v>44658</v>
      </c>
      <c r="B924" s="5" t="s">
        <v>5</v>
      </c>
      <c r="C924" s="2">
        <v>1176</v>
      </c>
      <c r="D924" s="2">
        <v>235</v>
      </c>
      <c r="E924" s="3">
        <v>2995.08</v>
      </c>
      <c r="F924" s="4" t="str">
        <f>IF(campaignData[[#This Row],[Campaign]]="Old_Campaign", "A", "B")</f>
        <v>A</v>
      </c>
    </row>
    <row r="925" spans="1:6" x14ac:dyDescent="0.2">
      <c r="A925" s="1">
        <v>44658</v>
      </c>
      <c r="B925" s="5" t="s">
        <v>6</v>
      </c>
      <c r="C925" s="2">
        <v>1082</v>
      </c>
      <c r="D925" s="2">
        <v>239</v>
      </c>
      <c r="E925" s="3">
        <v>4363.1400000000003</v>
      </c>
      <c r="F925" s="4" t="str">
        <f>IF(campaignData[[#This Row],[Campaign]]="Old_Campaign", "A", "B")</f>
        <v>B</v>
      </c>
    </row>
    <row r="926" spans="1:6" x14ac:dyDescent="0.2">
      <c r="A926" s="1">
        <v>44659</v>
      </c>
      <c r="B926" s="5" t="s">
        <v>5</v>
      </c>
      <c r="C926" s="2">
        <v>1183</v>
      </c>
      <c r="D926" s="2">
        <v>221</v>
      </c>
      <c r="E926" s="3">
        <v>3051.77</v>
      </c>
      <c r="F926" s="4" t="str">
        <f>IF(campaignData[[#This Row],[Campaign]]="Old_Campaign", "A", "B")</f>
        <v>A</v>
      </c>
    </row>
    <row r="927" spans="1:6" x14ac:dyDescent="0.2">
      <c r="A927" s="1">
        <v>44659</v>
      </c>
      <c r="B927" s="5" t="s">
        <v>6</v>
      </c>
      <c r="C927" s="2">
        <v>1145</v>
      </c>
      <c r="D927" s="2">
        <v>254</v>
      </c>
      <c r="E927" s="3">
        <v>4521.47</v>
      </c>
      <c r="F927" s="4" t="str">
        <f>IF(campaignData[[#This Row],[Campaign]]="Old_Campaign", "A", "B")</f>
        <v>B</v>
      </c>
    </row>
    <row r="928" spans="1:6" x14ac:dyDescent="0.2">
      <c r="A928" s="1">
        <v>44660</v>
      </c>
      <c r="B928" s="5" t="s">
        <v>5</v>
      </c>
      <c r="C928" s="2">
        <v>1211</v>
      </c>
      <c r="D928" s="2">
        <v>217</v>
      </c>
      <c r="E928" s="3">
        <v>2534.09</v>
      </c>
      <c r="F928" s="4" t="str">
        <f>IF(campaignData[[#This Row],[Campaign]]="Old_Campaign", "A", "B")</f>
        <v>A</v>
      </c>
    </row>
    <row r="929" spans="1:6" x14ac:dyDescent="0.2">
      <c r="A929" s="1">
        <v>44660</v>
      </c>
      <c r="B929" s="5" t="s">
        <v>6</v>
      </c>
      <c r="C929" s="2">
        <v>1147</v>
      </c>
      <c r="D929" s="2">
        <v>264</v>
      </c>
      <c r="E929" s="3">
        <v>4489.72</v>
      </c>
      <c r="F929" s="4" t="str">
        <f>IF(campaignData[[#This Row],[Campaign]]="Old_Campaign", "A", "B")</f>
        <v>B</v>
      </c>
    </row>
    <row r="930" spans="1:6" x14ac:dyDescent="0.2">
      <c r="A930" s="1">
        <v>44661</v>
      </c>
      <c r="B930" s="5" t="s">
        <v>5</v>
      </c>
      <c r="C930" s="2">
        <v>1207</v>
      </c>
      <c r="D930" s="2">
        <v>249</v>
      </c>
      <c r="E930" s="3">
        <v>3711.41</v>
      </c>
      <c r="F930" s="4" t="str">
        <f>IF(campaignData[[#This Row],[Campaign]]="Old_Campaign", "A", "B")</f>
        <v>A</v>
      </c>
    </row>
    <row r="931" spans="1:6" x14ac:dyDescent="0.2">
      <c r="A931" s="1">
        <v>44661</v>
      </c>
      <c r="B931" s="5" t="s">
        <v>6</v>
      </c>
      <c r="C931" s="2">
        <v>1131</v>
      </c>
      <c r="D931" s="2">
        <v>272</v>
      </c>
      <c r="E931" s="3">
        <v>3491.3</v>
      </c>
      <c r="F931" s="4" t="str">
        <f>IF(campaignData[[#This Row],[Campaign]]="Old_Campaign", "A", "B")</f>
        <v>B</v>
      </c>
    </row>
    <row r="932" spans="1:6" x14ac:dyDescent="0.2">
      <c r="A932" s="1">
        <v>44662</v>
      </c>
      <c r="B932" s="5" t="s">
        <v>5</v>
      </c>
      <c r="C932" s="2">
        <v>1174</v>
      </c>
      <c r="D932" s="2">
        <v>205</v>
      </c>
      <c r="E932" s="3">
        <v>3240.73</v>
      </c>
      <c r="F932" s="4" t="str">
        <f>IF(campaignData[[#This Row],[Campaign]]="Old_Campaign", "A", "B")</f>
        <v>A</v>
      </c>
    </row>
    <row r="933" spans="1:6" x14ac:dyDescent="0.2">
      <c r="A933" s="1">
        <v>44662</v>
      </c>
      <c r="B933" s="5" t="s">
        <v>6</v>
      </c>
      <c r="C933" s="2">
        <v>1100</v>
      </c>
      <c r="D933" s="2">
        <v>240</v>
      </c>
      <c r="E933" s="3">
        <v>4183.62</v>
      </c>
      <c r="F933" s="4" t="str">
        <f>IF(campaignData[[#This Row],[Campaign]]="Old_Campaign", "A", "B")</f>
        <v>B</v>
      </c>
    </row>
    <row r="934" spans="1:6" x14ac:dyDescent="0.2">
      <c r="A934" s="1">
        <v>44663</v>
      </c>
      <c r="B934" s="5" t="s">
        <v>5</v>
      </c>
      <c r="C934" s="2">
        <v>1238</v>
      </c>
      <c r="D934" s="2">
        <v>209</v>
      </c>
      <c r="E934" s="3">
        <v>2915.29</v>
      </c>
      <c r="F934" s="4" t="str">
        <f>IF(campaignData[[#This Row],[Campaign]]="Old_Campaign", "A", "B")</f>
        <v>A</v>
      </c>
    </row>
    <row r="935" spans="1:6" x14ac:dyDescent="0.2">
      <c r="A935" s="1">
        <v>44663</v>
      </c>
      <c r="B935" s="5" t="s">
        <v>6</v>
      </c>
      <c r="C935" s="2">
        <v>1164</v>
      </c>
      <c r="D935" s="2">
        <v>277</v>
      </c>
      <c r="E935" s="3">
        <v>4449.95</v>
      </c>
      <c r="F935" s="4" t="str">
        <f>IF(campaignData[[#This Row],[Campaign]]="Old_Campaign", "A", "B")</f>
        <v>B</v>
      </c>
    </row>
    <row r="936" spans="1:6" x14ac:dyDescent="0.2">
      <c r="A936" s="1">
        <v>44664</v>
      </c>
      <c r="B936" s="5" t="s">
        <v>5</v>
      </c>
      <c r="C936" s="2">
        <v>1204</v>
      </c>
      <c r="D936" s="2">
        <v>232</v>
      </c>
      <c r="E936" s="3">
        <v>2379.5500000000002</v>
      </c>
      <c r="F936" s="4" t="str">
        <f>IF(campaignData[[#This Row],[Campaign]]="Old_Campaign", "A", "B")</f>
        <v>A</v>
      </c>
    </row>
    <row r="937" spans="1:6" x14ac:dyDescent="0.2">
      <c r="A937" s="1">
        <v>44664</v>
      </c>
      <c r="B937" s="5" t="s">
        <v>6</v>
      </c>
      <c r="C937" s="2">
        <v>1100</v>
      </c>
      <c r="D937" s="2">
        <v>277</v>
      </c>
      <c r="E937" s="3">
        <v>5563.31</v>
      </c>
      <c r="F937" s="4" t="str">
        <f>IF(campaignData[[#This Row],[Campaign]]="Old_Campaign", "A", "B")</f>
        <v>B</v>
      </c>
    </row>
    <row r="938" spans="1:6" x14ac:dyDescent="0.2">
      <c r="A938" s="1">
        <v>44665</v>
      </c>
      <c r="B938" s="5" t="s">
        <v>5</v>
      </c>
      <c r="C938" s="2">
        <v>1151</v>
      </c>
      <c r="D938" s="2">
        <v>225</v>
      </c>
      <c r="E938" s="3">
        <v>3066.17</v>
      </c>
      <c r="F938" s="4" t="str">
        <f>IF(campaignData[[#This Row],[Campaign]]="Old_Campaign", "A", "B")</f>
        <v>A</v>
      </c>
    </row>
    <row r="939" spans="1:6" x14ac:dyDescent="0.2">
      <c r="A939" s="1">
        <v>44665</v>
      </c>
      <c r="B939" s="5" t="s">
        <v>6</v>
      </c>
      <c r="C939" s="2">
        <v>1221</v>
      </c>
      <c r="D939" s="2">
        <v>265</v>
      </c>
      <c r="E939" s="3">
        <v>3480.68</v>
      </c>
      <c r="F939" s="4" t="str">
        <f>IF(campaignData[[#This Row],[Campaign]]="Old_Campaign", "A", "B")</f>
        <v>B</v>
      </c>
    </row>
    <row r="940" spans="1:6" x14ac:dyDescent="0.2">
      <c r="A940" s="1">
        <v>44666</v>
      </c>
      <c r="B940" s="5" t="s">
        <v>5</v>
      </c>
      <c r="C940" s="2">
        <v>1177</v>
      </c>
      <c r="D940" s="2">
        <v>211</v>
      </c>
      <c r="E940" s="3">
        <v>2784.92</v>
      </c>
      <c r="F940" s="4" t="str">
        <f>IF(campaignData[[#This Row],[Campaign]]="Old_Campaign", "A", "B")</f>
        <v>A</v>
      </c>
    </row>
    <row r="941" spans="1:6" x14ac:dyDescent="0.2">
      <c r="A941" s="1">
        <v>44666</v>
      </c>
      <c r="B941" s="5" t="s">
        <v>6</v>
      </c>
      <c r="C941" s="2">
        <v>1213</v>
      </c>
      <c r="D941" s="2">
        <v>303</v>
      </c>
      <c r="E941" s="3">
        <v>4263.6899999999996</v>
      </c>
      <c r="F941" s="4" t="str">
        <f>IF(campaignData[[#This Row],[Campaign]]="Old_Campaign", "A", "B")</f>
        <v>B</v>
      </c>
    </row>
    <row r="942" spans="1:6" x14ac:dyDescent="0.2">
      <c r="A942" s="1">
        <v>44667</v>
      </c>
      <c r="B942" s="5" t="s">
        <v>5</v>
      </c>
      <c r="C942" s="2">
        <v>1256</v>
      </c>
      <c r="D942" s="2">
        <v>230</v>
      </c>
      <c r="E942" s="3">
        <v>3698.82</v>
      </c>
      <c r="F942" s="4" t="str">
        <f>IF(campaignData[[#This Row],[Campaign]]="Old_Campaign", "A", "B")</f>
        <v>A</v>
      </c>
    </row>
    <row r="943" spans="1:6" x14ac:dyDescent="0.2">
      <c r="A943" s="1">
        <v>44667</v>
      </c>
      <c r="B943" s="5" t="s">
        <v>6</v>
      </c>
      <c r="C943" s="2">
        <v>1146</v>
      </c>
      <c r="D943" s="2">
        <v>268</v>
      </c>
      <c r="E943" s="3">
        <v>4757.63</v>
      </c>
      <c r="F943" s="4" t="str">
        <f>IF(campaignData[[#This Row],[Campaign]]="Old_Campaign", "A", "B")</f>
        <v>B</v>
      </c>
    </row>
    <row r="944" spans="1:6" x14ac:dyDescent="0.2">
      <c r="A944" s="1">
        <v>44668</v>
      </c>
      <c r="B944" s="5" t="s">
        <v>5</v>
      </c>
      <c r="C944" s="2">
        <v>1264</v>
      </c>
      <c r="D944" s="2">
        <v>239</v>
      </c>
      <c r="E944" s="3">
        <v>3417.29</v>
      </c>
      <c r="F944" s="4" t="str">
        <f>IF(campaignData[[#This Row],[Campaign]]="Old_Campaign", "A", "B")</f>
        <v>A</v>
      </c>
    </row>
    <row r="945" spans="1:6" x14ac:dyDescent="0.2">
      <c r="A945" s="1">
        <v>44668</v>
      </c>
      <c r="B945" s="5" t="s">
        <v>6</v>
      </c>
      <c r="C945" s="2">
        <v>1136</v>
      </c>
      <c r="D945" s="2">
        <v>264</v>
      </c>
      <c r="E945" s="3">
        <v>3052.71</v>
      </c>
      <c r="F945" s="4" t="str">
        <f>IF(campaignData[[#This Row],[Campaign]]="Old_Campaign", "A", "B")</f>
        <v>B</v>
      </c>
    </row>
    <row r="946" spans="1:6" x14ac:dyDescent="0.2">
      <c r="A946" s="1">
        <v>44669</v>
      </c>
      <c r="B946" s="5" t="s">
        <v>5</v>
      </c>
      <c r="C946" s="2">
        <v>1154</v>
      </c>
      <c r="D946" s="2">
        <v>205</v>
      </c>
      <c r="E946" s="3">
        <v>2344.73</v>
      </c>
      <c r="F946" s="4" t="str">
        <f>IF(campaignData[[#This Row],[Campaign]]="Old_Campaign", "A", "B")</f>
        <v>A</v>
      </c>
    </row>
    <row r="947" spans="1:6" x14ac:dyDescent="0.2">
      <c r="A947" s="1">
        <v>44669</v>
      </c>
      <c r="B947" s="5" t="s">
        <v>6</v>
      </c>
      <c r="C947" s="2">
        <v>1090</v>
      </c>
      <c r="D947" s="2">
        <v>257</v>
      </c>
      <c r="E947" s="3">
        <v>2965.54</v>
      </c>
      <c r="F947" s="4" t="str">
        <f>IF(campaignData[[#This Row],[Campaign]]="Old_Campaign", "A", "B")</f>
        <v>B</v>
      </c>
    </row>
    <row r="948" spans="1:6" x14ac:dyDescent="0.2">
      <c r="A948" s="1">
        <v>44670</v>
      </c>
      <c r="B948" s="5" t="s">
        <v>5</v>
      </c>
      <c r="C948" s="2">
        <v>1192</v>
      </c>
      <c r="D948" s="2">
        <v>243</v>
      </c>
      <c r="E948" s="3">
        <v>2985.53</v>
      </c>
      <c r="F948" s="4" t="str">
        <f>IF(campaignData[[#This Row],[Campaign]]="Old_Campaign", "A", "B")</f>
        <v>A</v>
      </c>
    </row>
    <row r="949" spans="1:6" x14ac:dyDescent="0.2">
      <c r="A949" s="1">
        <v>44670</v>
      </c>
      <c r="B949" s="5" t="s">
        <v>6</v>
      </c>
      <c r="C949" s="2">
        <v>1099</v>
      </c>
      <c r="D949" s="2">
        <v>232</v>
      </c>
      <c r="E949" s="3">
        <v>3815.54</v>
      </c>
      <c r="F949" s="4" t="str">
        <f>IF(campaignData[[#This Row],[Campaign]]="Old_Campaign", "A", "B")</f>
        <v>B</v>
      </c>
    </row>
    <row r="950" spans="1:6" x14ac:dyDescent="0.2">
      <c r="A950" s="1">
        <v>44671</v>
      </c>
      <c r="B950" s="5" t="s">
        <v>5</v>
      </c>
      <c r="C950" s="2">
        <v>1194</v>
      </c>
      <c r="D950" s="2">
        <v>247</v>
      </c>
      <c r="E950" s="3">
        <v>3942.49</v>
      </c>
      <c r="F950" s="4" t="str">
        <f>IF(campaignData[[#This Row],[Campaign]]="Old_Campaign", "A", "B")</f>
        <v>A</v>
      </c>
    </row>
    <row r="951" spans="1:6" x14ac:dyDescent="0.2">
      <c r="A951" s="1">
        <v>44671</v>
      </c>
      <c r="B951" s="5" t="s">
        <v>6</v>
      </c>
      <c r="C951" s="2">
        <v>1116</v>
      </c>
      <c r="D951" s="2">
        <v>262</v>
      </c>
      <c r="E951" s="3">
        <v>4976.28</v>
      </c>
      <c r="F951" s="4" t="str">
        <f>IF(campaignData[[#This Row],[Campaign]]="Old_Campaign", "A", "B")</f>
        <v>B</v>
      </c>
    </row>
    <row r="952" spans="1:6" x14ac:dyDescent="0.2">
      <c r="A952" s="1">
        <v>44672</v>
      </c>
      <c r="B952" s="5" t="s">
        <v>5</v>
      </c>
      <c r="C952" s="2">
        <v>1209</v>
      </c>
      <c r="D952" s="2">
        <v>228</v>
      </c>
      <c r="E952" s="3">
        <v>3998.05</v>
      </c>
      <c r="F952" s="4" t="str">
        <f>IF(campaignData[[#This Row],[Campaign]]="Old_Campaign", "A", "B")</f>
        <v>A</v>
      </c>
    </row>
    <row r="953" spans="1:6" x14ac:dyDescent="0.2">
      <c r="A953" s="1">
        <v>44672</v>
      </c>
      <c r="B953" s="5" t="s">
        <v>6</v>
      </c>
      <c r="C953" s="2">
        <v>1133</v>
      </c>
      <c r="D953" s="2">
        <v>278</v>
      </c>
      <c r="E953" s="3">
        <v>4608.53</v>
      </c>
      <c r="F953" s="4" t="str">
        <f>IF(campaignData[[#This Row],[Campaign]]="Old_Campaign", "A", "B")</f>
        <v>B</v>
      </c>
    </row>
    <row r="954" spans="1:6" x14ac:dyDescent="0.2">
      <c r="A954" s="1">
        <v>44673</v>
      </c>
      <c r="B954" s="5" t="s">
        <v>5</v>
      </c>
      <c r="C954" s="2">
        <v>1212</v>
      </c>
      <c r="D954" s="2">
        <v>222</v>
      </c>
      <c r="E954" s="3">
        <v>3072.47</v>
      </c>
      <c r="F954" s="4" t="str">
        <f>IF(campaignData[[#This Row],[Campaign]]="Old_Campaign", "A", "B")</f>
        <v>A</v>
      </c>
    </row>
    <row r="955" spans="1:6" x14ac:dyDescent="0.2">
      <c r="A955" s="1">
        <v>44673</v>
      </c>
      <c r="B955" s="5" t="s">
        <v>6</v>
      </c>
      <c r="C955" s="2">
        <v>1105</v>
      </c>
      <c r="D955" s="2">
        <v>259</v>
      </c>
      <c r="E955" s="3">
        <v>3544.98</v>
      </c>
      <c r="F955" s="4" t="str">
        <f>IF(campaignData[[#This Row],[Campaign]]="Old_Campaign", "A", "B")</f>
        <v>B</v>
      </c>
    </row>
    <row r="956" spans="1:6" x14ac:dyDescent="0.2">
      <c r="A956" s="1">
        <v>44674</v>
      </c>
      <c r="B956" s="5" t="s">
        <v>5</v>
      </c>
      <c r="C956" s="2">
        <v>1235</v>
      </c>
      <c r="D956" s="2">
        <v>239</v>
      </c>
      <c r="E956" s="3">
        <v>3989.29</v>
      </c>
      <c r="F956" s="4" t="str">
        <f>IF(campaignData[[#This Row],[Campaign]]="Old_Campaign", "A", "B")</f>
        <v>A</v>
      </c>
    </row>
    <row r="957" spans="1:6" x14ac:dyDescent="0.2">
      <c r="A957" s="1">
        <v>44674</v>
      </c>
      <c r="B957" s="5" t="s">
        <v>6</v>
      </c>
      <c r="C957" s="2">
        <v>1078</v>
      </c>
      <c r="D957" s="2">
        <v>260</v>
      </c>
      <c r="E957" s="3">
        <v>4427.3100000000004</v>
      </c>
      <c r="F957" s="4" t="str">
        <f>IF(campaignData[[#This Row],[Campaign]]="Old_Campaign", "A", "B")</f>
        <v>B</v>
      </c>
    </row>
    <row r="958" spans="1:6" x14ac:dyDescent="0.2">
      <c r="A958" s="1">
        <v>44675</v>
      </c>
      <c r="B958" s="5" t="s">
        <v>5</v>
      </c>
      <c r="C958" s="2">
        <v>1214</v>
      </c>
      <c r="D958" s="2">
        <v>249</v>
      </c>
      <c r="E958" s="3">
        <v>3314.11</v>
      </c>
      <c r="F958" s="4" t="str">
        <f>IF(campaignData[[#This Row],[Campaign]]="Old_Campaign", "A", "B")</f>
        <v>A</v>
      </c>
    </row>
    <row r="959" spans="1:6" x14ac:dyDescent="0.2">
      <c r="A959" s="1">
        <v>44675</v>
      </c>
      <c r="B959" s="5" t="s">
        <v>6</v>
      </c>
      <c r="C959" s="2">
        <v>1122</v>
      </c>
      <c r="D959" s="2">
        <v>283</v>
      </c>
      <c r="E959" s="3">
        <v>4841.22</v>
      </c>
      <c r="F959" s="4" t="str">
        <f>IF(campaignData[[#This Row],[Campaign]]="Old_Campaign", "A", "B")</f>
        <v>B</v>
      </c>
    </row>
    <row r="960" spans="1:6" x14ac:dyDescent="0.2">
      <c r="A960" s="1">
        <v>44676</v>
      </c>
      <c r="B960" s="5" t="s">
        <v>5</v>
      </c>
      <c r="C960" s="2">
        <v>1158</v>
      </c>
      <c r="D960" s="2">
        <v>217</v>
      </c>
      <c r="E960" s="3">
        <v>3426.61</v>
      </c>
      <c r="F960" s="4" t="str">
        <f>IF(campaignData[[#This Row],[Campaign]]="Old_Campaign", "A", "B")</f>
        <v>A</v>
      </c>
    </row>
    <row r="961" spans="1:6" x14ac:dyDescent="0.2">
      <c r="A961" s="1">
        <v>44676</v>
      </c>
      <c r="B961" s="5" t="s">
        <v>6</v>
      </c>
      <c r="C961" s="2">
        <v>1122</v>
      </c>
      <c r="D961" s="2">
        <v>251</v>
      </c>
      <c r="E961" s="3">
        <v>3535.3</v>
      </c>
      <c r="F961" s="4" t="str">
        <f>IF(campaignData[[#This Row],[Campaign]]="Old_Campaign", "A", "B")</f>
        <v>B</v>
      </c>
    </row>
    <row r="962" spans="1:6" x14ac:dyDescent="0.2">
      <c r="A962" s="1">
        <v>44677</v>
      </c>
      <c r="B962" s="5" t="s">
        <v>5</v>
      </c>
      <c r="C962" s="2">
        <v>1195</v>
      </c>
      <c r="D962" s="2">
        <v>262</v>
      </c>
      <c r="E962" s="3">
        <v>3427.6</v>
      </c>
      <c r="F962" s="4" t="str">
        <f>IF(campaignData[[#This Row],[Campaign]]="Old_Campaign", "A", "B")</f>
        <v>A</v>
      </c>
    </row>
    <row r="963" spans="1:6" x14ac:dyDescent="0.2">
      <c r="A963" s="1">
        <v>44677</v>
      </c>
      <c r="B963" s="5" t="s">
        <v>6</v>
      </c>
      <c r="C963" s="2">
        <v>1156</v>
      </c>
      <c r="D963" s="2">
        <v>291</v>
      </c>
      <c r="E963" s="3">
        <v>3868.84</v>
      </c>
      <c r="F963" s="4" t="str">
        <f>IF(campaignData[[#This Row],[Campaign]]="Old_Campaign", "A", "B")</f>
        <v>B</v>
      </c>
    </row>
    <row r="964" spans="1:6" x14ac:dyDescent="0.2">
      <c r="A964" s="1">
        <v>44678</v>
      </c>
      <c r="B964" s="5" t="s">
        <v>5</v>
      </c>
      <c r="C964" s="2">
        <v>1251</v>
      </c>
      <c r="D964" s="2">
        <v>218</v>
      </c>
      <c r="E964" s="3">
        <v>3556.78</v>
      </c>
      <c r="F964" s="4" t="str">
        <f>IF(campaignData[[#This Row],[Campaign]]="Old_Campaign", "A", "B")</f>
        <v>A</v>
      </c>
    </row>
    <row r="965" spans="1:6" x14ac:dyDescent="0.2">
      <c r="A965" s="1">
        <v>44678</v>
      </c>
      <c r="B965" s="5" t="s">
        <v>6</v>
      </c>
      <c r="C965" s="2">
        <v>1168</v>
      </c>
      <c r="D965" s="2">
        <v>267</v>
      </c>
      <c r="E965" s="3">
        <v>4234.87</v>
      </c>
      <c r="F965" s="4" t="str">
        <f>IF(campaignData[[#This Row],[Campaign]]="Old_Campaign", "A", "B")</f>
        <v>B</v>
      </c>
    </row>
    <row r="966" spans="1:6" x14ac:dyDescent="0.2">
      <c r="A966" s="1">
        <v>44679</v>
      </c>
      <c r="B966" s="5" t="s">
        <v>5</v>
      </c>
      <c r="C966" s="2">
        <v>1145</v>
      </c>
      <c r="D966" s="2">
        <v>210</v>
      </c>
      <c r="E966" s="3">
        <v>2974.68</v>
      </c>
      <c r="F966" s="4" t="str">
        <f>IF(campaignData[[#This Row],[Campaign]]="Old_Campaign", "A", "B")</f>
        <v>A</v>
      </c>
    </row>
    <row r="967" spans="1:6" x14ac:dyDescent="0.2">
      <c r="A967" s="1">
        <v>44679</v>
      </c>
      <c r="B967" s="5" t="s">
        <v>6</v>
      </c>
      <c r="C967" s="2">
        <v>1106</v>
      </c>
      <c r="D967" s="2">
        <v>260</v>
      </c>
      <c r="E967" s="3">
        <v>4338.91</v>
      </c>
      <c r="F967" s="4" t="str">
        <f>IF(campaignData[[#This Row],[Campaign]]="Old_Campaign", "A", "B")</f>
        <v>B</v>
      </c>
    </row>
    <row r="968" spans="1:6" x14ac:dyDescent="0.2">
      <c r="A968" s="1">
        <v>44680</v>
      </c>
      <c r="B968" s="5" t="s">
        <v>5</v>
      </c>
      <c r="C968" s="2">
        <v>1162</v>
      </c>
      <c r="D968" s="2">
        <v>227</v>
      </c>
      <c r="E968" s="3">
        <v>3630.37</v>
      </c>
      <c r="F968" s="4" t="str">
        <f>IF(campaignData[[#This Row],[Campaign]]="Old_Campaign", "A", "B")</f>
        <v>A</v>
      </c>
    </row>
    <row r="969" spans="1:6" x14ac:dyDescent="0.2">
      <c r="A969" s="1">
        <v>44680</v>
      </c>
      <c r="B969" s="5" t="s">
        <v>6</v>
      </c>
      <c r="C969" s="2">
        <v>1168</v>
      </c>
      <c r="D969" s="2">
        <v>288</v>
      </c>
      <c r="E969" s="3">
        <v>5803.24</v>
      </c>
      <c r="F969" s="4" t="str">
        <f>IF(campaignData[[#This Row],[Campaign]]="Old_Campaign", "A", "B")</f>
        <v>B</v>
      </c>
    </row>
    <row r="970" spans="1:6" x14ac:dyDescent="0.2">
      <c r="A970" s="1">
        <v>44681</v>
      </c>
      <c r="B970" s="5" t="s">
        <v>5</v>
      </c>
      <c r="C970" s="2">
        <v>1109</v>
      </c>
      <c r="D970" s="2">
        <v>230</v>
      </c>
      <c r="E970" s="3">
        <v>3680.38</v>
      </c>
      <c r="F970" s="4" t="str">
        <f>IF(campaignData[[#This Row],[Campaign]]="Old_Campaign", "A", "B")</f>
        <v>A</v>
      </c>
    </row>
    <row r="971" spans="1:6" x14ac:dyDescent="0.2">
      <c r="A971" s="1">
        <v>44681</v>
      </c>
      <c r="B971" s="5" t="s">
        <v>6</v>
      </c>
      <c r="C971" s="2">
        <v>1123</v>
      </c>
      <c r="D971" s="2">
        <v>241</v>
      </c>
      <c r="E971" s="3">
        <v>3432.58</v>
      </c>
      <c r="F971" s="4" t="str">
        <f>IF(campaignData[[#This Row],[Campaign]]="Old_Campaign", "A", "B")</f>
        <v>B</v>
      </c>
    </row>
    <row r="972" spans="1:6" x14ac:dyDescent="0.2">
      <c r="A972" s="1">
        <v>44682</v>
      </c>
      <c r="B972" s="5" t="s">
        <v>5</v>
      </c>
      <c r="C972" s="2">
        <v>1256</v>
      </c>
      <c r="D972" s="2">
        <v>252</v>
      </c>
      <c r="E972" s="3">
        <v>2862.17</v>
      </c>
      <c r="F972" s="4" t="str">
        <f>IF(campaignData[[#This Row],[Campaign]]="Old_Campaign", "A", "B")</f>
        <v>A</v>
      </c>
    </row>
    <row r="973" spans="1:6" x14ac:dyDescent="0.2">
      <c r="A973" s="1">
        <v>44682</v>
      </c>
      <c r="B973" s="5" t="s">
        <v>6</v>
      </c>
      <c r="C973" s="2">
        <v>1219</v>
      </c>
      <c r="D973" s="2">
        <v>289</v>
      </c>
      <c r="E973" s="3">
        <v>4278.55</v>
      </c>
      <c r="F973" s="4" t="str">
        <f>IF(campaignData[[#This Row],[Campaign]]="Old_Campaign", "A", "B")</f>
        <v>B</v>
      </c>
    </row>
    <row r="974" spans="1:6" x14ac:dyDescent="0.2">
      <c r="A974" s="1">
        <v>44683</v>
      </c>
      <c r="B974" s="5" t="s">
        <v>5</v>
      </c>
      <c r="C974" s="2">
        <v>1176</v>
      </c>
      <c r="D974" s="2">
        <v>230</v>
      </c>
      <c r="E974" s="3">
        <v>3851.5</v>
      </c>
      <c r="F974" s="4" t="str">
        <f>IF(campaignData[[#This Row],[Campaign]]="Old_Campaign", "A", "B")</f>
        <v>A</v>
      </c>
    </row>
    <row r="975" spans="1:6" x14ac:dyDescent="0.2">
      <c r="A975" s="1">
        <v>44683</v>
      </c>
      <c r="B975" s="5" t="s">
        <v>6</v>
      </c>
      <c r="C975" s="2">
        <v>1162</v>
      </c>
      <c r="D975" s="2">
        <v>274</v>
      </c>
      <c r="E975" s="3">
        <v>3854.55</v>
      </c>
      <c r="F975" s="4" t="str">
        <f>IF(campaignData[[#This Row],[Campaign]]="Old_Campaign", "A", "B")</f>
        <v>B</v>
      </c>
    </row>
    <row r="976" spans="1:6" x14ac:dyDescent="0.2">
      <c r="A976" s="1">
        <v>44684</v>
      </c>
      <c r="B976" s="5" t="s">
        <v>5</v>
      </c>
      <c r="C976" s="2">
        <v>1215</v>
      </c>
      <c r="D976" s="2">
        <v>253</v>
      </c>
      <c r="E976" s="3">
        <v>4195.68</v>
      </c>
      <c r="F976" s="4" t="str">
        <f>IF(campaignData[[#This Row],[Campaign]]="Old_Campaign", "A", "B")</f>
        <v>A</v>
      </c>
    </row>
    <row r="977" spans="1:6" x14ac:dyDescent="0.2">
      <c r="A977" s="1">
        <v>44684</v>
      </c>
      <c r="B977" s="5" t="s">
        <v>6</v>
      </c>
      <c r="C977" s="2">
        <v>1126</v>
      </c>
      <c r="D977" s="2">
        <v>287</v>
      </c>
      <c r="E977" s="3">
        <v>4264.45</v>
      </c>
      <c r="F977" s="4" t="str">
        <f>IF(campaignData[[#This Row],[Campaign]]="Old_Campaign", "A", "B")</f>
        <v>B</v>
      </c>
    </row>
    <row r="978" spans="1:6" x14ac:dyDescent="0.2">
      <c r="A978" s="1">
        <v>44685</v>
      </c>
      <c r="B978" s="5" t="s">
        <v>5</v>
      </c>
      <c r="C978" s="2">
        <v>1200</v>
      </c>
      <c r="D978" s="2">
        <v>208</v>
      </c>
      <c r="E978" s="3">
        <v>2871.89</v>
      </c>
      <c r="F978" s="4" t="str">
        <f>IF(campaignData[[#This Row],[Campaign]]="Old_Campaign", "A", "B")</f>
        <v>A</v>
      </c>
    </row>
    <row r="979" spans="1:6" x14ac:dyDescent="0.2">
      <c r="A979" s="1">
        <v>44685</v>
      </c>
      <c r="B979" s="5" t="s">
        <v>6</v>
      </c>
      <c r="C979" s="2">
        <v>1127</v>
      </c>
      <c r="D979" s="2">
        <v>272</v>
      </c>
      <c r="E979" s="3">
        <v>4189.25</v>
      </c>
      <c r="F979" s="4" t="str">
        <f>IF(campaignData[[#This Row],[Campaign]]="Old_Campaign", "A", "B")</f>
        <v>B</v>
      </c>
    </row>
    <row r="980" spans="1:6" x14ac:dyDescent="0.2">
      <c r="A980" s="1">
        <v>44686</v>
      </c>
      <c r="B980" s="5" t="s">
        <v>5</v>
      </c>
      <c r="C980" s="2">
        <v>1213</v>
      </c>
      <c r="D980" s="2">
        <v>211</v>
      </c>
      <c r="E980" s="3">
        <v>2925.98</v>
      </c>
      <c r="F980" s="4" t="str">
        <f>IF(campaignData[[#This Row],[Campaign]]="Old_Campaign", "A", "B")</f>
        <v>A</v>
      </c>
    </row>
    <row r="981" spans="1:6" x14ac:dyDescent="0.2">
      <c r="A981" s="1">
        <v>44686</v>
      </c>
      <c r="B981" s="5" t="s">
        <v>6</v>
      </c>
      <c r="C981" s="2">
        <v>1087</v>
      </c>
      <c r="D981" s="2">
        <v>240</v>
      </c>
      <c r="E981" s="3">
        <v>4239.18</v>
      </c>
      <c r="F981" s="4" t="str">
        <f>IF(campaignData[[#This Row],[Campaign]]="Old_Campaign", "A", "B")</f>
        <v>B</v>
      </c>
    </row>
    <row r="982" spans="1:6" x14ac:dyDescent="0.2">
      <c r="A982" s="1">
        <v>44687</v>
      </c>
      <c r="B982" s="5" t="s">
        <v>5</v>
      </c>
      <c r="C982" s="2">
        <v>1264</v>
      </c>
      <c r="D982" s="2">
        <v>251</v>
      </c>
      <c r="E982" s="3">
        <v>4277.8</v>
      </c>
      <c r="F982" s="4" t="str">
        <f>IF(campaignData[[#This Row],[Campaign]]="Old_Campaign", "A", "B")</f>
        <v>A</v>
      </c>
    </row>
    <row r="983" spans="1:6" x14ac:dyDescent="0.2">
      <c r="A983" s="1">
        <v>44687</v>
      </c>
      <c r="B983" s="5" t="s">
        <v>6</v>
      </c>
      <c r="C983" s="2">
        <v>1114</v>
      </c>
      <c r="D983" s="2">
        <v>281</v>
      </c>
      <c r="E983" s="3">
        <v>5012.43</v>
      </c>
      <c r="F983" s="4" t="str">
        <f>IF(campaignData[[#This Row],[Campaign]]="Old_Campaign", "A", "B")</f>
        <v>B</v>
      </c>
    </row>
    <row r="984" spans="1:6" x14ac:dyDescent="0.2">
      <c r="A984" s="1">
        <v>44688</v>
      </c>
      <c r="B984" s="5" t="s">
        <v>5</v>
      </c>
      <c r="C984" s="2">
        <v>1186</v>
      </c>
      <c r="D984" s="2">
        <v>231</v>
      </c>
      <c r="E984" s="3">
        <v>3659.86</v>
      </c>
      <c r="F984" s="4" t="str">
        <f>IF(campaignData[[#This Row],[Campaign]]="Old_Campaign", "A", "B")</f>
        <v>A</v>
      </c>
    </row>
    <row r="985" spans="1:6" x14ac:dyDescent="0.2">
      <c r="A985" s="1">
        <v>44688</v>
      </c>
      <c r="B985" s="5" t="s">
        <v>6</v>
      </c>
      <c r="C985" s="2">
        <v>1198</v>
      </c>
      <c r="D985" s="2">
        <v>283</v>
      </c>
      <c r="E985" s="3">
        <v>5269.57</v>
      </c>
      <c r="F985" s="4" t="str">
        <f>IF(campaignData[[#This Row],[Campaign]]="Old_Campaign", "A", "B")</f>
        <v>B</v>
      </c>
    </row>
    <row r="986" spans="1:6" x14ac:dyDescent="0.2">
      <c r="A986" s="1">
        <v>44689</v>
      </c>
      <c r="B986" s="5" t="s">
        <v>5</v>
      </c>
      <c r="C986" s="2">
        <v>1192</v>
      </c>
      <c r="D986" s="2">
        <v>229</v>
      </c>
      <c r="E986" s="3">
        <v>3276.91</v>
      </c>
      <c r="F986" s="4" t="str">
        <f>IF(campaignData[[#This Row],[Campaign]]="Old_Campaign", "A", "B")</f>
        <v>A</v>
      </c>
    </row>
    <row r="987" spans="1:6" x14ac:dyDescent="0.2">
      <c r="A987" s="1">
        <v>44689</v>
      </c>
      <c r="B987" s="5" t="s">
        <v>6</v>
      </c>
      <c r="C987" s="2">
        <v>1119</v>
      </c>
      <c r="D987" s="2">
        <v>257</v>
      </c>
      <c r="E987" s="3">
        <v>4363.4799999999996</v>
      </c>
      <c r="F987" s="4" t="str">
        <f>IF(campaignData[[#This Row],[Campaign]]="Old_Campaign", "A", "B")</f>
        <v>B</v>
      </c>
    </row>
    <row r="988" spans="1:6" x14ac:dyDescent="0.2">
      <c r="A988" s="1">
        <v>44690</v>
      </c>
      <c r="B988" s="5" t="s">
        <v>5</v>
      </c>
      <c r="C988" s="2">
        <v>1241</v>
      </c>
      <c r="D988" s="2">
        <v>232</v>
      </c>
      <c r="E988" s="3">
        <v>3505.92</v>
      </c>
      <c r="F988" s="4" t="str">
        <f>IF(campaignData[[#This Row],[Campaign]]="Old_Campaign", "A", "B")</f>
        <v>A</v>
      </c>
    </row>
    <row r="989" spans="1:6" x14ac:dyDescent="0.2">
      <c r="A989" s="1">
        <v>44690</v>
      </c>
      <c r="B989" s="5" t="s">
        <v>6</v>
      </c>
      <c r="C989" s="2">
        <v>1146</v>
      </c>
      <c r="D989" s="2">
        <v>252</v>
      </c>
      <c r="E989" s="3">
        <v>3875.94</v>
      </c>
      <c r="F989" s="4" t="str">
        <f>IF(campaignData[[#This Row],[Campaign]]="Old_Campaign", "A", "B")</f>
        <v>B</v>
      </c>
    </row>
    <row r="990" spans="1:6" x14ac:dyDescent="0.2">
      <c r="A990" s="1">
        <v>44691</v>
      </c>
      <c r="B990" s="5" t="s">
        <v>5</v>
      </c>
      <c r="C990" s="2">
        <v>1223</v>
      </c>
      <c r="D990" s="2">
        <v>222</v>
      </c>
      <c r="E990" s="3">
        <v>3488.18</v>
      </c>
      <c r="F990" s="4" t="str">
        <f>IF(campaignData[[#This Row],[Campaign]]="Old_Campaign", "A", "B")</f>
        <v>A</v>
      </c>
    </row>
    <row r="991" spans="1:6" x14ac:dyDescent="0.2">
      <c r="A991" s="1">
        <v>44691</v>
      </c>
      <c r="B991" s="5" t="s">
        <v>6</v>
      </c>
      <c r="C991" s="2">
        <v>1119</v>
      </c>
      <c r="D991" s="2">
        <v>261</v>
      </c>
      <c r="E991" s="3">
        <v>4834.51</v>
      </c>
      <c r="F991" s="4" t="str">
        <f>IF(campaignData[[#This Row],[Campaign]]="Old_Campaign", "A", "B")</f>
        <v>B</v>
      </c>
    </row>
    <row r="992" spans="1:6" x14ac:dyDescent="0.2">
      <c r="A992" s="1">
        <v>44692</v>
      </c>
      <c r="B992" s="5" t="s">
        <v>5</v>
      </c>
      <c r="C992" s="2">
        <v>1192</v>
      </c>
      <c r="D992" s="2">
        <v>232</v>
      </c>
      <c r="E992" s="3">
        <v>3722.78</v>
      </c>
      <c r="F992" s="4" t="str">
        <f>IF(campaignData[[#This Row],[Campaign]]="Old_Campaign", "A", "B")</f>
        <v>A</v>
      </c>
    </row>
    <row r="993" spans="1:6" x14ac:dyDescent="0.2">
      <c r="A993" s="1">
        <v>44692</v>
      </c>
      <c r="B993" s="5" t="s">
        <v>6</v>
      </c>
      <c r="C993" s="2">
        <v>1148</v>
      </c>
      <c r="D993" s="2">
        <v>263</v>
      </c>
      <c r="E993" s="3">
        <v>3566.11</v>
      </c>
      <c r="F993" s="4" t="str">
        <f>IF(campaignData[[#This Row],[Campaign]]="Old_Campaign", "A", "B")</f>
        <v>B</v>
      </c>
    </row>
    <row r="994" spans="1:6" x14ac:dyDescent="0.2">
      <c r="A994" s="1">
        <v>44693</v>
      </c>
      <c r="B994" s="5" t="s">
        <v>5</v>
      </c>
      <c r="C994" s="2">
        <v>1233</v>
      </c>
      <c r="D994" s="2">
        <v>249</v>
      </c>
      <c r="E994" s="3">
        <v>2929.88</v>
      </c>
      <c r="F994" s="4" t="str">
        <f>IF(campaignData[[#This Row],[Campaign]]="Old_Campaign", "A", "B")</f>
        <v>A</v>
      </c>
    </row>
    <row r="995" spans="1:6" x14ac:dyDescent="0.2">
      <c r="A995" s="1">
        <v>44693</v>
      </c>
      <c r="B995" s="5" t="s">
        <v>6</v>
      </c>
      <c r="C995" s="2">
        <v>1206</v>
      </c>
      <c r="D995" s="2">
        <v>289</v>
      </c>
      <c r="E995" s="3">
        <v>4491.42</v>
      </c>
      <c r="F995" s="4" t="str">
        <f>IF(campaignData[[#This Row],[Campaign]]="Old_Campaign", "A", "B")</f>
        <v>B</v>
      </c>
    </row>
    <row r="996" spans="1:6" x14ac:dyDescent="0.2">
      <c r="A996" s="1">
        <v>44694</v>
      </c>
      <c r="B996" s="5" t="s">
        <v>5</v>
      </c>
      <c r="C996" s="2">
        <v>1155</v>
      </c>
      <c r="D996" s="2">
        <v>207</v>
      </c>
      <c r="E996" s="3">
        <v>3718.53</v>
      </c>
      <c r="F996" s="4" t="str">
        <f>IF(campaignData[[#This Row],[Campaign]]="Old_Campaign", "A", "B")</f>
        <v>A</v>
      </c>
    </row>
    <row r="997" spans="1:6" x14ac:dyDescent="0.2">
      <c r="A997" s="1">
        <v>44694</v>
      </c>
      <c r="B997" s="5" t="s">
        <v>6</v>
      </c>
      <c r="C997" s="2">
        <v>1120</v>
      </c>
      <c r="D997" s="2">
        <v>249</v>
      </c>
      <c r="E997" s="3">
        <v>3842.96</v>
      </c>
      <c r="F997" s="4" t="str">
        <f>IF(campaignData[[#This Row],[Campaign]]="Old_Campaign", "A", "B")</f>
        <v>B</v>
      </c>
    </row>
    <row r="998" spans="1:6" x14ac:dyDescent="0.2">
      <c r="A998" s="1">
        <v>44695</v>
      </c>
      <c r="B998" s="5" t="s">
        <v>5</v>
      </c>
      <c r="C998" s="2">
        <v>1222</v>
      </c>
      <c r="D998" s="2">
        <v>251</v>
      </c>
      <c r="E998" s="3">
        <v>4092.46</v>
      </c>
      <c r="F998" s="4" t="str">
        <f>IF(campaignData[[#This Row],[Campaign]]="Old_Campaign", "A", "B")</f>
        <v>A</v>
      </c>
    </row>
    <row r="999" spans="1:6" x14ac:dyDescent="0.2">
      <c r="A999" s="1">
        <v>44695</v>
      </c>
      <c r="B999" s="5" t="s">
        <v>6</v>
      </c>
      <c r="C999" s="2">
        <v>1114</v>
      </c>
      <c r="D999" s="2">
        <v>247</v>
      </c>
      <c r="E999" s="3">
        <v>3146.12</v>
      </c>
      <c r="F999" s="4" t="str">
        <f>IF(campaignData[[#This Row],[Campaign]]="Old_Campaign", "A", "B")</f>
        <v>B</v>
      </c>
    </row>
    <row r="1000" spans="1:6" x14ac:dyDescent="0.2">
      <c r="A1000" s="1">
        <v>44696</v>
      </c>
      <c r="B1000" s="5" t="s">
        <v>5</v>
      </c>
      <c r="C1000" s="2">
        <v>1230</v>
      </c>
      <c r="D1000" s="2">
        <v>235</v>
      </c>
      <c r="E1000" s="3">
        <v>3416.29</v>
      </c>
      <c r="F1000" s="4" t="str">
        <f>IF(campaignData[[#This Row],[Campaign]]="Old_Campaign", "A", "B")</f>
        <v>A</v>
      </c>
    </row>
    <row r="1001" spans="1:6" x14ac:dyDescent="0.2">
      <c r="A1001" s="1">
        <v>44696</v>
      </c>
      <c r="B1001" s="5" t="s">
        <v>6</v>
      </c>
      <c r="C1001" s="2">
        <v>1139</v>
      </c>
      <c r="D1001" s="2">
        <v>241</v>
      </c>
      <c r="E1001" s="3">
        <v>3578.17</v>
      </c>
      <c r="F1001" s="4" t="str">
        <f>IF(campaignData[[#This Row],[Campaign]]="Old_Campaign", "A", "B")</f>
        <v>B</v>
      </c>
    </row>
    <row r="1002" spans="1:6" x14ac:dyDescent="0.2">
      <c r="A1002" s="1">
        <v>44697</v>
      </c>
      <c r="B1002" s="5" t="s">
        <v>5</v>
      </c>
      <c r="C1002" s="2">
        <v>1172</v>
      </c>
      <c r="D1002" s="2">
        <v>232</v>
      </c>
      <c r="E1002" s="3">
        <v>3441.62</v>
      </c>
      <c r="F1002" s="4" t="str">
        <f>IF(campaignData[[#This Row],[Campaign]]="Old_Campaign", "A", "B")</f>
        <v>A</v>
      </c>
    </row>
    <row r="1003" spans="1:6" x14ac:dyDescent="0.2">
      <c r="A1003" s="1">
        <v>44697</v>
      </c>
      <c r="B1003" s="5" t="s">
        <v>6</v>
      </c>
      <c r="C1003" s="2">
        <v>1134</v>
      </c>
      <c r="D1003" s="2">
        <v>263</v>
      </c>
      <c r="E1003" s="3">
        <v>4335.87</v>
      </c>
      <c r="F1003" s="4" t="str">
        <f>IF(campaignData[[#This Row],[Campaign]]="Old_Campaign", "A", "B")</f>
        <v>B</v>
      </c>
    </row>
    <row r="1004" spans="1:6" x14ac:dyDescent="0.2">
      <c r="A1004" s="1">
        <v>44698</v>
      </c>
      <c r="B1004" s="5" t="s">
        <v>5</v>
      </c>
      <c r="C1004" s="2">
        <v>1232</v>
      </c>
      <c r="D1004" s="2">
        <v>219</v>
      </c>
      <c r="E1004" s="3">
        <v>2850.12</v>
      </c>
      <c r="F1004" s="4" t="str">
        <f>IF(campaignData[[#This Row],[Campaign]]="Old_Campaign", "A", "B")</f>
        <v>A</v>
      </c>
    </row>
    <row r="1005" spans="1:6" x14ac:dyDescent="0.2">
      <c r="A1005" s="1">
        <v>44698</v>
      </c>
      <c r="B1005" s="5" t="s">
        <v>6</v>
      </c>
      <c r="C1005" s="2">
        <v>1178</v>
      </c>
      <c r="D1005" s="2">
        <v>261</v>
      </c>
      <c r="E1005" s="3">
        <v>3421.6</v>
      </c>
      <c r="F1005" s="4" t="str">
        <f>IF(campaignData[[#This Row],[Campaign]]="Old_Campaign", "A", "B")</f>
        <v>B</v>
      </c>
    </row>
    <row r="1006" spans="1:6" x14ac:dyDescent="0.2">
      <c r="A1006" s="1">
        <v>44699</v>
      </c>
      <c r="B1006" s="5" t="s">
        <v>5</v>
      </c>
      <c r="C1006" s="2">
        <v>1191</v>
      </c>
      <c r="D1006" s="2">
        <v>222</v>
      </c>
      <c r="E1006" s="3">
        <v>3059.89</v>
      </c>
      <c r="F1006" s="4" t="str">
        <f>IF(campaignData[[#This Row],[Campaign]]="Old_Campaign", "A", "B")</f>
        <v>A</v>
      </c>
    </row>
    <row r="1007" spans="1:6" x14ac:dyDescent="0.2">
      <c r="A1007" s="1">
        <v>44699</v>
      </c>
      <c r="B1007" s="5" t="s">
        <v>6</v>
      </c>
      <c r="C1007" s="2">
        <v>1183</v>
      </c>
      <c r="D1007" s="2">
        <v>257</v>
      </c>
      <c r="E1007" s="3">
        <v>4416.5600000000004</v>
      </c>
      <c r="F1007" s="4" t="str">
        <f>IF(campaignData[[#This Row],[Campaign]]="Old_Campaign", "A", "B")</f>
        <v>B</v>
      </c>
    </row>
    <row r="1008" spans="1:6" x14ac:dyDescent="0.2">
      <c r="A1008" s="1">
        <v>44700</v>
      </c>
      <c r="B1008" s="5" t="s">
        <v>5</v>
      </c>
      <c r="C1008" s="2">
        <v>1121</v>
      </c>
      <c r="D1008" s="2">
        <v>220</v>
      </c>
      <c r="E1008" s="3">
        <v>3618.04</v>
      </c>
      <c r="F1008" s="4" t="str">
        <f>IF(campaignData[[#This Row],[Campaign]]="Old_Campaign", "A", "B")</f>
        <v>A</v>
      </c>
    </row>
    <row r="1009" spans="1:6" x14ac:dyDescent="0.2">
      <c r="A1009" s="1">
        <v>44700</v>
      </c>
      <c r="B1009" s="5" t="s">
        <v>6</v>
      </c>
      <c r="C1009" s="2">
        <v>1166</v>
      </c>
      <c r="D1009" s="2">
        <v>253</v>
      </c>
      <c r="E1009" s="3">
        <v>4104.57</v>
      </c>
      <c r="F1009" s="4" t="str">
        <f>IF(campaignData[[#This Row],[Campaign]]="Old_Campaign", "A", "B")</f>
        <v>B</v>
      </c>
    </row>
    <row r="1010" spans="1:6" x14ac:dyDescent="0.2">
      <c r="A1010" s="1">
        <v>44701</v>
      </c>
      <c r="B1010" s="5" t="s">
        <v>5</v>
      </c>
      <c r="C1010" s="2">
        <v>1196</v>
      </c>
      <c r="D1010" s="2">
        <v>212</v>
      </c>
      <c r="E1010" s="3">
        <v>3855.29</v>
      </c>
      <c r="F1010" s="4" t="str">
        <f>IF(campaignData[[#This Row],[Campaign]]="Old_Campaign", "A", "B")</f>
        <v>A</v>
      </c>
    </row>
    <row r="1011" spans="1:6" x14ac:dyDescent="0.2">
      <c r="A1011" s="1">
        <v>44701</v>
      </c>
      <c r="B1011" s="5" t="s">
        <v>6</v>
      </c>
      <c r="C1011" s="2">
        <v>1149</v>
      </c>
      <c r="D1011" s="2">
        <v>286</v>
      </c>
      <c r="E1011" s="3">
        <v>4587.0600000000004</v>
      </c>
      <c r="F1011" s="4" t="str">
        <f>IF(campaignData[[#This Row],[Campaign]]="Old_Campaign", "A", "B")</f>
        <v>B</v>
      </c>
    </row>
    <row r="1012" spans="1:6" x14ac:dyDescent="0.2">
      <c r="A1012" s="1">
        <v>44702</v>
      </c>
      <c r="B1012" s="5" t="s">
        <v>5</v>
      </c>
      <c r="C1012" s="2">
        <v>1245</v>
      </c>
      <c r="D1012" s="2">
        <v>217</v>
      </c>
      <c r="E1012" s="3">
        <v>2911.76</v>
      </c>
      <c r="F1012" s="4" t="str">
        <f>IF(campaignData[[#This Row],[Campaign]]="Old_Campaign", "A", "B")</f>
        <v>A</v>
      </c>
    </row>
    <row r="1013" spans="1:6" x14ac:dyDescent="0.2">
      <c r="A1013" s="1">
        <v>44702</v>
      </c>
      <c r="B1013" s="5" t="s">
        <v>6</v>
      </c>
      <c r="C1013" s="2">
        <v>1162</v>
      </c>
      <c r="D1013" s="2">
        <v>300</v>
      </c>
      <c r="E1013" s="3">
        <v>4820.3999999999996</v>
      </c>
      <c r="F1013" s="4" t="str">
        <f>IF(campaignData[[#This Row],[Campaign]]="Old_Campaign", "A", "B")</f>
        <v>B</v>
      </c>
    </row>
    <row r="1014" spans="1:6" x14ac:dyDescent="0.2">
      <c r="A1014" s="1">
        <v>44703</v>
      </c>
      <c r="B1014" s="5" t="s">
        <v>5</v>
      </c>
      <c r="C1014" s="2">
        <v>1196</v>
      </c>
      <c r="D1014" s="2">
        <v>218</v>
      </c>
      <c r="E1014" s="3">
        <v>2891.44</v>
      </c>
      <c r="F1014" s="4" t="str">
        <f>IF(campaignData[[#This Row],[Campaign]]="Old_Campaign", "A", "B")</f>
        <v>A</v>
      </c>
    </row>
    <row r="1015" spans="1:6" x14ac:dyDescent="0.2">
      <c r="A1015" s="1">
        <v>44703</v>
      </c>
      <c r="B1015" s="5" t="s">
        <v>6</v>
      </c>
      <c r="C1015" s="2">
        <v>1142</v>
      </c>
      <c r="D1015" s="2">
        <v>275</v>
      </c>
      <c r="E1015" s="3">
        <v>4453.8</v>
      </c>
      <c r="F1015" s="4" t="str">
        <f>IF(campaignData[[#This Row],[Campaign]]="Old_Campaign", "A", "B")</f>
        <v>B</v>
      </c>
    </row>
    <row r="1016" spans="1:6" x14ac:dyDescent="0.2">
      <c r="A1016" s="1">
        <v>44704</v>
      </c>
      <c r="B1016" s="5" t="s">
        <v>5</v>
      </c>
      <c r="C1016" s="2">
        <v>1144</v>
      </c>
      <c r="D1016" s="2">
        <v>234</v>
      </c>
      <c r="E1016" s="3">
        <v>3259.73</v>
      </c>
      <c r="F1016" s="4" t="str">
        <f>IF(campaignData[[#This Row],[Campaign]]="Old_Campaign", "A", "B")</f>
        <v>A</v>
      </c>
    </row>
    <row r="1017" spans="1:6" x14ac:dyDescent="0.2">
      <c r="A1017" s="1">
        <v>44704</v>
      </c>
      <c r="B1017" s="5" t="s">
        <v>6</v>
      </c>
      <c r="C1017" s="2">
        <v>1162</v>
      </c>
      <c r="D1017" s="2">
        <v>287</v>
      </c>
      <c r="E1017" s="3">
        <v>4761.3100000000004</v>
      </c>
      <c r="F1017" s="4" t="str">
        <f>IF(campaignData[[#This Row],[Campaign]]="Old_Campaign", "A", "B")</f>
        <v>B</v>
      </c>
    </row>
    <row r="1018" spans="1:6" x14ac:dyDescent="0.2">
      <c r="A1018" s="1">
        <v>44705</v>
      </c>
      <c r="B1018" s="5" t="s">
        <v>5</v>
      </c>
      <c r="C1018" s="2">
        <v>1222</v>
      </c>
      <c r="D1018" s="2">
        <v>214</v>
      </c>
      <c r="E1018" s="3">
        <v>2784.38</v>
      </c>
      <c r="F1018" s="4" t="str">
        <f>IF(campaignData[[#This Row],[Campaign]]="Old_Campaign", "A", "B")</f>
        <v>A</v>
      </c>
    </row>
    <row r="1019" spans="1:6" x14ac:dyDescent="0.2">
      <c r="A1019" s="1">
        <v>44705</v>
      </c>
      <c r="B1019" s="5" t="s">
        <v>6</v>
      </c>
      <c r="C1019" s="2">
        <v>1143</v>
      </c>
      <c r="D1019" s="2">
        <v>254</v>
      </c>
      <c r="E1019" s="3">
        <v>4190.7700000000004</v>
      </c>
      <c r="F1019" s="4" t="str">
        <f>IF(campaignData[[#This Row],[Campaign]]="Old_Campaign", "A", "B")</f>
        <v>B</v>
      </c>
    </row>
    <row r="1020" spans="1:6" x14ac:dyDescent="0.2">
      <c r="A1020" s="1">
        <v>44706</v>
      </c>
      <c r="B1020" s="5" t="s">
        <v>5</v>
      </c>
      <c r="C1020" s="2">
        <v>1201</v>
      </c>
      <c r="D1020" s="2">
        <v>240</v>
      </c>
      <c r="E1020" s="3">
        <v>3588.37</v>
      </c>
      <c r="F1020" s="4" t="str">
        <f>IF(campaignData[[#This Row],[Campaign]]="Old_Campaign", "A", "B")</f>
        <v>A</v>
      </c>
    </row>
    <row r="1021" spans="1:6" x14ac:dyDescent="0.2">
      <c r="A1021" s="1">
        <v>44706</v>
      </c>
      <c r="B1021" s="5" t="s">
        <v>6</v>
      </c>
      <c r="C1021" s="2">
        <v>1147</v>
      </c>
      <c r="D1021" s="2">
        <v>272</v>
      </c>
      <c r="E1021" s="3">
        <v>5006.13</v>
      </c>
      <c r="F1021" s="4" t="str">
        <f>IF(campaignData[[#This Row],[Campaign]]="Old_Campaign", "A", "B")</f>
        <v>B</v>
      </c>
    </row>
    <row r="1022" spans="1:6" x14ac:dyDescent="0.2">
      <c r="A1022" s="1">
        <v>44707</v>
      </c>
      <c r="B1022" s="5" t="s">
        <v>5</v>
      </c>
      <c r="C1022" s="2">
        <v>1199</v>
      </c>
      <c r="D1022" s="2">
        <v>217</v>
      </c>
      <c r="E1022" s="3">
        <v>2347.81</v>
      </c>
      <c r="F1022" s="4" t="str">
        <f>IF(campaignData[[#This Row],[Campaign]]="Old_Campaign", "A", "B")</f>
        <v>A</v>
      </c>
    </row>
    <row r="1023" spans="1:6" x14ac:dyDescent="0.2">
      <c r="A1023" s="1">
        <v>44707</v>
      </c>
      <c r="B1023" s="5" t="s">
        <v>6</v>
      </c>
      <c r="C1023" s="2">
        <v>1100</v>
      </c>
      <c r="D1023" s="2">
        <v>247</v>
      </c>
      <c r="E1023" s="3">
        <v>3867.89</v>
      </c>
      <c r="F1023" s="4" t="str">
        <f>IF(campaignData[[#This Row],[Campaign]]="Old_Campaign", "A", "B")</f>
        <v>B</v>
      </c>
    </row>
    <row r="1024" spans="1:6" x14ac:dyDescent="0.2">
      <c r="A1024" s="1">
        <v>44708</v>
      </c>
      <c r="B1024" s="5" t="s">
        <v>5</v>
      </c>
      <c r="C1024" s="2">
        <v>1180</v>
      </c>
      <c r="D1024" s="2">
        <v>223</v>
      </c>
      <c r="E1024" s="3">
        <v>2430.54</v>
      </c>
      <c r="F1024" s="4" t="str">
        <f>IF(campaignData[[#This Row],[Campaign]]="Old_Campaign", "A", "B")</f>
        <v>A</v>
      </c>
    </row>
    <row r="1025" spans="1:6" x14ac:dyDescent="0.2">
      <c r="A1025" s="1">
        <v>44708</v>
      </c>
      <c r="B1025" s="5" t="s">
        <v>6</v>
      </c>
      <c r="C1025" s="2">
        <v>1145</v>
      </c>
      <c r="D1025" s="2">
        <v>272</v>
      </c>
      <c r="E1025" s="3">
        <v>4754.1099999999997</v>
      </c>
      <c r="F1025" s="4" t="str">
        <f>IF(campaignData[[#This Row],[Campaign]]="Old_Campaign", "A", "B")</f>
        <v>B</v>
      </c>
    </row>
    <row r="1026" spans="1:6" x14ac:dyDescent="0.2">
      <c r="A1026" s="1">
        <v>44709</v>
      </c>
      <c r="B1026" s="5" t="s">
        <v>5</v>
      </c>
      <c r="C1026" s="2">
        <v>1173</v>
      </c>
      <c r="D1026" s="2">
        <v>219</v>
      </c>
      <c r="E1026" s="3">
        <v>3910.16</v>
      </c>
      <c r="F1026" s="4" t="str">
        <f>IF(campaignData[[#This Row],[Campaign]]="Old_Campaign", "A", "B")</f>
        <v>A</v>
      </c>
    </row>
    <row r="1027" spans="1:6" x14ac:dyDescent="0.2">
      <c r="A1027" s="1">
        <v>44709</v>
      </c>
      <c r="B1027" s="5" t="s">
        <v>6</v>
      </c>
      <c r="C1027" s="2">
        <v>1134</v>
      </c>
      <c r="D1027" s="2">
        <v>249</v>
      </c>
      <c r="E1027" s="3">
        <v>3775.12</v>
      </c>
      <c r="F1027" s="4" t="str">
        <f>IF(campaignData[[#This Row],[Campaign]]="Old_Campaign", "A", "B")</f>
        <v>B</v>
      </c>
    </row>
    <row r="1028" spans="1:6" x14ac:dyDescent="0.2">
      <c r="A1028" s="1">
        <v>44710</v>
      </c>
      <c r="B1028" s="5" t="s">
        <v>5</v>
      </c>
      <c r="C1028" s="2">
        <v>1167</v>
      </c>
      <c r="D1028" s="2">
        <v>217</v>
      </c>
      <c r="E1028" s="3">
        <v>3527.38</v>
      </c>
      <c r="F1028" s="4" t="str">
        <f>IF(campaignData[[#This Row],[Campaign]]="Old_Campaign", "A", "B")</f>
        <v>A</v>
      </c>
    </row>
    <row r="1029" spans="1:6" x14ac:dyDescent="0.2">
      <c r="A1029" s="1">
        <v>44710</v>
      </c>
      <c r="B1029" s="5" t="s">
        <v>6</v>
      </c>
      <c r="C1029" s="2">
        <v>1105</v>
      </c>
      <c r="D1029" s="2">
        <v>272</v>
      </c>
      <c r="E1029" s="3">
        <v>4199.95</v>
      </c>
      <c r="F1029" s="4" t="str">
        <f>IF(campaignData[[#This Row],[Campaign]]="Old_Campaign", "A", "B")</f>
        <v>B</v>
      </c>
    </row>
    <row r="1030" spans="1:6" x14ac:dyDescent="0.2">
      <c r="A1030" s="1">
        <v>44711</v>
      </c>
      <c r="B1030" s="5" t="s">
        <v>5</v>
      </c>
      <c r="C1030" s="2">
        <v>1261</v>
      </c>
      <c r="D1030" s="2">
        <v>231</v>
      </c>
      <c r="E1030" s="3">
        <v>3866.37</v>
      </c>
      <c r="F1030" s="4" t="str">
        <f>IF(campaignData[[#This Row],[Campaign]]="Old_Campaign", "A", "B")</f>
        <v>A</v>
      </c>
    </row>
    <row r="1031" spans="1:6" x14ac:dyDescent="0.2">
      <c r="A1031" s="1">
        <v>44711</v>
      </c>
      <c r="B1031" s="5" t="s">
        <v>6</v>
      </c>
      <c r="C1031" s="2">
        <v>1075</v>
      </c>
      <c r="D1031" s="2">
        <v>221</v>
      </c>
      <c r="E1031" s="3">
        <v>3011.64</v>
      </c>
      <c r="F1031" s="4" t="str">
        <f>IF(campaignData[[#This Row],[Campaign]]="Old_Campaign", "A", "B")</f>
        <v>B</v>
      </c>
    </row>
    <row r="1032" spans="1:6" x14ac:dyDescent="0.2">
      <c r="A1032" s="1">
        <v>44712</v>
      </c>
      <c r="B1032" s="5" t="s">
        <v>5</v>
      </c>
      <c r="C1032" s="2">
        <v>1233</v>
      </c>
      <c r="D1032" s="2">
        <v>247</v>
      </c>
      <c r="E1032" s="3">
        <v>3473.56</v>
      </c>
      <c r="F1032" s="4" t="str">
        <f>IF(campaignData[[#This Row],[Campaign]]="Old_Campaign", "A", "B")</f>
        <v>A</v>
      </c>
    </row>
    <row r="1033" spans="1:6" x14ac:dyDescent="0.2">
      <c r="A1033" s="1">
        <v>44712</v>
      </c>
      <c r="B1033" s="5" t="s">
        <v>6</v>
      </c>
      <c r="C1033" s="2">
        <v>1138</v>
      </c>
      <c r="D1033" s="2">
        <v>282</v>
      </c>
      <c r="E1033" s="3">
        <v>4084.06</v>
      </c>
      <c r="F1033" s="4" t="str">
        <f>IF(campaignData[[#This Row],[Campaign]]="Old_Campaign", "A", "B")</f>
        <v>B</v>
      </c>
    </row>
    <row r="1034" spans="1:6" x14ac:dyDescent="0.2">
      <c r="A1034" s="1">
        <v>44713</v>
      </c>
      <c r="B1034" s="5" t="s">
        <v>5</v>
      </c>
      <c r="C1034" s="2">
        <v>1191</v>
      </c>
      <c r="D1034" s="2">
        <v>231</v>
      </c>
      <c r="E1034" s="3">
        <v>2458.67</v>
      </c>
      <c r="F1034" s="4" t="str">
        <f>IF(campaignData[[#This Row],[Campaign]]="Old_Campaign", "A", "B")</f>
        <v>A</v>
      </c>
    </row>
    <row r="1035" spans="1:6" x14ac:dyDescent="0.2">
      <c r="A1035" s="1">
        <v>44713</v>
      </c>
      <c r="B1035" s="5" t="s">
        <v>6</v>
      </c>
      <c r="C1035" s="2">
        <v>1101</v>
      </c>
      <c r="D1035" s="2">
        <v>251</v>
      </c>
      <c r="E1035" s="3">
        <v>3750.21</v>
      </c>
      <c r="F1035" s="4" t="str">
        <f>IF(campaignData[[#This Row],[Campaign]]="Old_Campaign", "A", "B")</f>
        <v>B</v>
      </c>
    </row>
    <row r="1036" spans="1:6" x14ac:dyDescent="0.2">
      <c r="A1036" s="1">
        <v>44714</v>
      </c>
      <c r="B1036" s="5" t="s">
        <v>5</v>
      </c>
      <c r="C1036" s="2">
        <v>1201</v>
      </c>
      <c r="D1036" s="2">
        <v>229</v>
      </c>
      <c r="E1036" s="3">
        <v>3976.16</v>
      </c>
      <c r="F1036" s="4" t="str">
        <f>IF(campaignData[[#This Row],[Campaign]]="Old_Campaign", "A", "B")</f>
        <v>A</v>
      </c>
    </row>
    <row r="1037" spans="1:6" x14ac:dyDescent="0.2">
      <c r="A1037" s="1">
        <v>44714</v>
      </c>
      <c r="B1037" s="5" t="s">
        <v>6</v>
      </c>
      <c r="C1037" s="2">
        <v>1073</v>
      </c>
      <c r="D1037" s="2">
        <v>254</v>
      </c>
      <c r="E1037" s="3">
        <v>5254.58</v>
      </c>
      <c r="F1037" s="4" t="str">
        <f>IF(campaignData[[#This Row],[Campaign]]="Old_Campaign", "A", "B")</f>
        <v>B</v>
      </c>
    </row>
    <row r="1038" spans="1:6" x14ac:dyDescent="0.2">
      <c r="A1038" s="1">
        <v>44715</v>
      </c>
      <c r="B1038" s="5" t="s">
        <v>5</v>
      </c>
      <c r="C1038" s="2">
        <v>1226</v>
      </c>
      <c r="D1038" s="2">
        <v>216</v>
      </c>
      <c r="E1038" s="3">
        <v>3034.46</v>
      </c>
      <c r="F1038" s="4" t="str">
        <f>IF(campaignData[[#This Row],[Campaign]]="Old_Campaign", "A", "B")</f>
        <v>A</v>
      </c>
    </row>
    <row r="1039" spans="1:6" x14ac:dyDescent="0.2">
      <c r="A1039" s="1">
        <v>44715</v>
      </c>
      <c r="B1039" s="5" t="s">
        <v>6</v>
      </c>
      <c r="C1039" s="2">
        <v>1124</v>
      </c>
      <c r="D1039" s="2">
        <v>255</v>
      </c>
      <c r="E1039" s="3">
        <v>3658.68</v>
      </c>
      <c r="F1039" s="4" t="str">
        <f>IF(campaignData[[#This Row],[Campaign]]="Old_Campaign", "A", "B")</f>
        <v>B</v>
      </c>
    </row>
    <row r="1040" spans="1:6" x14ac:dyDescent="0.2">
      <c r="A1040" s="1">
        <v>44716</v>
      </c>
      <c r="B1040" s="5" t="s">
        <v>5</v>
      </c>
      <c r="C1040" s="2">
        <v>1191</v>
      </c>
      <c r="D1040" s="2">
        <v>225</v>
      </c>
      <c r="E1040" s="3">
        <v>3441.12</v>
      </c>
      <c r="F1040" s="4" t="str">
        <f>IF(campaignData[[#This Row],[Campaign]]="Old_Campaign", "A", "B")</f>
        <v>A</v>
      </c>
    </row>
    <row r="1041" spans="1:6" x14ac:dyDescent="0.2">
      <c r="A1041" s="1">
        <v>44716</v>
      </c>
      <c r="B1041" s="5" t="s">
        <v>6</v>
      </c>
      <c r="C1041" s="2">
        <v>1151</v>
      </c>
      <c r="D1041" s="2">
        <v>283</v>
      </c>
      <c r="E1041" s="3">
        <v>4232.47</v>
      </c>
      <c r="F1041" s="4" t="str">
        <f>IF(campaignData[[#This Row],[Campaign]]="Old_Campaign", "A", "B")</f>
        <v>B</v>
      </c>
    </row>
    <row r="1042" spans="1:6" x14ac:dyDescent="0.2">
      <c r="A1042" s="1">
        <v>44717</v>
      </c>
      <c r="B1042" s="5" t="s">
        <v>5</v>
      </c>
      <c r="C1042" s="2">
        <v>1167</v>
      </c>
      <c r="D1042" s="2">
        <v>239</v>
      </c>
      <c r="E1042" s="3">
        <v>3259.3</v>
      </c>
      <c r="F1042" s="4" t="str">
        <f>IF(campaignData[[#This Row],[Campaign]]="Old_Campaign", "A", "B")</f>
        <v>A</v>
      </c>
    </row>
    <row r="1043" spans="1:6" x14ac:dyDescent="0.2">
      <c r="A1043" s="1">
        <v>44717</v>
      </c>
      <c r="B1043" s="5" t="s">
        <v>6</v>
      </c>
      <c r="C1043" s="2">
        <v>1107</v>
      </c>
      <c r="D1043" s="2">
        <v>234</v>
      </c>
      <c r="E1043" s="3">
        <v>4196.9399999999996</v>
      </c>
      <c r="F1043" s="4" t="str">
        <f>IF(campaignData[[#This Row],[Campaign]]="Old_Campaign", "A", "B")</f>
        <v>B</v>
      </c>
    </row>
    <row r="1044" spans="1:6" x14ac:dyDescent="0.2">
      <c r="A1044" s="1">
        <v>44718</v>
      </c>
      <c r="B1044" s="5" t="s">
        <v>5</v>
      </c>
      <c r="C1044" s="2">
        <v>1173</v>
      </c>
      <c r="D1044" s="2">
        <v>229</v>
      </c>
      <c r="E1044" s="3">
        <v>3081.53</v>
      </c>
      <c r="F1044" s="4" t="str">
        <f>IF(campaignData[[#This Row],[Campaign]]="Old_Campaign", "A", "B")</f>
        <v>A</v>
      </c>
    </row>
    <row r="1045" spans="1:6" x14ac:dyDescent="0.2">
      <c r="A1045" s="1">
        <v>44718</v>
      </c>
      <c r="B1045" s="5" t="s">
        <v>6</v>
      </c>
      <c r="C1045" s="2">
        <v>1208</v>
      </c>
      <c r="D1045" s="2">
        <v>255</v>
      </c>
      <c r="E1045" s="3">
        <v>4900.8599999999997</v>
      </c>
      <c r="F1045" s="4" t="str">
        <f>IF(campaignData[[#This Row],[Campaign]]="Old_Campaign", "A", "B")</f>
        <v>B</v>
      </c>
    </row>
    <row r="1046" spans="1:6" x14ac:dyDescent="0.2">
      <c r="A1046" s="1">
        <v>44719</v>
      </c>
      <c r="B1046" s="5" t="s">
        <v>5</v>
      </c>
      <c r="C1046" s="2">
        <v>1175</v>
      </c>
      <c r="D1046" s="2">
        <v>238</v>
      </c>
      <c r="E1046" s="3">
        <v>3063.43</v>
      </c>
      <c r="F1046" s="4" t="str">
        <f>IF(campaignData[[#This Row],[Campaign]]="Old_Campaign", "A", "B")</f>
        <v>A</v>
      </c>
    </row>
    <row r="1047" spans="1:6" x14ac:dyDescent="0.2">
      <c r="A1047" s="1">
        <v>44719</v>
      </c>
      <c r="B1047" s="5" t="s">
        <v>6</v>
      </c>
      <c r="C1047" s="2">
        <v>1140</v>
      </c>
      <c r="D1047" s="2">
        <v>258</v>
      </c>
      <c r="E1047" s="3">
        <v>4122.92</v>
      </c>
      <c r="F1047" s="4" t="str">
        <f>IF(campaignData[[#This Row],[Campaign]]="Old_Campaign", "A", "B")</f>
        <v>B</v>
      </c>
    </row>
    <row r="1048" spans="1:6" x14ac:dyDescent="0.2">
      <c r="A1048" s="1">
        <v>44720</v>
      </c>
      <c r="B1048" s="5" t="s">
        <v>5</v>
      </c>
      <c r="C1048" s="2">
        <v>1187</v>
      </c>
      <c r="D1048" s="2">
        <v>223</v>
      </c>
      <c r="E1048" s="3">
        <v>3464.46</v>
      </c>
      <c r="F1048" s="4" t="str">
        <f>IF(campaignData[[#This Row],[Campaign]]="Old_Campaign", "A", "B")</f>
        <v>A</v>
      </c>
    </row>
    <row r="1049" spans="1:6" x14ac:dyDescent="0.2">
      <c r="A1049" s="1">
        <v>44720</v>
      </c>
      <c r="B1049" s="5" t="s">
        <v>6</v>
      </c>
      <c r="C1049" s="2">
        <v>1180</v>
      </c>
      <c r="D1049" s="2">
        <v>270</v>
      </c>
      <c r="E1049" s="3">
        <v>3875.29</v>
      </c>
      <c r="F1049" s="4" t="str">
        <f>IF(campaignData[[#This Row],[Campaign]]="Old_Campaign", "A", "B")</f>
        <v>B</v>
      </c>
    </row>
    <row r="1050" spans="1:6" x14ac:dyDescent="0.2">
      <c r="A1050" s="1">
        <v>44721</v>
      </c>
      <c r="B1050" s="5" t="s">
        <v>5</v>
      </c>
      <c r="C1050" s="2">
        <v>1205</v>
      </c>
      <c r="D1050" s="2">
        <v>222</v>
      </c>
      <c r="E1050" s="3">
        <v>3929.89</v>
      </c>
      <c r="F1050" s="4" t="str">
        <f>IF(campaignData[[#This Row],[Campaign]]="Old_Campaign", "A", "B")</f>
        <v>A</v>
      </c>
    </row>
    <row r="1051" spans="1:6" x14ac:dyDescent="0.2">
      <c r="A1051" s="1">
        <v>44721</v>
      </c>
      <c r="B1051" s="5" t="s">
        <v>6</v>
      </c>
      <c r="C1051" s="2">
        <v>1193</v>
      </c>
      <c r="D1051" s="2">
        <v>300</v>
      </c>
      <c r="E1051" s="3">
        <v>5575.65</v>
      </c>
      <c r="F1051" s="4" t="str">
        <f>IF(campaignData[[#This Row],[Campaign]]="Old_Campaign", "A", "B")</f>
        <v>B</v>
      </c>
    </row>
    <row r="1052" spans="1:6" x14ac:dyDescent="0.2">
      <c r="A1052" s="1">
        <v>44722</v>
      </c>
      <c r="B1052" s="5" t="s">
        <v>5</v>
      </c>
      <c r="C1052" s="2">
        <v>1204</v>
      </c>
      <c r="D1052" s="2">
        <v>214</v>
      </c>
      <c r="E1052" s="3">
        <v>3018.02</v>
      </c>
      <c r="F1052" s="4" t="str">
        <f>IF(campaignData[[#This Row],[Campaign]]="Old_Campaign", "A", "B")</f>
        <v>A</v>
      </c>
    </row>
    <row r="1053" spans="1:6" x14ac:dyDescent="0.2">
      <c r="A1053" s="1">
        <v>44722</v>
      </c>
      <c r="B1053" s="5" t="s">
        <v>6</v>
      </c>
      <c r="C1053" s="2">
        <v>1146</v>
      </c>
      <c r="D1053" s="2">
        <v>277</v>
      </c>
      <c r="E1053" s="3">
        <v>4564.16</v>
      </c>
      <c r="F1053" s="4" t="str">
        <f>IF(campaignData[[#This Row],[Campaign]]="Old_Campaign", "A", "B")</f>
        <v>B</v>
      </c>
    </row>
    <row r="1054" spans="1:6" x14ac:dyDescent="0.2">
      <c r="A1054" s="1">
        <v>44723</v>
      </c>
      <c r="B1054" s="5" t="s">
        <v>5</v>
      </c>
      <c r="C1054" s="2">
        <v>1190</v>
      </c>
      <c r="D1054" s="2">
        <v>234</v>
      </c>
      <c r="E1054" s="3">
        <v>3294.83</v>
      </c>
      <c r="F1054" s="4" t="str">
        <f>IF(campaignData[[#This Row],[Campaign]]="Old_Campaign", "A", "B")</f>
        <v>A</v>
      </c>
    </row>
    <row r="1055" spans="1:6" x14ac:dyDescent="0.2">
      <c r="A1055" s="1">
        <v>44723</v>
      </c>
      <c r="B1055" s="5" t="s">
        <v>6</v>
      </c>
      <c r="C1055" s="2">
        <v>1104</v>
      </c>
      <c r="D1055" s="2">
        <v>234</v>
      </c>
      <c r="E1055" s="3">
        <v>3998.31</v>
      </c>
      <c r="F1055" s="4" t="str">
        <f>IF(campaignData[[#This Row],[Campaign]]="Old_Campaign", "A", "B")</f>
        <v>B</v>
      </c>
    </row>
    <row r="1056" spans="1:6" x14ac:dyDescent="0.2">
      <c r="A1056" s="1">
        <v>44724</v>
      </c>
      <c r="B1056" s="5" t="s">
        <v>5</v>
      </c>
      <c r="C1056" s="2">
        <v>1240</v>
      </c>
      <c r="D1056" s="2">
        <v>231</v>
      </c>
      <c r="E1056" s="3">
        <v>3736.32</v>
      </c>
      <c r="F1056" s="4" t="str">
        <f>IF(campaignData[[#This Row],[Campaign]]="Old_Campaign", "A", "B")</f>
        <v>A</v>
      </c>
    </row>
    <row r="1057" spans="1:6" x14ac:dyDescent="0.2">
      <c r="A1057" s="1">
        <v>44724</v>
      </c>
      <c r="B1057" s="5" t="s">
        <v>6</v>
      </c>
      <c r="C1057" s="2">
        <v>1085</v>
      </c>
      <c r="D1057" s="2">
        <v>256</v>
      </c>
      <c r="E1057" s="3">
        <v>3990.72</v>
      </c>
      <c r="F1057" s="4" t="str">
        <f>IF(campaignData[[#This Row],[Campaign]]="Old_Campaign", "A", "B")</f>
        <v>B</v>
      </c>
    </row>
    <row r="1058" spans="1:6" x14ac:dyDescent="0.2">
      <c r="A1058" s="1">
        <v>44725</v>
      </c>
      <c r="B1058" s="5" t="s">
        <v>5</v>
      </c>
      <c r="C1058" s="2">
        <v>1174</v>
      </c>
      <c r="D1058" s="2">
        <v>234</v>
      </c>
      <c r="E1058" s="3">
        <v>3622.42</v>
      </c>
      <c r="F1058" s="4" t="str">
        <f>IF(campaignData[[#This Row],[Campaign]]="Old_Campaign", "A", "B")</f>
        <v>A</v>
      </c>
    </row>
    <row r="1059" spans="1:6" x14ac:dyDescent="0.2">
      <c r="A1059" s="1">
        <v>44725</v>
      </c>
      <c r="B1059" s="5" t="s">
        <v>6</v>
      </c>
      <c r="C1059" s="2">
        <v>1177</v>
      </c>
      <c r="D1059" s="2">
        <v>263</v>
      </c>
      <c r="E1059" s="3">
        <v>4867.1499999999996</v>
      </c>
      <c r="F1059" s="4" t="str">
        <f>IF(campaignData[[#This Row],[Campaign]]="Old_Campaign", "A", "B")</f>
        <v>B</v>
      </c>
    </row>
    <row r="1060" spans="1:6" x14ac:dyDescent="0.2">
      <c r="A1060" s="1">
        <v>44726</v>
      </c>
      <c r="B1060" s="5" t="s">
        <v>5</v>
      </c>
      <c r="C1060" s="2">
        <v>1244</v>
      </c>
      <c r="D1060" s="2">
        <v>269</v>
      </c>
      <c r="E1060" s="3">
        <v>3863.51</v>
      </c>
      <c r="F1060" s="4" t="str">
        <f>IF(campaignData[[#This Row],[Campaign]]="Old_Campaign", "A", "B")</f>
        <v>A</v>
      </c>
    </row>
    <row r="1061" spans="1:6" x14ac:dyDescent="0.2">
      <c r="A1061" s="1">
        <v>44726</v>
      </c>
      <c r="B1061" s="5" t="s">
        <v>6</v>
      </c>
      <c r="C1061" s="2">
        <v>1228</v>
      </c>
      <c r="D1061" s="2">
        <v>295</v>
      </c>
      <c r="E1061" s="3">
        <v>4112.41</v>
      </c>
      <c r="F1061" s="4" t="str">
        <f>IF(campaignData[[#This Row],[Campaign]]="Old_Campaign", "A", "B")</f>
        <v>B</v>
      </c>
    </row>
    <row r="1062" spans="1:6" x14ac:dyDescent="0.2">
      <c r="A1062" s="1">
        <v>44727</v>
      </c>
      <c r="B1062" s="5" t="s">
        <v>5</v>
      </c>
      <c r="C1062" s="2">
        <v>1223</v>
      </c>
      <c r="D1062" s="2">
        <v>231</v>
      </c>
      <c r="E1062" s="3">
        <v>2999.1</v>
      </c>
      <c r="F1062" s="4" t="str">
        <f>IF(campaignData[[#This Row],[Campaign]]="Old_Campaign", "A", "B")</f>
        <v>A</v>
      </c>
    </row>
    <row r="1063" spans="1:6" x14ac:dyDescent="0.2">
      <c r="A1063" s="1">
        <v>44727</v>
      </c>
      <c r="B1063" s="5" t="s">
        <v>6</v>
      </c>
      <c r="C1063" s="2">
        <v>1138</v>
      </c>
      <c r="D1063" s="2">
        <v>261</v>
      </c>
      <c r="E1063" s="3">
        <v>3087.16</v>
      </c>
      <c r="F1063" s="4" t="str">
        <f>IF(campaignData[[#This Row],[Campaign]]="Old_Campaign", "A", "B")</f>
        <v>B</v>
      </c>
    </row>
    <row r="1064" spans="1:6" x14ac:dyDescent="0.2">
      <c r="A1064" s="1">
        <v>44728</v>
      </c>
      <c r="B1064" s="5" t="s">
        <v>5</v>
      </c>
      <c r="C1064" s="2">
        <v>1186</v>
      </c>
      <c r="D1064" s="2">
        <v>205</v>
      </c>
      <c r="E1064" s="3">
        <v>3192.58</v>
      </c>
      <c r="F1064" s="4" t="str">
        <f>IF(campaignData[[#This Row],[Campaign]]="Old_Campaign", "A", "B")</f>
        <v>A</v>
      </c>
    </row>
    <row r="1065" spans="1:6" x14ac:dyDescent="0.2">
      <c r="A1065" s="1">
        <v>44728</v>
      </c>
      <c r="B1065" s="5" t="s">
        <v>6</v>
      </c>
      <c r="C1065" s="2">
        <v>1173</v>
      </c>
      <c r="D1065" s="2">
        <v>297</v>
      </c>
      <c r="E1065" s="3">
        <v>4664.5600000000004</v>
      </c>
      <c r="F1065" s="4" t="str">
        <f>IF(campaignData[[#This Row],[Campaign]]="Old_Campaign", "A", "B")</f>
        <v>B</v>
      </c>
    </row>
    <row r="1066" spans="1:6" x14ac:dyDescent="0.2">
      <c r="A1066" s="1">
        <v>44729</v>
      </c>
      <c r="B1066" s="5" t="s">
        <v>5</v>
      </c>
      <c r="C1066" s="2">
        <v>1212</v>
      </c>
      <c r="D1066" s="2">
        <v>243</v>
      </c>
      <c r="E1066" s="3">
        <v>3589.21</v>
      </c>
      <c r="F1066" s="4" t="str">
        <f>IF(campaignData[[#This Row],[Campaign]]="Old_Campaign", "A", "B")</f>
        <v>A</v>
      </c>
    </row>
    <row r="1067" spans="1:6" x14ac:dyDescent="0.2">
      <c r="A1067" s="1">
        <v>44729</v>
      </c>
      <c r="B1067" s="5" t="s">
        <v>6</v>
      </c>
      <c r="C1067" s="2">
        <v>1147</v>
      </c>
      <c r="D1067" s="2">
        <v>246</v>
      </c>
      <c r="E1067" s="3">
        <v>4214.8500000000004</v>
      </c>
      <c r="F1067" s="4" t="str">
        <f>IF(campaignData[[#This Row],[Campaign]]="Old_Campaign", "A", "B")</f>
        <v>B</v>
      </c>
    </row>
    <row r="1068" spans="1:6" x14ac:dyDescent="0.2">
      <c r="A1068" s="1">
        <v>44730</v>
      </c>
      <c r="B1068" s="5" t="s">
        <v>5</v>
      </c>
      <c r="C1068" s="2">
        <v>1204</v>
      </c>
      <c r="D1068" s="2">
        <v>218</v>
      </c>
      <c r="E1068" s="3">
        <v>3085.24</v>
      </c>
      <c r="F1068" s="4" t="str">
        <f>IF(campaignData[[#This Row],[Campaign]]="Old_Campaign", "A", "B")</f>
        <v>A</v>
      </c>
    </row>
    <row r="1069" spans="1:6" x14ac:dyDescent="0.2">
      <c r="A1069" s="1">
        <v>44730</v>
      </c>
      <c r="B1069" s="5" t="s">
        <v>6</v>
      </c>
      <c r="C1069" s="2">
        <v>1146</v>
      </c>
      <c r="D1069" s="2">
        <v>256</v>
      </c>
      <c r="E1069" s="3">
        <v>3863.85</v>
      </c>
      <c r="F1069" s="4" t="str">
        <f>IF(campaignData[[#This Row],[Campaign]]="Old_Campaign", "A", "B")</f>
        <v>B</v>
      </c>
    </row>
    <row r="1070" spans="1:6" x14ac:dyDescent="0.2">
      <c r="A1070" s="1">
        <v>44731</v>
      </c>
      <c r="B1070" s="5" t="s">
        <v>5</v>
      </c>
      <c r="C1070" s="2">
        <v>1215</v>
      </c>
      <c r="D1070" s="2">
        <v>246</v>
      </c>
      <c r="E1070" s="3">
        <v>4476.37</v>
      </c>
      <c r="F1070" s="4" t="str">
        <f>IF(campaignData[[#This Row],[Campaign]]="Old_Campaign", "A", "B")</f>
        <v>A</v>
      </c>
    </row>
    <row r="1071" spans="1:6" x14ac:dyDescent="0.2">
      <c r="A1071" s="1">
        <v>44731</v>
      </c>
      <c r="B1071" s="5" t="s">
        <v>6</v>
      </c>
      <c r="C1071" s="2">
        <v>1154</v>
      </c>
      <c r="D1071" s="2">
        <v>235</v>
      </c>
      <c r="E1071" s="3">
        <v>4104.7700000000004</v>
      </c>
      <c r="F1071" s="4" t="str">
        <f>IF(campaignData[[#This Row],[Campaign]]="Old_Campaign", "A", "B")</f>
        <v>B</v>
      </c>
    </row>
    <row r="1072" spans="1:6" x14ac:dyDescent="0.2">
      <c r="A1072" s="1">
        <v>44732</v>
      </c>
      <c r="B1072" s="5" t="s">
        <v>5</v>
      </c>
      <c r="C1072" s="2">
        <v>1133</v>
      </c>
      <c r="D1072" s="2">
        <v>213</v>
      </c>
      <c r="E1072" s="3">
        <v>4165.04</v>
      </c>
      <c r="F1072" s="4" t="str">
        <f>IF(campaignData[[#This Row],[Campaign]]="Old_Campaign", "A", "B")</f>
        <v>A</v>
      </c>
    </row>
    <row r="1073" spans="1:6" x14ac:dyDescent="0.2">
      <c r="A1073" s="1">
        <v>44732</v>
      </c>
      <c r="B1073" s="5" t="s">
        <v>6</v>
      </c>
      <c r="C1073" s="2">
        <v>1136</v>
      </c>
      <c r="D1073" s="2">
        <v>259</v>
      </c>
      <c r="E1073" s="3">
        <v>3504.52</v>
      </c>
      <c r="F1073" s="4" t="str">
        <f>IF(campaignData[[#This Row],[Campaign]]="Old_Campaign", "A", "B")</f>
        <v>B</v>
      </c>
    </row>
    <row r="1074" spans="1:6" x14ac:dyDescent="0.2">
      <c r="A1074" s="1">
        <v>44733</v>
      </c>
      <c r="B1074" s="5" t="s">
        <v>5</v>
      </c>
      <c r="C1074" s="2">
        <v>1217</v>
      </c>
      <c r="D1074" s="2">
        <v>204</v>
      </c>
      <c r="E1074" s="3">
        <v>3358.25</v>
      </c>
      <c r="F1074" s="4" t="str">
        <f>IF(campaignData[[#This Row],[Campaign]]="Old_Campaign", "A", "B")</f>
        <v>A</v>
      </c>
    </row>
    <row r="1075" spans="1:6" x14ac:dyDescent="0.2">
      <c r="A1075" s="1">
        <v>44733</v>
      </c>
      <c r="B1075" s="5" t="s">
        <v>6</v>
      </c>
      <c r="C1075" s="2">
        <v>1160</v>
      </c>
      <c r="D1075" s="2">
        <v>261</v>
      </c>
      <c r="E1075" s="3">
        <v>4457.0600000000004</v>
      </c>
      <c r="F1075" s="4" t="str">
        <f>IF(campaignData[[#This Row],[Campaign]]="Old_Campaign", "A", "B")</f>
        <v>B</v>
      </c>
    </row>
    <row r="1076" spans="1:6" x14ac:dyDescent="0.2">
      <c r="A1076" s="1">
        <v>44734</v>
      </c>
      <c r="B1076" s="5" t="s">
        <v>5</v>
      </c>
      <c r="C1076" s="2">
        <v>1196</v>
      </c>
      <c r="D1076" s="2">
        <v>230</v>
      </c>
      <c r="E1076" s="3">
        <v>3679.58</v>
      </c>
      <c r="F1076" s="4" t="str">
        <f>IF(campaignData[[#This Row],[Campaign]]="Old_Campaign", "A", "B")</f>
        <v>A</v>
      </c>
    </row>
    <row r="1077" spans="1:6" x14ac:dyDescent="0.2">
      <c r="A1077" s="1">
        <v>44734</v>
      </c>
      <c r="B1077" s="5" t="s">
        <v>6</v>
      </c>
      <c r="C1077" s="2">
        <v>1095</v>
      </c>
      <c r="D1077" s="2">
        <v>244</v>
      </c>
      <c r="E1077" s="3">
        <v>3078.17</v>
      </c>
      <c r="F1077" s="4" t="str">
        <f>IF(campaignData[[#This Row],[Campaign]]="Old_Campaign", "A", "B")</f>
        <v>B</v>
      </c>
    </row>
    <row r="1078" spans="1:6" x14ac:dyDescent="0.2">
      <c r="A1078" s="1">
        <v>44735</v>
      </c>
      <c r="B1078" s="5" t="s">
        <v>5</v>
      </c>
      <c r="C1078" s="2">
        <v>1200</v>
      </c>
      <c r="D1078" s="2">
        <v>223</v>
      </c>
      <c r="E1078" s="3">
        <v>3670.16</v>
      </c>
      <c r="F1078" s="4" t="str">
        <f>IF(campaignData[[#This Row],[Campaign]]="Old_Campaign", "A", "B")</f>
        <v>A</v>
      </c>
    </row>
    <row r="1079" spans="1:6" x14ac:dyDescent="0.2">
      <c r="A1079" s="1">
        <v>44735</v>
      </c>
      <c r="B1079" s="5" t="s">
        <v>6</v>
      </c>
      <c r="C1079" s="2">
        <v>1118</v>
      </c>
      <c r="D1079" s="2">
        <v>235</v>
      </c>
      <c r="E1079" s="3">
        <v>3925.05</v>
      </c>
      <c r="F1079" s="4" t="str">
        <f>IF(campaignData[[#This Row],[Campaign]]="Old_Campaign", "A", "B")</f>
        <v>B</v>
      </c>
    </row>
    <row r="1080" spans="1:6" x14ac:dyDescent="0.2">
      <c r="A1080" s="1">
        <v>44736</v>
      </c>
      <c r="B1080" s="5" t="s">
        <v>5</v>
      </c>
      <c r="C1080" s="2">
        <v>1183</v>
      </c>
      <c r="D1080" s="2">
        <v>220</v>
      </c>
      <c r="E1080" s="3">
        <v>3239.05</v>
      </c>
      <c r="F1080" s="4" t="str">
        <f>IF(campaignData[[#This Row],[Campaign]]="Old_Campaign", "A", "B")</f>
        <v>A</v>
      </c>
    </row>
    <row r="1081" spans="1:6" x14ac:dyDescent="0.2">
      <c r="A1081" s="1">
        <v>44736</v>
      </c>
      <c r="B1081" s="5" t="s">
        <v>6</v>
      </c>
      <c r="C1081" s="2">
        <v>1191</v>
      </c>
      <c r="D1081" s="2">
        <v>271</v>
      </c>
      <c r="E1081" s="3">
        <v>4106.25</v>
      </c>
      <c r="F1081" s="4" t="str">
        <f>IF(campaignData[[#This Row],[Campaign]]="Old_Campaign", "A", "B")</f>
        <v>B</v>
      </c>
    </row>
    <row r="1082" spans="1:6" x14ac:dyDescent="0.2">
      <c r="A1082" s="1">
        <v>44737</v>
      </c>
      <c r="B1082" s="5" t="s">
        <v>5</v>
      </c>
      <c r="C1082" s="2">
        <v>1189</v>
      </c>
      <c r="D1082" s="2">
        <v>223</v>
      </c>
      <c r="E1082" s="3">
        <v>3335.83</v>
      </c>
      <c r="F1082" s="4" t="str">
        <f>IF(campaignData[[#This Row],[Campaign]]="Old_Campaign", "A", "B")</f>
        <v>A</v>
      </c>
    </row>
    <row r="1083" spans="1:6" x14ac:dyDescent="0.2">
      <c r="A1083" s="1">
        <v>44737</v>
      </c>
      <c r="B1083" s="5" t="s">
        <v>6</v>
      </c>
      <c r="C1083" s="2">
        <v>1080</v>
      </c>
      <c r="D1083" s="2">
        <v>262</v>
      </c>
      <c r="E1083" s="3">
        <v>4343.53</v>
      </c>
      <c r="F1083" s="4" t="str">
        <f>IF(campaignData[[#This Row],[Campaign]]="Old_Campaign", "A", "B")</f>
        <v>B</v>
      </c>
    </row>
    <row r="1084" spans="1:6" x14ac:dyDescent="0.2">
      <c r="A1084" s="1">
        <v>44738</v>
      </c>
      <c r="B1084" s="5" t="s">
        <v>5</v>
      </c>
      <c r="C1084" s="2">
        <v>1276</v>
      </c>
      <c r="D1084" s="2">
        <v>237</v>
      </c>
      <c r="E1084" s="3">
        <v>3650.2</v>
      </c>
      <c r="F1084" s="4" t="str">
        <f>IF(campaignData[[#This Row],[Campaign]]="Old_Campaign", "A", "B")</f>
        <v>A</v>
      </c>
    </row>
    <row r="1085" spans="1:6" x14ac:dyDescent="0.2">
      <c r="A1085" s="1">
        <v>44738</v>
      </c>
      <c r="B1085" s="5" t="s">
        <v>6</v>
      </c>
      <c r="C1085" s="2">
        <v>1197</v>
      </c>
      <c r="D1085" s="2">
        <v>296</v>
      </c>
      <c r="E1085" s="3">
        <v>4795.67</v>
      </c>
      <c r="F1085" s="4" t="str">
        <f>IF(campaignData[[#This Row],[Campaign]]="Old_Campaign", "A", "B")</f>
        <v>B</v>
      </c>
    </row>
    <row r="1086" spans="1:6" x14ac:dyDescent="0.2">
      <c r="A1086" s="1">
        <v>44739</v>
      </c>
      <c r="B1086" s="5" t="s">
        <v>5</v>
      </c>
      <c r="C1086" s="2">
        <v>1154</v>
      </c>
      <c r="D1086" s="2">
        <v>229</v>
      </c>
      <c r="E1086" s="3">
        <v>3872.98</v>
      </c>
      <c r="F1086" s="4" t="str">
        <f>IF(campaignData[[#This Row],[Campaign]]="Old_Campaign", "A", "B")</f>
        <v>A</v>
      </c>
    </row>
    <row r="1087" spans="1:6" x14ac:dyDescent="0.2">
      <c r="A1087" s="1">
        <v>44739</v>
      </c>
      <c r="B1087" s="5" t="s">
        <v>6</v>
      </c>
      <c r="C1087" s="2">
        <v>1083</v>
      </c>
      <c r="D1087" s="2">
        <v>258</v>
      </c>
      <c r="E1087" s="3">
        <v>5327.53</v>
      </c>
      <c r="F1087" s="4" t="str">
        <f>IF(campaignData[[#This Row],[Campaign]]="Old_Campaign", "A", "B")</f>
        <v>B</v>
      </c>
    </row>
    <row r="1088" spans="1:6" x14ac:dyDescent="0.2">
      <c r="A1088" s="1">
        <v>44740</v>
      </c>
      <c r="B1088" s="5" t="s">
        <v>5</v>
      </c>
      <c r="C1088" s="2">
        <v>1255</v>
      </c>
      <c r="D1088" s="2">
        <v>253</v>
      </c>
      <c r="E1088" s="3">
        <v>3736.75</v>
      </c>
      <c r="F1088" s="4" t="str">
        <f>IF(campaignData[[#This Row],[Campaign]]="Old_Campaign", "A", "B")</f>
        <v>A</v>
      </c>
    </row>
    <row r="1089" spans="1:6" x14ac:dyDescent="0.2">
      <c r="A1089" s="1">
        <v>44740</v>
      </c>
      <c r="B1089" s="5" t="s">
        <v>6</v>
      </c>
      <c r="C1089" s="2">
        <v>1126</v>
      </c>
      <c r="D1089" s="2">
        <v>263</v>
      </c>
      <c r="E1089" s="3">
        <v>4026.05</v>
      </c>
      <c r="F1089" s="4" t="str">
        <f>IF(campaignData[[#This Row],[Campaign]]="Old_Campaign", "A", "B")</f>
        <v>B</v>
      </c>
    </row>
    <row r="1090" spans="1:6" x14ac:dyDescent="0.2">
      <c r="A1090" s="1">
        <v>44741</v>
      </c>
      <c r="B1090" s="5" t="s">
        <v>5</v>
      </c>
      <c r="C1090" s="2">
        <v>1204</v>
      </c>
      <c r="D1090" s="2">
        <v>200</v>
      </c>
      <c r="E1090" s="3">
        <v>3411.51</v>
      </c>
      <c r="F1090" s="4" t="str">
        <f>IF(campaignData[[#This Row],[Campaign]]="Old_Campaign", "A", "B")</f>
        <v>A</v>
      </c>
    </row>
    <row r="1091" spans="1:6" x14ac:dyDescent="0.2">
      <c r="A1091" s="1">
        <v>44741</v>
      </c>
      <c r="B1091" s="5" t="s">
        <v>6</v>
      </c>
      <c r="C1091" s="2">
        <v>1164</v>
      </c>
      <c r="D1091" s="2">
        <v>285</v>
      </c>
      <c r="E1091" s="3">
        <v>4845.96</v>
      </c>
      <c r="F1091" s="4" t="str">
        <f>IF(campaignData[[#This Row],[Campaign]]="Old_Campaign", "A", "B")</f>
        <v>B</v>
      </c>
    </row>
    <row r="1092" spans="1:6" x14ac:dyDescent="0.2">
      <c r="A1092" s="1">
        <v>44742</v>
      </c>
      <c r="B1092" s="5" t="s">
        <v>5</v>
      </c>
      <c r="C1092" s="2">
        <v>1203</v>
      </c>
      <c r="D1092" s="2">
        <v>240</v>
      </c>
      <c r="E1092" s="3">
        <v>3580.85</v>
      </c>
      <c r="F1092" s="4" t="str">
        <f>IF(campaignData[[#This Row],[Campaign]]="Old_Campaign", "A", "B")</f>
        <v>A</v>
      </c>
    </row>
    <row r="1093" spans="1:6" x14ac:dyDescent="0.2">
      <c r="A1093" s="1">
        <v>44742</v>
      </c>
      <c r="B1093" s="5" t="s">
        <v>6</v>
      </c>
      <c r="C1093" s="2">
        <v>1227</v>
      </c>
      <c r="D1093" s="2">
        <v>280</v>
      </c>
      <c r="E1093" s="3">
        <v>3693.63</v>
      </c>
      <c r="F1093" s="4" t="str">
        <f>IF(campaignData[[#This Row],[Campaign]]="Old_Campaign", "A", "B")</f>
        <v>B</v>
      </c>
    </row>
    <row r="1094" spans="1:6" x14ac:dyDescent="0.2">
      <c r="A1094" s="1">
        <v>44743</v>
      </c>
      <c r="B1094" s="5" t="s">
        <v>5</v>
      </c>
      <c r="C1094" s="2">
        <v>1210</v>
      </c>
      <c r="D1094" s="2">
        <v>241</v>
      </c>
      <c r="E1094" s="3">
        <v>3490.83</v>
      </c>
      <c r="F1094" s="4" t="str">
        <f>IF(campaignData[[#This Row],[Campaign]]="Old_Campaign", "A", "B")</f>
        <v>A</v>
      </c>
    </row>
    <row r="1095" spans="1:6" x14ac:dyDescent="0.2">
      <c r="A1095" s="1">
        <v>44743</v>
      </c>
      <c r="B1095" s="5" t="s">
        <v>6</v>
      </c>
      <c r="C1095" s="2">
        <v>1121</v>
      </c>
      <c r="D1095" s="2">
        <v>264</v>
      </c>
      <c r="E1095" s="3">
        <v>4187.2299999999996</v>
      </c>
      <c r="F1095" s="4" t="str">
        <f>IF(campaignData[[#This Row],[Campaign]]="Old_Campaign", "A", "B")</f>
        <v>B</v>
      </c>
    </row>
    <row r="1096" spans="1:6" x14ac:dyDescent="0.2">
      <c r="A1096" s="1">
        <v>44744</v>
      </c>
      <c r="B1096" s="5" t="s">
        <v>5</v>
      </c>
      <c r="C1096" s="2">
        <v>1197</v>
      </c>
      <c r="D1096" s="2">
        <v>209</v>
      </c>
      <c r="E1096" s="3">
        <v>3197.53</v>
      </c>
      <c r="F1096" s="4" t="str">
        <f>IF(campaignData[[#This Row],[Campaign]]="Old_Campaign", "A", "B")</f>
        <v>A</v>
      </c>
    </row>
    <row r="1097" spans="1:6" x14ac:dyDescent="0.2">
      <c r="A1097" s="1">
        <v>44744</v>
      </c>
      <c r="B1097" s="5" t="s">
        <v>6</v>
      </c>
      <c r="C1097" s="2">
        <v>1191</v>
      </c>
      <c r="D1097" s="2">
        <v>254</v>
      </c>
      <c r="E1097" s="3">
        <v>4113.7</v>
      </c>
      <c r="F1097" s="4" t="str">
        <f>IF(campaignData[[#This Row],[Campaign]]="Old_Campaign", "A", "B")</f>
        <v>B</v>
      </c>
    </row>
    <row r="1098" spans="1:6" x14ac:dyDescent="0.2">
      <c r="A1098" s="1">
        <v>44745</v>
      </c>
      <c r="B1098" s="5" t="s">
        <v>5</v>
      </c>
      <c r="C1098" s="2">
        <v>1240</v>
      </c>
      <c r="D1098" s="2">
        <v>250</v>
      </c>
      <c r="E1098" s="3">
        <v>3989.75</v>
      </c>
      <c r="F1098" s="4" t="str">
        <f>IF(campaignData[[#This Row],[Campaign]]="Old_Campaign", "A", "B")</f>
        <v>A</v>
      </c>
    </row>
    <row r="1099" spans="1:6" x14ac:dyDescent="0.2">
      <c r="A1099" s="1">
        <v>44745</v>
      </c>
      <c r="B1099" s="5" t="s">
        <v>6</v>
      </c>
      <c r="C1099" s="2">
        <v>1121</v>
      </c>
      <c r="D1099" s="2">
        <v>233</v>
      </c>
      <c r="E1099" s="3">
        <v>4067.69</v>
      </c>
      <c r="F1099" s="4" t="str">
        <f>IF(campaignData[[#This Row],[Campaign]]="Old_Campaign", "A", "B")</f>
        <v>B</v>
      </c>
    </row>
    <row r="1100" spans="1:6" x14ac:dyDescent="0.2">
      <c r="A1100" s="1">
        <v>44746</v>
      </c>
      <c r="B1100" s="5" t="s">
        <v>5</v>
      </c>
      <c r="C1100" s="2">
        <v>1186</v>
      </c>
      <c r="D1100" s="2">
        <v>224</v>
      </c>
      <c r="E1100" s="3">
        <v>3304.32</v>
      </c>
      <c r="F1100" s="4" t="str">
        <f>IF(campaignData[[#This Row],[Campaign]]="Old_Campaign", "A", "B")</f>
        <v>A</v>
      </c>
    </row>
    <row r="1101" spans="1:6" x14ac:dyDescent="0.2">
      <c r="A1101" s="1">
        <v>44746</v>
      </c>
      <c r="B1101" s="5" t="s">
        <v>6</v>
      </c>
      <c r="C1101" s="2">
        <v>1167</v>
      </c>
      <c r="D1101" s="2">
        <v>271</v>
      </c>
      <c r="E1101" s="3">
        <v>4221.43</v>
      </c>
      <c r="F1101" s="4" t="str">
        <f>IF(campaignData[[#This Row],[Campaign]]="Old_Campaign", "A", "B")</f>
        <v>B</v>
      </c>
    </row>
    <row r="1102" spans="1:6" x14ac:dyDescent="0.2">
      <c r="A1102" s="1">
        <v>44747</v>
      </c>
      <c r="B1102" s="5" t="s">
        <v>5</v>
      </c>
      <c r="C1102" s="2">
        <v>1165</v>
      </c>
      <c r="D1102" s="2">
        <v>256</v>
      </c>
      <c r="E1102" s="3">
        <v>3394.93</v>
      </c>
      <c r="F1102" s="4" t="str">
        <f>IF(campaignData[[#This Row],[Campaign]]="Old_Campaign", "A", "B")</f>
        <v>A</v>
      </c>
    </row>
    <row r="1103" spans="1:6" x14ac:dyDescent="0.2">
      <c r="A1103" s="1">
        <v>44747</v>
      </c>
      <c r="B1103" s="5" t="s">
        <v>6</v>
      </c>
      <c r="C1103" s="2">
        <v>1156</v>
      </c>
      <c r="D1103" s="2">
        <v>260</v>
      </c>
      <c r="E1103" s="3">
        <v>4154.3500000000004</v>
      </c>
      <c r="F1103" s="4" t="str">
        <f>IF(campaignData[[#This Row],[Campaign]]="Old_Campaign", "A", "B")</f>
        <v>B</v>
      </c>
    </row>
    <row r="1104" spans="1:6" x14ac:dyDescent="0.2">
      <c r="A1104" s="1">
        <v>44748</v>
      </c>
      <c r="B1104" s="5" t="s">
        <v>5</v>
      </c>
      <c r="C1104" s="2">
        <v>1183</v>
      </c>
      <c r="D1104" s="2">
        <v>247</v>
      </c>
      <c r="E1104" s="3">
        <v>4097.53</v>
      </c>
      <c r="F1104" s="4" t="str">
        <f>IF(campaignData[[#This Row],[Campaign]]="Old_Campaign", "A", "B")</f>
        <v>A</v>
      </c>
    </row>
    <row r="1105" spans="1:6" x14ac:dyDescent="0.2">
      <c r="A1105" s="1">
        <v>44748</v>
      </c>
      <c r="B1105" s="5" t="s">
        <v>6</v>
      </c>
      <c r="C1105" s="2">
        <v>1137</v>
      </c>
      <c r="D1105" s="2">
        <v>262</v>
      </c>
      <c r="E1105" s="3">
        <v>4702.18</v>
      </c>
      <c r="F1105" s="4" t="str">
        <f>IF(campaignData[[#This Row],[Campaign]]="Old_Campaign", "A", "B")</f>
        <v>B</v>
      </c>
    </row>
    <row r="1106" spans="1:6" x14ac:dyDescent="0.2">
      <c r="A1106" s="1">
        <v>44749</v>
      </c>
      <c r="B1106" s="5" t="s">
        <v>5</v>
      </c>
      <c r="C1106" s="2">
        <v>1165</v>
      </c>
      <c r="D1106" s="2">
        <v>218</v>
      </c>
      <c r="E1106" s="3">
        <v>3509.66</v>
      </c>
      <c r="F1106" s="4" t="str">
        <f>IF(campaignData[[#This Row],[Campaign]]="Old_Campaign", "A", "B")</f>
        <v>A</v>
      </c>
    </row>
    <row r="1107" spans="1:6" x14ac:dyDescent="0.2">
      <c r="A1107" s="1">
        <v>44749</v>
      </c>
      <c r="B1107" s="5" t="s">
        <v>6</v>
      </c>
      <c r="C1107" s="2">
        <v>1139</v>
      </c>
      <c r="D1107" s="2">
        <v>285</v>
      </c>
      <c r="E1107" s="3">
        <v>5586.82</v>
      </c>
      <c r="F1107" s="4" t="str">
        <f>IF(campaignData[[#This Row],[Campaign]]="Old_Campaign", "A", "B")</f>
        <v>B</v>
      </c>
    </row>
    <row r="1108" spans="1:6" x14ac:dyDescent="0.2">
      <c r="A1108" s="1">
        <v>44750</v>
      </c>
      <c r="B1108" s="5" t="s">
        <v>5</v>
      </c>
      <c r="C1108" s="2">
        <v>1140</v>
      </c>
      <c r="D1108" s="2">
        <v>201</v>
      </c>
      <c r="E1108" s="3">
        <v>2934.34</v>
      </c>
      <c r="F1108" s="4" t="str">
        <f>IF(campaignData[[#This Row],[Campaign]]="Old_Campaign", "A", "B")</f>
        <v>A</v>
      </c>
    </row>
    <row r="1109" spans="1:6" x14ac:dyDescent="0.2">
      <c r="A1109" s="1">
        <v>44750</v>
      </c>
      <c r="B1109" s="5" t="s">
        <v>6</v>
      </c>
      <c r="C1109" s="2">
        <v>1137</v>
      </c>
      <c r="D1109" s="2">
        <v>251</v>
      </c>
      <c r="E1109" s="3">
        <v>4200.49</v>
      </c>
      <c r="F1109" s="4" t="str">
        <f>IF(campaignData[[#This Row],[Campaign]]="Old_Campaign", "A", "B")</f>
        <v>B</v>
      </c>
    </row>
    <row r="1110" spans="1:6" x14ac:dyDescent="0.2">
      <c r="A1110" s="1">
        <v>44751</v>
      </c>
      <c r="B1110" s="5" t="s">
        <v>5</v>
      </c>
      <c r="C1110" s="2">
        <v>1217</v>
      </c>
      <c r="D1110" s="2">
        <v>249</v>
      </c>
      <c r="E1110" s="3">
        <v>4011.9</v>
      </c>
      <c r="F1110" s="4" t="str">
        <f>IF(campaignData[[#This Row],[Campaign]]="Old_Campaign", "A", "B")</f>
        <v>A</v>
      </c>
    </row>
    <row r="1111" spans="1:6" x14ac:dyDescent="0.2">
      <c r="A1111" s="1">
        <v>44751</v>
      </c>
      <c r="B1111" s="5" t="s">
        <v>6</v>
      </c>
      <c r="C1111" s="2">
        <v>1146</v>
      </c>
      <c r="D1111" s="2">
        <v>256</v>
      </c>
      <c r="E1111" s="3">
        <v>3793.26</v>
      </c>
      <c r="F1111" s="4" t="str">
        <f>IF(campaignData[[#This Row],[Campaign]]="Old_Campaign", "A", "B")</f>
        <v>B</v>
      </c>
    </row>
    <row r="1112" spans="1:6" x14ac:dyDescent="0.2">
      <c r="A1112" s="1">
        <v>44752</v>
      </c>
      <c r="B1112" s="5" t="s">
        <v>5</v>
      </c>
      <c r="C1112" s="2">
        <v>1226</v>
      </c>
      <c r="D1112" s="2">
        <v>231</v>
      </c>
      <c r="E1112" s="3">
        <v>3534.05</v>
      </c>
      <c r="F1112" s="4" t="str">
        <f>IF(campaignData[[#This Row],[Campaign]]="Old_Campaign", "A", "B")</f>
        <v>A</v>
      </c>
    </row>
    <row r="1113" spans="1:6" x14ac:dyDescent="0.2">
      <c r="A1113" s="1">
        <v>44752</v>
      </c>
      <c r="B1113" s="5" t="s">
        <v>6</v>
      </c>
      <c r="C1113" s="2">
        <v>1153</v>
      </c>
      <c r="D1113" s="2">
        <v>258</v>
      </c>
      <c r="E1113" s="3">
        <v>4525.71</v>
      </c>
      <c r="F1113" s="4" t="str">
        <f>IF(campaignData[[#This Row],[Campaign]]="Old_Campaign", "A", "B")</f>
        <v>B</v>
      </c>
    </row>
    <row r="1114" spans="1:6" x14ac:dyDescent="0.2">
      <c r="A1114" s="1">
        <v>44753</v>
      </c>
      <c r="B1114" s="5" t="s">
        <v>5</v>
      </c>
      <c r="C1114" s="2">
        <v>1202</v>
      </c>
      <c r="D1114" s="2">
        <v>219</v>
      </c>
      <c r="E1114" s="3">
        <v>3208.22</v>
      </c>
      <c r="F1114" s="4" t="str">
        <f>IF(campaignData[[#This Row],[Campaign]]="Old_Campaign", "A", "B")</f>
        <v>A</v>
      </c>
    </row>
    <row r="1115" spans="1:6" x14ac:dyDescent="0.2">
      <c r="A1115" s="1">
        <v>44753</v>
      </c>
      <c r="B1115" s="5" t="s">
        <v>6</v>
      </c>
      <c r="C1115" s="2">
        <v>1194</v>
      </c>
      <c r="D1115" s="2">
        <v>284</v>
      </c>
      <c r="E1115" s="3">
        <v>4770.8100000000004</v>
      </c>
      <c r="F1115" s="4" t="str">
        <f>IF(campaignData[[#This Row],[Campaign]]="Old_Campaign", "A", "B")</f>
        <v>B</v>
      </c>
    </row>
    <row r="1116" spans="1:6" x14ac:dyDescent="0.2">
      <c r="A1116" s="1">
        <v>44754</v>
      </c>
      <c r="B1116" s="5" t="s">
        <v>5</v>
      </c>
      <c r="C1116" s="2">
        <v>1148</v>
      </c>
      <c r="D1116" s="2">
        <v>217</v>
      </c>
      <c r="E1116" s="3">
        <v>4029.59</v>
      </c>
      <c r="F1116" s="4" t="str">
        <f>IF(campaignData[[#This Row],[Campaign]]="Old_Campaign", "A", "B")</f>
        <v>A</v>
      </c>
    </row>
    <row r="1117" spans="1:6" x14ac:dyDescent="0.2">
      <c r="A1117" s="1">
        <v>44754</v>
      </c>
      <c r="B1117" s="5" t="s">
        <v>6</v>
      </c>
      <c r="C1117" s="2">
        <v>1102</v>
      </c>
      <c r="D1117" s="2">
        <v>259</v>
      </c>
      <c r="E1117" s="3">
        <v>4150.97</v>
      </c>
      <c r="F1117" s="4" t="str">
        <f>IF(campaignData[[#This Row],[Campaign]]="Old_Campaign", "A", "B")</f>
        <v>B</v>
      </c>
    </row>
    <row r="1118" spans="1:6" x14ac:dyDescent="0.2">
      <c r="A1118" s="1">
        <v>44755</v>
      </c>
      <c r="B1118" s="5" t="s">
        <v>5</v>
      </c>
      <c r="C1118" s="2">
        <v>1236</v>
      </c>
      <c r="D1118" s="2">
        <v>239</v>
      </c>
      <c r="E1118" s="3">
        <v>3080.22</v>
      </c>
      <c r="F1118" s="4" t="str">
        <f>IF(campaignData[[#This Row],[Campaign]]="Old_Campaign", "A", "B")</f>
        <v>A</v>
      </c>
    </row>
    <row r="1119" spans="1:6" x14ac:dyDescent="0.2">
      <c r="A1119" s="1">
        <v>44755</v>
      </c>
      <c r="B1119" s="5" t="s">
        <v>6</v>
      </c>
      <c r="C1119" s="2">
        <v>1166</v>
      </c>
      <c r="D1119" s="2">
        <v>286</v>
      </c>
      <c r="E1119" s="3">
        <v>4429.03</v>
      </c>
      <c r="F1119" s="4" t="str">
        <f>IF(campaignData[[#This Row],[Campaign]]="Old_Campaign", "A", "B")</f>
        <v>B</v>
      </c>
    </row>
    <row r="1120" spans="1:6" x14ac:dyDescent="0.2">
      <c r="A1120" s="1">
        <v>44756</v>
      </c>
      <c r="B1120" s="5" t="s">
        <v>5</v>
      </c>
      <c r="C1120" s="2">
        <v>1255</v>
      </c>
      <c r="D1120" s="2">
        <v>230</v>
      </c>
      <c r="E1120" s="3">
        <v>3795.4</v>
      </c>
      <c r="F1120" s="4" t="str">
        <f>IF(campaignData[[#This Row],[Campaign]]="Old_Campaign", "A", "B")</f>
        <v>A</v>
      </c>
    </row>
    <row r="1121" spans="1:6" x14ac:dyDescent="0.2">
      <c r="A1121" s="1">
        <v>44756</v>
      </c>
      <c r="B1121" s="5" t="s">
        <v>6</v>
      </c>
      <c r="C1121" s="2">
        <v>1149</v>
      </c>
      <c r="D1121" s="2">
        <v>264</v>
      </c>
      <c r="E1121" s="3">
        <v>4569.54</v>
      </c>
      <c r="F1121" s="4" t="str">
        <f>IF(campaignData[[#This Row],[Campaign]]="Old_Campaign", "A", "B")</f>
        <v>B</v>
      </c>
    </row>
    <row r="1122" spans="1:6" x14ac:dyDescent="0.2">
      <c r="A1122" s="1">
        <v>44757</v>
      </c>
      <c r="B1122" s="5" t="s">
        <v>5</v>
      </c>
      <c r="C1122" s="2">
        <v>1252</v>
      </c>
      <c r="D1122" s="2">
        <v>219</v>
      </c>
      <c r="E1122" s="3">
        <v>2861.99</v>
      </c>
      <c r="F1122" s="4" t="str">
        <f>IF(campaignData[[#This Row],[Campaign]]="Old_Campaign", "A", "B")</f>
        <v>A</v>
      </c>
    </row>
    <row r="1123" spans="1:6" x14ac:dyDescent="0.2">
      <c r="A1123" s="1">
        <v>44757</v>
      </c>
      <c r="B1123" s="5" t="s">
        <v>6</v>
      </c>
      <c r="C1123" s="2">
        <v>1123</v>
      </c>
      <c r="D1123" s="2">
        <v>260</v>
      </c>
      <c r="E1123" s="3">
        <v>3879.94</v>
      </c>
      <c r="F1123" s="4" t="str">
        <f>IF(campaignData[[#This Row],[Campaign]]="Old_Campaign", "A", "B")</f>
        <v>B</v>
      </c>
    </row>
    <row r="1124" spans="1:6" x14ac:dyDescent="0.2">
      <c r="A1124" s="1">
        <v>44758</v>
      </c>
      <c r="B1124" s="5" t="s">
        <v>5</v>
      </c>
      <c r="C1124" s="2">
        <v>1156</v>
      </c>
      <c r="D1124" s="2">
        <v>231</v>
      </c>
      <c r="E1124" s="3">
        <v>4043.67</v>
      </c>
      <c r="F1124" s="4" t="str">
        <f>IF(campaignData[[#This Row],[Campaign]]="Old_Campaign", "A", "B")</f>
        <v>A</v>
      </c>
    </row>
    <row r="1125" spans="1:6" x14ac:dyDescent="0.2">
      <c r="A1125" s="1">
        <v>44758</v>
      </c>
      <c r="B1125" s="5" t="s">
        <v>6</v>
      </c>
      <c r="C1125" s="2">
        <v>1200</v>
      </c>
      <c r="D1125" s="2">
        <v>269</v>
      </c>
      <c r="E1125" s="3">
        <v>3884.89</v>
      </c>
      <c r="F1125" s="4" t="str">
        <f>IF(campaignData[[#This Row],[Campaign]]="Old_Campaign", "A", "B")</f>
        <v>B</v>
      </c>
    </row>
    <row r="1126" spans="1:6" x14ac:dyDescent="0.2">
      <c r="A1126" s="1">
        <v>44759</v>
      </c>
      <c r="B1126" s="5" t="s">
        <v>5</v>
      </c>
      <c r="C1126" s="2">
        <v>1159</v>
      </c>
      <c r="D1126" s="2">
        <v>213</v>
      </c>
      <c r="E1126" s="3">
        <v>2625.92</v>
      </c>
      <c r="F1126" s="4" t="str">
        <f>IF(campaignData[[#This Row],[Campaign]]="Old_Campaign", "A", "B")</f>
        <v>A</v>
      </c>
    </row>
    <row r="1127" spans="1:6" x14ac:dyDescent="0.2">
      <c r="A1127" s="1">
        <v>44759</v>
      </c>
      <c r="B1127" s="5" t="s">
        <v>6</v>
      </c>
      <c r="C1127" s="2">
        <v>1155</v>
      </c>
      <c r="D1127" s="2">
        <v>238</v>
      </c>
      <c r="E1127" s="3">
        <v>4152.6899999999996</v>
      </c>
      <c r="F1127" s="4" t="str">
        <f>IF(campaignData[[#This Row],[Campaign]]="Old_Campaign", "A", "B")</f>
        <v>B</v>
      </c>
    </row>
    <row r="1128" spans="1:6" x14ac:dyDescent="0.2">
      <c r="A1128" s="1">
        <v>44760</v>
      </c>
      <c r="B1128" s="5" t="s">
        <v>5</v>
      </c>
      <c r="C1128" s="2">
        <v>1244</v>
      </c>
      <c r="D1128" s="2">
        <v>219</v>
      </c>
      <c r="E1128" s="3">
        <v>2640.93</v>
      </c>
      <c r="F1128" s="4" t="str">
        <f>IF(campaignData[[#This Row],[Campaign]]="Old_Campaign", "A", "B")</f>
        <v>A</v>
      </c>
    </row>
    <row r="1129" spans="1:6" x14ac:dyDescent="0.2">
      <c r="A1129" s="1">
        <v>44760</v>
      </c>
      <c r="B1129" s="5" t="s">
        <v>6</v>
      </c>
      <c r="C1129" s="2">
        <v>1154</v>
      </c>
      <c r="D1129" s="2">
        <v>268</v>
      </c>
      <c r="E1129" s="3">
        <v>3611.16</v>
      </c>
      <c r="F1129" s="4" t="str">
        <f>IF(campaignData[[#This Row],[Campaign]]="Old_Campaign", "A", "B")</f>
        <v>B</v>
      </c>
    </row>
    <row r="1130" spans="1:6" x14ac:dyDescent="0.2">
      <c r="A1130" s="1">
        <v>44761</v>
      </c>
      <c r="B1130" s="5" t="s">
        <v>5</v>
      </c>
      <c r="C1130" s="2">
        <v>1216</v>
      </c>
      <c r="D1130" s="2">
        <v>236</v>
      </c>
      <c r="E1130" s="3">
        <v>4282.8</v>
      </c>
      <c r="F1130" s="4" t="str">
        <f>IF(campaignData[[#This Row],[Campaign]]="Old_Campaign", "A", "B")</f>
        <v>A</v>
      </c>
    </row>
    <row r="1131" spans="1:6" x14ac:dyDescent="0.2">
      <c r="A1131" s="1">
        <v>44761</v>
      </c>
      <c r="B1131" s="5" t="s">
        <v>6</v>
      </c>
      <c r="C1131" s="2">
        <v>1138</v>
      </c>
      <c r="D1131" s="2">
        <v>258</v>
      </c>
      <c r="E1131" s="3">
        <v>4363.6499999999996</v>
      </c>
      <c r="F1131" s="4" t="str">
        <f>IF(campaignData[[#This Row],[Campaign]]="Old_Campaign", "A", "B")</f>
        <v>B</v>
      </c>
    </row>
    <row r="1132" spans="1:6" x14ac:dyDescent="0.2">
      <c r="A1132" s="1">
        <v>44762</v>
      </c>
      <c r="B1132" s="5" t="s">
        <v>5</v>
      </c>
      <c r="C1132" s="2">
        <v>1264</v>
      </c>
      <c r="D1132" s="2">
        <v>238</v>
      </c>
      <c r="E1132" s="3">
        <v>3978.36</v>
      </c>
      <c r="F1132" s="4" t="str">
        <f>IF(campaignData[[#This Row],[Campaign]]="Old_Campaign", "A", "B")</f>
        <v>A</v>
      </c>
    </row>
    <row r="1133" spans="1:6" x14ac:dyDescent="0.2">
      <c r="A1133" s="1">
        <v>44762</v>
      </c>
      <c r="B1133" s="5" t="s">
        <v>6</v>
      </c>
      <c r="C1133" s="2">
        <v>1191</v>
      </c>
      <c r="D1133" s="2">
        <v>265</v>
      </c>
      <c r="E1133" s="3">
        <v>4533.3900000000003</v>
      </c>
      <c r="F1133" s="4" t="str">
        <f>IF(campaignData[[#This Row],[Campaign]]="Old_Campaign", "A", "B")</f>
        <v>B</v>
      </c>
    </row>
    <row r="1134" spans="1:6" x14ac:dyDescent="0.2">
      <c r="A1134" s="1">
        <v>44763</v>
      </c>
      <c r="B1134" s="5" t="s">
        <v>5</v>
      </c>
      <c r="C1134" s="2">
        <v>1171</v>
      </c>
      <c r="D1134" s="2">
        <v>221</v>
      </c>
      <c r="E1134" s="3">
        <v>3194.59</v>
      </c>
      <c r="F1134" s="4" t="str">
        <f>IF(campaignData[[#This Row],[Campaign]]="Old_Campaign", "A", "B")</f>
        <v>A</v>
      </c>
    </row>
    <row r="1135" spans="1:6" x14ac:dyDescent="0.2">
      <c r="A1135" s="1">
        <v>44763</v>
      </c>
      <c r="B1135" s="5" t="s">
        <v>6</v>
      </c>
      <c r="C1135" s="2">
        <v>1159</v>
      </c>
      <c r="D1135" s="2">
        <v>278</v>
      </c>
      <c r="E1135" s="3">
        <v>5133.95</v>
      </c>
      <c r="F1135" s="4" t="str">
        <f>IF(campaignData[[#This Row],[Campaign]]="Old_Campaign", "A", "B")</f>
        <v>B</v>
      </c>
    </row>
    <row r="1136" spans="1:6" x14ac:dyDescent="0.2">
      <c r="A1136" s="1">
        <v>44764</v>
      </c>
      <c r="B1136" s="5" t="s">
        <v>5</v>
      </c>
      <c r="C1136" s="2">
        <v>1196</v>
      </c>
      <c r="D1136" s="2">
        <v>193</v>
      </c>
      <c r="E1136" s="3">
        <v>2981.19</v>
      </c>
      <c r="F1136" s="4" t="str">
        <f>IF(campaignData[[#This Row],[Campaign]]="Old_Campaign", "A", "B")</f>
        <v>A</v>
      </c>
    </row>
    <row r="1137" spans="1:6" x14ac:dyDescent="0.2">
      <c r="A1137" s="1">
        <v>44764</v>
      </c>
      <c r="B1137" s="5" t="s">
        <v>6</v>
      </c>
      <c r="C1137" s="2">
        <v>1221</v>
      </c>
      <c r="D1137" s="2">
        <v>265</v>
      </c>
      <c r="E1137" s="3">
        <v>3604.85</v>
      </c>
      <c r="F1137" s="4" t="str">
        <f>IF(campaignData[[#This Row],[Campaign]]="Old_Campaign", "A", "B")</f>
        <v>B</v>
      </c>
    </row>
    <row r="1138" spans="1:6" x14ac:dyDescent="0.2">
      <c r="A1138" s="1">
        <v>44765</v>
      </c>
      <c r="B1138" s="5" t="s">
        <v>5</v>
      </c>
      <c r="C1138" s="2">
        <v>1163</v>
      </c>
      <c r="D1138" s="2">
        <v>222</v>
      </c>
      <c r="E1138" s="3">
        <v>3418.09</v>
      </c>
      <c r="F1138" s="4" t="str">
        <f>IF(campaignData[[#This Row],[Campaign]]="Old_Campaign", "A", "B")</f>
        <v>A</v>
      </c>
    </row>
    <row r="1139" spans="1:6" x14ac:dyDescent="0.2">
      <c r="A1139" s="1">
        <v>44765</v>
      </c>
      <c r="B1139" s="5" t="s">
        <v>6</v>
      </c>
      <c r="C1139" s="2">
        <v>1168</v>
      </c>
      <c r="D1139" s="2">
        <v>265</v>
      </c>
      <c r="E1139" s="3">
        <v>4235.13</v>
      </c>
      <c r="F1139" s="4" t="str">
        <f>IF(campaignData[[#This Row],[Campaign]]="Old_Campaign", "A", "B")</f>
        <v>B</v>
      </c>
    </row>
    <row r="1140" spans="1:6" x14ac:dyDescent="0.2">
      <c r="A1140" s="1">
        <v>44766</v>
      </c>
      <c r="B1140" s="5" t="s">
        <v>5</v>
      </c>
      <c r="C1140" s="2">
        <v>1180</v>
      </c>
      <c r="D1140" s="2">
        <v>213</v>
      </c>
      <c r="E1140" s="3">
        <v>3304.13</v>
      </c>
      <c r="F1140" s="4" t="str">
        <f>IF(campaignData[[#This Row],[Campaign]]="Old_Campaign", "A", "B")</f>
        <v>A</v>
      </c>
    </row>
    <row r="1141" spans="1:6" x14ac:dyDescent="0.2">
      <c r="A1141" s="1">
        <v>44766</v>
      </c>
      <c r="B1141" s="5" t="s">
        <v>6</v>
      </c>
      <c r="C1141" s="2">
        <v>1128</v>
      </c>
      <c r="D1141" s="2">
        <v>258</v>
      </c>
      <c r="E1141" s="3">
        <v>4743.75</v>
      </c>
      <c r="F1141" s="4" t="str">
        <f>IF(campaignData[[#This Row],[Campaign]]="Old_Campaign", "A", "B")</f>
        <v>B</v>
      </c>
    </row>
    <row r="1142" spans="1:6" x14ac:dyDescent="0.2">
      <c r="A1142" s="1">
        <v>44767</v>
      </c>
      <c r="B1142" s="5" t="s">
        <v>5</v>
      </c>
      <c r="C1142" s="2">
        <v>1232</v>
      </c>
      <c r="D1142" s="2">
        <v>271</v>
      </c>
      <c r="E1142" s="3">
        <v>3876.82</v>
      </c>
      <c r="F1142" s="4" t="str">
        <f>IF(campaignData[[#This Row],[Campaign]]="Old_Campaign", "A", "B")</f>
        <v>A</v>
      </c>
    </row>
    <row r="1143" spans="1:6" x14ac:dyDescent="0.2">
      <c r="A1143" s="1">
        <v>44767</v>
      </c>
      <c r="B1143" s="5" t="s">
        <v>6</v>
      </c>
      <c r="C1143" s="2">
        <v>1102</v>
      </c>
      <c r="D1143" s="2">
        <v>275</v>
      </c>
      <c r="E1143" s="3">
        <v>4823.9399999999996</v>
      </c>
      <c r="F1143" s="4" t="str">
        <f>IF(campaignData[[#This Row],[Campaign]]="Old_Campaign", "A", "B")</f>
        <v>B</v>
      </c>
    </row>
    <row r="1144" spans="1:6" x14ac:dyDescent="0.2">
      <c r="A1144" s="1">
        <v>44768</v>
      </c>
      <c r="B1144" s="5" t="s">
        <v>5</v>
      </c>
      <c r="C1144" s="2">
        <v>1193</v>
      </c>
      <c r="D1144" s="2">
        <v>217</v>
      </c>
      <c r="E1144" s="3">
        <v>3135.74</v>
      </c>
      <c r="F1144" s="4" t="str">
        <f>IF(campaignData[[#This Row],[Campaign]]="Old_Campaign", "A", "B")</f>
        <v>A</v>
      </c>
    </row>
    <row r="1145" spans="1:6" x14ac:dyDescent="0.2">
      <c r="A1145" s="1">
        <v>44768</v>
      </c>
      <c r="B1145" s="5" t="s">
        <v>6</v>
      </c>
      <c r="C1145" s="2">
        <v>1150</v>
      </c>
      <c r="D1145" s="2">
        <v>235</v>
      </c>
      <c r="E1145" s="3">
        <v>2725.42</v>
      </c>
      <c r="F1145" s="4" t="str">
        <f>IF(campaignData[[#This Row],[Campaign]]="Old_Campaign", "A", "B")</f>
        <v>B</v>
      </c>
    </row>
    <row r="1146" spans="1:6" x14ac:dyDescent="0.2">
      <c r="A1146" s="1">
        <v>44769</v>
      </c>
      <c r="B1146" s="5" t="s">
        <v>5</v>
      </c>
      <c r="C1146" s="2">
        <v>1241</v>
      </c>
      <c r="D1146" s="2">
        <v>243</v>
      </c>
      <c r="E1146" s="3">
        <v>2851.84</v>
      </c>
      <c r="F1146" s="4" t="str">
        <f>IF(campaignData[[#This Row],[Campaign]]="Old_Campaign", "A", "B")</f>
        <v>A</v>
      </c>
    </row>
    <row r="1147" spans="1:6" x14ac:dyDescent="0.2">
      <c r="A1147" s="1">
        <v>44769</v>
      </c>
      <c r="B1147" s="5" t="s">
        <v>6</v>
      </c>
      <c r="C1147" s="2">
        <v>1147</v>
      </c>
      <c r="D1147" s="2">
        <v>254</v>
      </c>
      <c r="E1147" s="3">
        <v>3604.29</v>
      </c>
      <c r="F1147" s="4" t="str">
        <f>IF(campaignData[[#This Row],[Campaign]]="Old_Campaign", "A", "B")</f>
        <v>B</v>
      </c>
    </row>
    <row r="1148" spans="1:6" x14ac:dyDescent="0.2">
      <c r="A1148" s="1">
        <v>44770</v>
      </c>
      <c r="B1148" s="5" t="s">
        <v>5</v>
      </c>
      <c r="C1148" s="2">
        <v>1127</v>
      </c>
      <c r="D1148" s="2">
        <v>211</v>
      </c>
      <c r="E1148" s="3">
        <v>3740.28</v>
      </c>
      <c r="F1148" s="4" t="str">
        <f>IF(campaignData[[#This Row],[Campaign]]="Old_Campaign", "A", "B")</f>
        <v>A</v>
      </c>
    </row>
    <row r="1149" spans="1:6" x14ac:dyDescent="0.2">
      <c r="A1149" s="1">
        <v>44770</v>
      </c>
      <c r="B1149" s="5" t="s">
        <v>6</v>
      </c>
      <c r="C1149" s="2">
        <v>1175</v>
      </c>
      <c r="D1149" s="2">
        <v>275</v>
      </c>
      <c r="E1149" s="3">
        <v>4233.01</v>
      </c>
      <c r="F1149" s="4" t="str">
        <f>IF(campaignData[[#This Row],[Campaign]]="Old_Campaign", "A", "B")</f>
        <v>B</v>
      </c>
    </row>
    <row r="1150" spans="1:6" x14ac:dyDescent="0.2">
      <c r="A1150" s="1">
        <v>44771</v>
      </c>
      <c r="B1150" s="5" t="s">
        <v>5</v>
      </c>
      <c r="C1150" s="2">
        <v>1229</v>
      </c>
      <c r="D1150" s="2">
        <v>212</v>
      </c>
      <c r="E1150" s="3">
        <v>2715.2</v>
      </c>
      <c r="F1150" s="4" t="str">
        <f>IF(campaignData[[#This Row],[Campaign]]="Old_Campaign", "A", "B")</f>
        <v>A</v>
      </c>
    </row>
    <row r="1151" spans="1:6" x14ac:dyDescent="0.2">
      <c r="A1151" s="1">
        <v>44771</v>
      </c>
      <c r="B1151" s="5" t="s">
        <v>6</v>
      </c>
      <c r="C1151" s="2">
        <v>1192</v>
      </c>
      <c r="D1151" s="2">
        <v>280</v>
      </c>
      <c r="E1151" s="3">
        <v>4441.99</v>
      </c>
      <c r="F1151" s="4" t="str">
        <f>IF(campaignData[[#This Row],[Campaign]]="Old_Campaign", "A", "B")</f>
        <v>B</v>
      </c>
    </row>
    <row r="1152" spans="1:6" x14ac:dyDescent="0.2">
      <c r="A1152" s="1">
        <v>44772</v>
      </c>
      <c r="B1152" s="5" t="s">
        <v>5</v>
      </c>
      <c r="C1152" s="2">
        <v>1169</v>
      </c>
      <c r="D1152" s="2">
        <v>224</v>
      </c>
      <c r="E1152" s="3">
        <v>2952.87</v>
      </c>
      <c r="F1152" s="4" t="str">
        <f>IF(campaignData[[#This Row],[Campaign]]="Old_Campaign", "A", "B")</f>
        <v>A</v>
      </c>
    </row>
    <row r="1153" spans="1:6" x14ac:dyDescent="0.2">
      <c r="A1153" s="1">
        <v>44772</v>
      </c>
      <c r="B1153" s="5" t="s">
        <v>6</v>
      </c>
      <c r="C1153" s="2">
        <v>1214</v>
      </c>
      <c r="D1153" s="2">
        <v>275</v>
      </c>
      <c r="E1153" s="3">
        <v>5326.49</v>
      </c>
      <c r="F1153" s="4" t="str">
        <f>IF(campaignData[[#This Row],[Campaign]]="Old_Campaign", "A", "B")</f>
        <v>B</v>
      </c>
    </row>
    <row r="1154" spans="1:6" x14ac:dyDescent="0.2">
      <c r="A1154" s="1">
        <v>44773</v>
      </c>
      <c r="B1154" s="5" t="s">
        <v>5</v>
      </c>
      <c r="C1154" s="2">
        <v>1254</v>
      </c>
      <c r="D1154" s="2">
        <v>237</v>
      </c>
      <c r="E1154" s="3">
        <v>2924.25</v>
      </c>
      <c r="F1154" s="4" t="str">
        <f>IF(campaignData[[#This Row],[Campaign]]="Old_Campaign", "A", "B")</f>
        <v>A</v>
      </c>
    </row>
    <row r="1155" spans="1:6" x14ac:dyDescent="0.2">
      <c r="A1155" s="1">
        <v>44773</v>
      </c>
      <c r="B1155" s="5" t="s">
        <v>6</v>
      </c>
      <c r="C1155" s="2">
        <v>1160</v>
      </c>
      <c r="D1155" s="2">
        <v>251</v>
      </c>
      <c r="E1155" s="3">
        <v>2922.66</v>
      </c>
      <c r="F1155" s="4" t="str">
        <f>IF(campaignData[[#This Row],[Campaign]]="Old_Campaign", "A", "B")</f>
        <v>B</v>
      </c>
    </row>
    <row r="1156" spans="1:6" x14ac:dyDescent="0.2">
      <c r="A1156" s="1">
        <v>44774</v>
      </c>
      <c r="B1156" s="5" t="s">
        <v>5</v>
      </c>
      <c r="C1156" s="2">
        <v>1255</v>
      </c>
      <c r="D1156" s="2">
        <v>230</v>
      </c>
      <c r="E1156" s="3">
        <v>2800.91</v>
      </c>
      <c r="F1156" s="4" t="str">
        <f>IF(campaignData[[#This Row],[Campaign]]="Old_Campaign", "A", "B")</f>
        <v>A</v>
      </c>
    </row>
    <row r="1157" spans="1:6" x14ac:dyDescent="0.2">
      <c r="A1157" s="1">
        <v>44774</v>
      </c>
      <c r="B1157" s="5" t="s">
        <v>6</v>
      </c>
      <c r="C1157" s="2">
        <v>1204</v>
      </c>
      <c r="D1157" s="2">
        <v>254</v>
      </c>
      <c r="E1157" s="3">
        <v>4472</v>
      </c>
      <c r="F1157" s="4" t="str">
        <f>IF(campaignData[[#This Row],[Campaign]]="Old_Campaign", "A", "B")</f>
        <v>B</v>
      </c>
    </row>
    <row r="1158" spans="1:6" x14ac:dyDescent="0.2">
      <c r="A1158" s="1">
        <v>44775</v>
      </c>
      <c r="B1158" s="5" t="s">
        <v>5</v>
      </c>
      <c r="C1158" s="2">
        <v>1287</v>
      </c>
      <c r="D1158" s="2">
        <v>258</v>
      </c>
      <c r="E1158" s="3">
        <v>3257.11</v>
      </c>
      <c r="F1158" s="4" t="str">
        <f>IF(campaignData[[#This Row],[Campaign]]="Old_Campaign", "A", "B")</f>
        <v>A</v>
      </c>
    </row>
    <row r="1159" spans="1:6" x14ac:dyDescent="0.2">
      <c r="A1159" s="1">
        <v>44775</v>
      </c>
      <c r="B1159" s="5" t="s">
        <v>6</v>
      </c>
      <c r="C1159" s="2">
        <v>1157</v>
      </c>
      <c r="D1159" s="2">
        <v>285</v>
      </c>
      <c r="E1159" s="3">
        <v>4333.53</v>
      </c>
      <c r="F1159" s="4" t="str">
        <f>IF(campaignData[[#This Row],[Campaign]]="Old_Campaign", "A", "B")</f>
        <v>B</v>
      </c>
    </row>
    <row r="1160" spans="1:6" x14ac:dyDescent="0.2">
      <c r="A1160" s="1">
        <v>44776</v>
      </c>
      <c r="B1160" s="5" t="s">
        <v>5</v>
      </c>
      <c r="C1160" s="2">
        <v>1212</v>
      </c>
      <c r="D1160" s="2">
        <v>243</v>
      </c>
      <c r="E1160" s="3">
        <v>3389.11</v>
      </c>
      <c r="F1160" s="4" t="str">
        <f>IF(campaignData[[#This Row],[Campaign]]="Old_Campaign", "A", "B")</f>
        <v>A</v>
      </c>
    </row>
    <row r="1161" spans="1:6" x14ac:dyDescent="0.2">
      <c r="A1161" s="1">
        <v>44776</v>
      </c>
      <c r="B1161" s="5" t="s">
        <v>6</v>
      </c>
      <c r="C1161" s="2">
        <v>1178</v>
      </c>
      <c r="D1161" s="2">
        <v>265</v>
      </c>
      <c r="E1161" s="3">
        <v>3962.5</v>
      </c>
      <c r="F1161" s="4" t="str">
        <f>IF(campaignData[[#This Row],[Campaign]]="Old_Campaign", "A", "B")</f>
        <v>B</v>
      </c>
    </row>
    <row r="1162" spans="1:6" x14ac:dyDescent="0.2">
      <c r="A1162" s="1">
        <v>44777</v>
      </c>
      <c r="B1162" s="5" t="s">
        <v>5</v>
      </c>
      <c r="C1162" s="2">
        <v>1182</v>
      </c>
      <c r="D1162" s="2">
        <v>198</v>
      </c>
      <c r="E1162" s="3">
        <v>2744.16</v>
      </c>
      <c r="F1162" s="4" t="str">
        <f>IF(campaignData[[#This Row],[Campaign]]="Old_Campaign", "A", "B")</f>
        <v>A</v>
      </c>
    </row>
    <row r="1163" spans="1:6" x14ac:dyDescent="0.2">
      <c r="A1163" s="1">
        <v>44777</v>
      </c>
      <c r="B1163" s="5" t="s">
        <v>6</v>
      </c>
      <c r="C1163" s="2">
        <v>1110</v>
      </c>
      <c r="D1163" s="2">
        <v>250</v>
      </c>
      <c r="E1163" s="3">
        <v>3410.45</v>
      </c>
      <c r="F1163" s="4" t="str">
        <f>IF(campaignData[[#This Row],[Campaign]]="Old_Campaign", "A", "B")</f>
        <v>B</v>
      </c>
    </row>
    <row r="1164" spans="1:6" x14ac:dyDescent="0.2">
      <c r="A1164" s="1">
        <v>44778</v>
      </c>
      <c r="B1164" s="5" t="s">
        <v>5</v>
      </c>
      <c r="C1164" s="2">
        <v>1264</v>
      </c>
      <c r="D1164" s="2">
        <v>236</v>
      </c>
      <c r="E1164" s="3">
        <v>3175.99</v>
      </c>
      <c r="F1164" s="4" t="str">
        <f>IF(campaignData[[#This Row],[Campaign]]="Old_Campaign", "A", "B")</f>
        <v>A</v>
      </c>
    </row>
    <row r="1165" spans="1:6" x14ac:dyDescent="0.2">
      <c r="A1165" s="1">
        <v>44778</v>
      </c>
      <c r="B1165" s="5" t="s">
        <v>6</v>
      </c>
      <c r="C1165" s="2">
        <v>1122</v>
      </c>
      <c r="D1165" s="2">
        <v>242</v>
      </c>
      <c r="E1165" s="3">
        <v>3013.4</v>
      </c>
      <c r="F1165" s="4" t="str">
        <f>IF(campaignData[[#This Row],[Campaign]]="Old_Campaign", "A", "B")</f>
        <v>B</v>
      </c>
    </row>
    <row r="1166" spans="1:6" x14ac:dyDescent="0.2">
      <c r="A1166" s="1">
        <v>44779</v>
      </c>
      <c r="B1166" s="5" t="s">
        <v>5</v>
      </c>
      <c r="C1166" s="2">
        <v>1175</v>
      </c>
      <c r="D1166" s="2">
        <v>212</v>
      </c>
      <c r="E1166" s="3">
        <v>3155.81</v>
      </c>
      <c r="F1166" s="4" t="str">
        <f>IF(campaignData[[#This Row],[Campaign]]="Old_Campaign", "A", "B")</f>
        <v>A</v>
      </c>
    </row>
    <row r="1167" spans="1:6" x14ac:dyDescent="0.2">
      <c r="A1167" s="1">
        <v>44779</v>
      </c>
      <c r="B1167" s="5" t="s">
        <v>6</v>
      </c>
      <c r="C1167" s="2">
        <v>1142</v>
      </c>
      <c r="D1167" s="2">
        <v>265</v>
      </c>
      <c r="E1167" s="3">
        <v>4867.51</v>
      </c>
      <c r="F1167" s="4" t="str">
        <f>IF(campaignData[[#This Row],[Campaign]]="Old_Campaign", "A", "B")</f>
        <v>B</v>
      </c>
    </row>
    <row r="1168" spans="1:6" x14ac:dyDescent="0.2">
      <c r="A1168" s="1">
        <v>44780</v>
      </c>
      <c r="B1168" s="5" t="s">
        <v>5</v>
      </c>
      <c r="C1168" s="2">
        <v>1178</v>
      </c>
      <c r="D1168" s="2">
        <v>216</v>
      </c>
      <c r="E1168" s="3">
        <v>2656.9</v>
      </c>
      <c r="F1168" s="4" t="str">
        <f>IF(campaignData[[#This Row],[Campaign]]="Old_Campaign", "A", "B")</f>
        <v>A</v>
      </c>
    </row>
    <row r="1169" spans="1:6" x14ac:dyDescent="0.2">
      <c r="A1169" s="1">
        <v>44780</v>
      </c>
      <c r="B1169" s="5" t="s">
        <v>6</v>
      </c>
      <c r="C1169" s="2">
        <v>1215</v>
      </c>
      <c r="D1169" s="2">
        <v>272</v>
      </c>
      <c r="E1169" s="3">
        <v>5313.88</v>
      </c>
      <c r="F1169" s="4" t="str">
        <f>IF(campaignData[[#This Row],[Campaign]]="Old_Campaign", "A", "B")</f>
        <v>B</v>
      </c>
    </row>
    <row r="1170" spans="1:6" x14ac:dyDescent="0.2">
      <c r="A1170" s="1">
        <v>44781</v>
      </c>
      <c r="B1170" s="5" t="s">
        <v>5</v>
      </c>
      <c r="C1170" s="2">
        <v>1211</v>
      </c>
      <c r="D1170" s="2">
        <v>229</v>
      </c>
      <c r="E1170" s="3">
        <v>3882.03</v>
      </c>
      <c r="F1170" s="4" t="str">
        <f>IF(campaignData[[#This Row],[Campaign]]="Old_Campaign", "A", "B")</f>
        <v>A</v>
      </c>
    </row>
    <row r="1171" spans="1:6" x14ac:dyDescent="0.2">
      <c r="A1171" s="1">
        <v>44781</v>
      </c>
      <c r="B1171" s="5" t="s">
        <v>6</v>
      </c>
      <c r="C1171" s="2">
        <v>1132</v>
      </c>
      <c r="D1171" s="2">
        <v>274</v>
      </c>
      <c r="E1171" s="3">
        <v>5150.92</v>
      </c>
      <c r="F1171" s="4" t="str">
        <f>IF(campaignData[[#This Row],[Campaign]]="Old_Campaign", "A", "B")</f>
        <v>B</v>
      </c>
    </row>
    <row r="1172" spans="1:6" x14ac:dyDescent="0.2">
      <c r="A1172" s="1">
        <v>44782</v>
      </c>
      <c r="B1172" s="5" t="s">
        <v>5</v>
      </c>
      <c r="C1172" s="2">
        <v>1276</v>
      </c>
      <c r="D1172" s="2">
        <v>234</v>
      </c>
      <c r="E1172" s="3">
        <v>2589.29</v>
      </c>
      <c r="F1172" s="4" t="str">
        <f>IF(campaignData[[#This Row],[Campaign]]="Old_Campaign", "A", "B")</f>
        <v>A</v>
      </c>
    </row>
    <row r="1173" spans="1:6" x14ac:dyDescent="0.2">
      <c r="A1173" s="1">
        <v>44782</v>
      </c>
      <c r="B1173" s="5" t="s">
        <v>6</v>
      </c>
      <c r="C1173" s="2">
        <v>1184</v>
      </c>
      <c r="D1173" s="2">
        <v>246</v>
      </c>
      <c r="E1173" s="3">
        <v>3925.55</v>
      </c>
      <c r="F1173" s="4" t="str">
        <f>IF(campaignData[[#This Row],[Campaign]]="Old_Campaign", "A", "B")</f>
        <v>B</v>
      </c>
    </row>
    <row r="1174" spans="1:6" x14ac:dyDescent="0.2">
      <c r="A1174" s="1">
        <v>44783</v>
      </c>
      <c r="B1174" s="5" t="s">
        <v>5</v>
      </c>
      <c r="C1174" s="2">
        <v>1206</v>
      </c>
      <c r="D1174" s="2">
        <v>229</v>
      </c>
      <c r="E1174" s="3">
        <v>3357.21</v>
      </c>
      <c r="F1174" s="4" t="str">
        <f>IF(campaignData[[#This Row],[Campaign]]="Old_Campaign", "A", "B")</f>
        <v>A</v>
      </c>
    </row>
    <row r="1175" spans="1:6" x14ac:dyDescent="0.2">
      <c r="A1175" s="1">
        <v>44783</v>
      </c>
      <c r="B1175" s="5" t="s">
        <v>6</v>
      </c>
      <c r="C1175" s="2">
        <v>1145</v>
      </c>
      <c r="D1175" s="2">
        <v>269</v>
      </c>
      <c r="E1175" s="3">
        <v>5184.57</v>
      </c>
      <c r="F1175" s="4" t="str">
        <f>IF(campaignData[[#This Row],[Campaign]]="Old_Campaign", "A", "B")</f>
        <v>B</v>
      </c>
    </row>
    <row r="1176" spans="1:6" x14ac:dyDescent="0.2">
      <c r="A1176" s="1">
        <v>44784</v>
      </c>
      <c r="B1176" s="5" t="s">
        <v>5</v>
      </c>
      <c r="C1176" s="2">
        <v>1204</v>
      </c>
      <c r="D1176" s="2">
        <v>239</v>
      </c>
      <c r="E1176" s="3">
        <v>3649.13</v>
      </c>
      <c r="F1176" s="4" t="str">
        <f>IF(campaignData[[#This Row],[Campaign]]="Old_Campaign", "A", "B")</f>
        <v>A</v>
      </c>
    </row>
    <row r="1177" spans="1:6" x14ac:dyDescent="0.2">
      <c r="A1177" s="1">
        <v>44784</v>
      </c>
      <c r="B1177" s="5" t="s">
        <v>6</v>
      </c>
      <c r="C1177" s="2">
        <v>1130</v>
      </c>
      <c r="D1177" s="2">
        <v>270</v>
      </c>
      <c r="E1177" s="3">
        <v>4551.3</v>
      </c>
      <c r="F1177" s="4" t="str">
        <f>IF(campaignData[[#This Row],[Campaign]]="Old_Campaign", "A", "B")</f>
        <v>B</v>
      </c>
    </row>
    <row r="1178" spans="1:6" x14ac:dyDescent="0.2">
      <c r="A1178" s="1">
        <v>44785</v>
      </c>
      <c r="B1178" s="5" t="s">
        <v>5</v>
      </c>
      <c r="C1178" s="2">
        <v>1216</v>
      </c>
      <c r="D1178" s="2">
        <v>223</v>
      </c>
      <c r="E1178" s="3">
        <v>3287.67</v>
      </c>
      <c r="F1178" s="4" t="str">
        <f>IF(campaignData[[#This Row],[Campaign]]="Old_Campaign", "A", "B")</f>
        <v>A</v>
      </c>
    </row>
    <row r="1179" spans="1:6" x14ac:dyDescent="0.2">
      <c r="A1179" s="1">
        <v>44785</v>
      </c>
      <c r="B1179" s="5" t="s">
        <v>6</v>
      </c>
      <c r="C1179" s="2">
        <v>1154</v>
      </c>
      <c r="D1179" s="2">
        <v>261</v>
      </c>
      <c r="E1179" s="3">
        <v>3835.83</v>
      </c>
      <c r="F1179" s="4" t="str">
        <f>IF(campaignData[[#This Row],[Campaign]]="Old_Campaign", "A", "B")</f>
        <v>B</v>
      </c>
    </row>
    <row r="1180" spans="1:6" x14ac:dyDescent="0.2">
      <c r="A1180" s="1">
        <v>44786</v>
      </c>
      <c r="B1180" s="5" t="s">
        <v>5</v>
      </c>
      <c r="C1180" s="2">
        <v>1166</v>
      </c>
      <c r="D1180" s="2">
        <v>194</v>
      </c>
      <c r="E1180" s="3">
        <v>2722.36</v>
      </c>
      <c r="F1180" s="4" t="str">
        <f>IF(campaignData[[#This Row],[Campaign]]="Old_Campaign", "A", "B")</f>
        <v>A</v>
      </c>
    </row>
    <row r="1181" spans="1:6" x14ac:dyDescent="0.2">
      <c r="A1181" s="1">
        <v>44786</v>
      </c>
      <c r="B1181" s="5" t="s">
        <v>6</v>
      </c>
      <c r="C1181" s="2">
        <v>1143</v>
      </c>
      <c r="D1181" s="2">
        <v>269</v>
      </c>
      <c r="E1181" s="3">
        <v>4756.88</v>
      </c>
      <c r="F1181" s="4" t="str">
        <f>IF(campaignData[[#This Row],[Campaign]]="Old_Campaign", "A", "B")</f>
        <v>B</v>
      </c>
    </row>
    <row r="1182" spans="1:6" x14ac:dyDescent="0.2">
      <c r="A1182" s="1">
        <v>44787</v>
      </c>
      <c r="B1182" s="5" t="s">
        <v>5</v>
      </c>
      <c r="C1182" s="2">
        <v>1276</v>
      </c>
      <c r="D1182" s="2">
        <v>250</v>
      </c>
      <c r="E1182" s="3">
        <v>3817.78</v>
      </c>
      <c r="F1182" s="4" t="str">
        <f>IF(campaignData[[#This Row],[Campaign]]="Old_Campaign", "A", "B")</f>
        <v>A</v>
      </c>
    </row>
    <row r="1183" spans="1:6" x14ac:dyDescent="0.2">
      <c r="A1183" s="1">
        <v>44787</v>
      </c>
      <c r="B1183" s="5" t="s">
        <v>6</v>
      </c>
      <c r="C1183" s="2">
        <v>1167</v>
      </c>
      <c r="D1183" s="2">
        <v>265</v>
      </c>
      <c r="E1183" s="3">
        <v>4626.1099999999997</v>
      </c>
      <c r="F1183" s="4" t="str">
        <f>IF(campaignData[[#This Row],[Campaign]]="Old_Campaign", "A", "B")</f>
        <v>B</v>
      </c>
    </row>
    <row r="1184" spans="1:6" x14ac:dyDescent="0.2">
      <c r="A1184" s="1">
        <v>44788</v>
      </c>
      <c r="B1184" s="5" t="s">
        <v>5</v>
      </c>
      <c r="C1184" s="2">
        <v>1108</v>
      </c>
      <c r="D1184" s="2">
        <v>219</v>
      </c>
      <c r="E1184" s="3">
        <v>2742.07</v>
      </c>
      <c r="F1184" s="4" t="str">
        <f>IF(campaignData[[#This Row],[Campaign]]="Old_Campaign", "A", "B")</f>
        <v>A</v>
      </c>
    </row>
    <row r="1185" spans="1:6" x14ac:dyDescent="0.2">
      <c r="A1185" s="1">
        <v>44788</v>
      </c>
      <c r="B1185" s="5" t="s">
        <v>6</v>
      </c>
      <c r="C1185" s="2">
        <v>1153</v>
      </c>
      <c r="D1185" s="2">
        <v>269</v>
      </c>
      <c r="E1185" s="3">
        <v>3495.46</v>
      </c>
      <c r="F1185" s="4" t="str">
        <f>IF(campaignData[[#This Row],[Campaign]]="Old_Campaign", "A", "B")</f>
        <v>B</v>
      </c>
    </row>
    <row r="1186" spans="1:6" x14ac:dyDescent="0.2">
      <c r="A1186" s="1">
        <v>44789</v>
      </c>
      <c r="B1186" s="5" t="s">
        <v>5</v>
      </c>
      <c r="C1186" s="2">
        <v>1174</v>
      </c>
      <c r="D1186" s="2">
        <v>229</v>
      </c>
      <c r="E1186" s="3">
        <v>3947.33</v>
      </c>
      <c r="F1186" s="4" t="str">
        <f>IF(campaignData[[#This Row],[Campaign]]="Old_Campaign", "A", "B")</f>
        <v>A</v>
      </c>
    </row>
    <row r="1187" spans="1:6" x14ac:dyDescent="0.2">
      <c r="A1187" s="1">
        <v>44789</v>
      </c>
      <c r="B1187" s="5" t="s">
        <v>6</v>
      </c>
      <c r="C1187" s="2">
        <v>1123</v>
      </c>
      <c r="D1187" s="2">
        <v>252</v>
      </c>
      <c r="E1187" s="3">
        <v>4038.57</v>
      </c>
      <c r="F1187" s="4" t="str">
        <f>IF(campaignData[[#This Row],[Campaign]]="Old_Campaign", "A", "B")</f>
        <v>B</v>
      </c>
    </row>
    <row r="1188" spans="1:6" x14ac:dyDescent="0.2">
      <c r="A1188" s="1">
        <v>44790</v>
      </c>
      <c r="B1188" s="5" t="s">
        <v>5</v>
      </c>
      <c r="C1188" s="2">
        <v>1205</v>
      </c>
      <c r="D1188" s="2">
        <v>241</v>
      </c>
      <c r="E1188" s="3">
        <v>3106.18</v>
      </c>
      <c r="F1188" s="4" t="str">
        <f>IF(campaignData[[#This Row],[Campaign]]="Old_Campaign", "A", "B")</f>
        <v>A</v>
      </c>
    </row>
    <row r="1189" spans="1:6" x14ac:dyDescent="0.2">
      <c r="A1189" s="1">
        <v>44790</v>
      </c>
      <c r="B1189" s="5" t="s">
        <v>6</v>
      </c>
      <c r="C1189" s="2">
        <v>1166</v>
      </c>
      <c r="D1189" s="2">
        <v>277</v>
      </c>
      <c r="E1189" s="3">
        <v>4236.0600000000004</v>
      </c>
      <c r="F1189" s="4" t="str">
        <f>IF(campaignData[[#This Row],[Campaign]]="Old_Campaign", "A", "B")</f>
        <v>B</v>
      </c>
    </row>
    <row r="1190" spans="1:6" x14ac:dyDescent="0.2">
      <c r="A1190" s="1">
        <v>44791</v>
      </c>
      <c r="B1190" s="5" t="s">
        <v>5</v>
      </c>
      <c r="C1190" s="2">
        <v>1195</v>
      </c>
      <c r="D1190" s="2">
        <v>226</v>
      </c>
      <c r="E1190" s="3">
        <v>4310.21</v>
      </c>
      <c r="F1190" s="4" t="str">
        <f>IF(campaignData[[#This Row],[Campaign]]="Old_Campaign", "A", "B")</f>
        <v>A</v>
      </c>
    </row>
    <row r="1191" spans="1:6" x14ac:dyDescent="0.2">
      <c r="A1191" s="1">
        <v>44791</v>
      </c>
      <c r="B1191" s="5" t="s">
        <v>6</v>
      </c>
      <c r="C1191" s="2">
        <v>1180</v>
      </c>
      <c r="D1191" s="2">
        <v>295</v>
      </c>
      <c r="E1191" s="3">
        <v>4996.7</v>
      </c>
      <c r="F1191" s="4" t="str">
        <f>IF(campaignData[[#This Row],[Campaign]]="Old_Campaign", "A", "B")</f>
        <v>B</v>
      </c>
    </row>
    <row r="1192" spans="1:6" x14ac:dyDescent="0.2">
      <c r="A1192" s="1">
        <v>44792</v>
      </c>
      <c r="B1192" s="5" t="s">
        <v>5</v>
      </c>
      <c r="C1192" s="2">
        <v>1266</v>
      </c>
      <c r="D1192" s="2">
        <v>229</v>
      </c>
      <c r="E1192" s="3">
        <v>3405.88</v>
      </c>
      <c r="F1192" s="4" t="str">
        <f>IF(campaignData[[#This Row],[Campaign]]="Old_Campaign", "A", "B")</f>
        <v>A</v>
      </c>
    </row>
    <row r="1193" spans="1:6" x14ac:dyDescent="0.2">
      <c r="A1193" s="1">
        <v>44792</v>
      </c>
      <c r="B1193" s="5" t="s">
        <v>6</v>
      </c>
      <c r="C1193" s="2">
        <v>1196</v>
      </c>
      <c r="D1193" s="2">
        <v>241</v>
      </c>
      <c r="E1193" s="3">
        <v>3156.65</v>
      </c>
      <c r="F1193" s="4" t="str">
        <f>IF(campaignData[[#This Row],[Campaign]]="Old_Campaign", "A", "B")</f>
        <v>B</v>
      </c>
    </row>
    <row r="1194" spans="1:6" x14ac:dyDescent="0.2">
      <c r="A1194" s="1">
        <v>44793</v>
      </c>
      <c r="B1194" s="5" t="s">
        <v>5</v>
      </c>
      <c r="C1194" s="2">
        <v>1199</v>
      </c>
      <c r="D1194" s="2">
        <v>231</v>
      </c>
      <c r="E1194" s="3">
        <v>3479.55</v>
      </c>
      <c r="F1194" s="4" t="str">
        <f>IF(campaignData[[#This Row],[Campaign]]="Old_Campaign", "A", "B")</f>
        <v>A</v>
      </c>
    </row>
    <row r="1195" spans="1:6" x14ac:dyDescent="0.2">
      <c r="A1195" s="1">
        <v>44793</v>
      </c>
      <c r="B1195" s="5" t="s">
        <v>6</v>
      </c>
      <c r="C1195" s="2">
        <v>1168</v>
      </c>
      <c r="D1195" s="2">
        <v>257</v>
      </c>
      <c r="E1195" s="3">
        <v>4466.7</v>
      </c>
      <c r="F1195" s="4" t="str">
        <f>IF(campaignData[[#This Row],[Campaign]]="Old_Campaign", "A", "B")</f>
        <v>B</v>
      </c>
    </row>
    <row r="1196" spans="1:6" x14ac:dyDescent="0.2">
      <c r="A1196" s="1">
        <v>44794</v>
      </c>
      <c r="B1196" s="5" t="s">
        <v>5</v>
      </c>
      <c r="C1196" s="2">
        <v>1160</v>
      </c>
      <c r="D1196" s="2">
        <v>224</v>
      </c>
      <c r="E1196" s="3">
        <v>3060.67</v>
      </c>
      <c r="F1196" s="4" t="str">
        <f>IF(campaignData[[#This Row],[Campaign]]="Old_Campaign", "A", "B")</f>
        <v>A</v>
      </c>
    </row>
    <row r="1197" spans="1:6" x14ac:dyDescent="0.2">
      <c r="A1197" s="1">
        <v>44794</v>
      </c>
      <c r="B1197" s="5" t="s">
        <v>6</v>
      </c>
      <c r="C1197" s="2">
        <v>1150</v>
      </c>
      <c r="D1197" s="2">
        <v>271</v>
      </c>
      <c r="E1197" s="3">
        <v>4440.8100000000004</v>
      </c>
      <c r="F1197" s="4" t="str">
        <f>IF(campaignData[[#This Row],[Campaign]]="Old_Campaign", "A", "B")</f>
        <v>B</v>
      </c>
    </row>
    <row r="1198" spans="1:6" x14ac:dyDescent="0.2">
      <c r="A1198" s="1">
        <v>44795</v>
      </c>
      <c r="B1198" s="5" t="s">
        <v>5</v>
      </c>
      <c r="C1198" s="2">
        <v>1206</v>
      </c>
      <c r="D1198" s="2">
        <v>223</v>
      </c>
      <c r="E1198" s="3">
        <v>3057.62</v>
      </c>
      <c r="F1198" s="4" t="str">
        <f>IF(campaignData[[#This Row],[Campaign]]="Old_Campaign", "A", "B")</f>
        <v>A</v>
      </c>
    </row>
    <row r="1199" spans="1:6" x14ac:dyDescent="0.2">
      <c r="A1199" s="1">
        <v>44795</v>
      </c>
      <c r="B1199" s="5" t="s">
        <v>6</v>
      </c>
      <c r="C1199" s="2">
        <v>1165</v>
      </c>
      <c r="D1199" s="2">
        <v>278</v>
      </c>
      <c r="E1199" s="3">
        <v>2925.04</v>
      </c>
      <c r="F1199" s="4" t="str">
        <f>IF(campaignData[[#This Row],[Campaign]]="Old_Campaign", "A", "B")</f>
        <v>B</v>
      </c>
    </row>
    <row r="1200" spans="1:6" x14ac:dyDescent="0.2">
      <c r="A1200" s="1">
        <v>44796</v>
      </c>
      <c r="B1200" s="5" t="s">
        <v>5</v>
      </c>
      <c r="C1200" s="2">
        <v>1180</v>
      </c>
      <c r="D1200" s="2">
        <v>204</v>
      </c>
      <c r="E1200" s="3">
        <v>2752.42</v>
      </c>
      <c r="F1200" s="4" t="str">
        <f>IF(campaignData[[#This Row],[Campaign]]="Old_Campaign", "A", "B")</f>
        <v>A</v>
      </c>
    </row>
    <row r="1201" spans="1:6" x14ac:dyDescent="0.2">
      <c r="A1201" s="1">
        <v>44796</v>
      </c>
      <c r="B1201" s="5" t="s">
        <v>6</v>
      </c>
      <c r="C1201" s="2">
        <v>1136</v>
      </c>
      <c r="D1201" s="2">
        <v>270</v>
      </c>
      <c r="E1201" s="3">
        <v>4526.63</v>
      </c>
      <c r="F1201" s="4" t="str">
        <f>IF(campaignData[[#This Row],[Campaign]]="Old_Campaign", "A", "B")</f>
        <v>B</v>
      </c>
    </row>
    <row r="1202" spans="1:6" x14ac:dyDescent="0.2">
      <c r="A1202" s="1">
        <v>44797</v>
      </c>
      <c r="B1202" s="5" t="s">
        <v>5</v>
      </c>
      <c r="C1202" s="2">
        <v>1172</v>
      </c>
      <c r="D1202" s="2">
        <v>217</v>
      </c>
      <c r="E1202" s="3">
        <v>3304.21</v>
      </c>
      <c r="F1202" s="4" t="str">
        <f>IF(campaignData[[#This Row],[Campaign]]="Old_Campaign", "A", "B")</f>
        <v>A</v>
      </c>
    </row>
    <row r="1203" spans="1:6" x14ac:dyDescent="0.2">
      <c r="A1203" s="1">
        <v>44797</v>
      </c>
      <c r="B1203" s="5" t="s">
        <v>6</v>
      </c>
      <c r="C1203" s="2">
        <v>1125</v>
      </c>
      <c r="D1203" s="2">
        <v>252</v>
      </c>
      <c r="E1203" s="3">
        <v>4263.33</v>
      </c>
      <c r="F1203" s="4" t="str">
        <f>IF(campaignData[[#This Row],[Campaign]]="Old_Campaign", "A", "B")</f>
        <v>B</v>
      </c>
    </row>
    <row r="1204" spans="1:6" x14ac:dyDescent="0.2">
      <c r="A1204" s="1">
        <v>44798</v>
      </c>
      <c r="B1204" s="5" t="s">
        <v>5</v>
      </c>
      <c r="C1204" s="2">
        <v>1247</v>
      </c>
      <c r="D1204" s="2">
        <v>249</v>
      </c>
      <c r="E1204" s="3">
        <v>4182.54</v>
      </c>
      <c r="F1204" s="4" t="str">
        <f>IF(campaignData[[#This Row],[Campaign]]="Old_Campaign", "A", "B")</f>
        <v>A</v>
      </c>
    </row>
    <row r="1205" spans="1:6" x14ac:dyDescent="0.2">
      <c r="A1205" s="1">
        <v>44798</v>
      </c>
      <c r="B1205" s="5" t="s">
        <v>6</v>
      </c>
      <c r="C1205" s="2">
        <v>1183</v>
      </c>
      <c r="D1205" s="2">
        <v>296</v>
      </c>
      <c r="E1205" s="3">
        <v>4758.32</v>
      </c>
      <c r="F1205" s="4" t="str">
        <f>IF(campaignData[[#This Row],[Campaign]]="Old_Campaign", "A", "B")</f>
        <v>B</v>
      </c>
    </row>
    <row r="1206" spans="1:6" x14ac:dyDescent="0.2">
      <c r="A1206" s="1">
        <v>44799</v>
      </c>
      <c r="B1206" s="5" t="s">
        <v>5</v>
      </c>
      <c r="C1206" s="2">
        <v>1203</v>
      </c>
      <c r="D1206" s="2">
        <v>232</v>
      </c>
      <c r="E1206" s="3">
        <v>3401.87</v>
      </c>
      <c r="F1206" s="4" t="str">
        <f>IF(campaignData[[#This Row],[Campaign]]="Old_Campaign", "A", "B")</f>
        <v>A</v>
      </c>
    </row>
    <row r="1207" spans="1:6" x14ac:dyDescent="0.2">
      <c r="A1207" s="1">
        <v>44799</v>
      </c>
      <c r="B1207" s="5" t="s">
        <v>6</v>
      </c>
      <c r="C1207" s="2">
        <v>1132</v>
      </c>
      <c r="D1207" s="2">
        <v>259</v>
      </c>
      <c r="E1207" s="3">
        <v>3975.13</v>
      </c>
      <c r="F1207" s="4" t="str">
        <f>IF(campaignData[[#This Row],[Campaign]]="Old_Campaign", "A", "B")</f>
        <v>B</v>
      </c>
    </row>
    <row r="1208" spans="1:6" x14ac:dyDescent="0.2">
      <c r="A1208" s="1">
        <v>44800</v>
      </c>
      <c r="B1208" s="5" t="s">
        <v>5</v>
      </c>
      <c r="C1208" s="2">
        <v>1217</v>
      </c>
      <c r="D1208" s="2">
        <v>231</v>
      </c>
      <c r="E1208" s="3">
        <v>3616.45</v>
      </c>
      <c r="F1208" s="4" t="str">
        <f>IF(campaignData[[#This Row],[Campaign]]="Old_Campaign", "A", "B")</f>
        <v>A</v>
      </c>
    </row>
    <row r="1209" spans="1:6" x14ac:dyDescent="0.2">
      <c r="A1209" s="1">
        <v>44800</v>
      </c>
      <c r="B1209" s="5" t="s">
        <v>6</v>
      </c>
      <c r="C1209" s="2">
        <v>1167</v>
      </c>
      <c r="D1209" s="2">
        <v>264</v>
      </c>
      <c r="E1209" s="3">
        <v>4726.91</v>
      </c>
      <c r="F1209" s="4" t="str">
        <f>IF(campaignData[[#This Row],[Campaign]]="Old_Campaign", "A", "B")</f>
        <v>B</v>
      </c>
    </row>
    <row r="1210" spans="1:6" x14ac:dyDescent="0.2">
      <c r="A1210" s="1">
        <v>44801</v>
      </c>
      <c r="B1210" s="5" t="s">
        <v>5</v>
      </c>
      <c r="C1210" s="2">
        <v>1266</v>
      </c>
      <c r="D1210" s="2">
        <v>234</v>
      </c>
      <c r="E1210" s="3">
        <v>4485.6499999999996</v>
      </c>
      <c r="F1210" s="4" t="str">
        <f>IF(campaignData[[#This Row],[Campaign]]="Old_Campaign", "A", "B")</f>
        <v>A</v>
      </c>
    </row>
    <row r="1211" spans="1:6" x14ac:dyDescent="0.2">
      <c r="A1211" s="1">
        <v>44801</v>
      </c>
      <c r="B1211" s="5" t="s">
        <v>6</v>
      </c>
      <c r="C1211" s="2">
        <v>1178</v>
      </c>
      <c r="D1211" s="2">
        <v>259</v>
      </c>
      <c r="E1211" s="3">
        <v>3621.9</v>
      </c>
      <c r="F1211" s="4" t="str">
        <f>IF(campaignData[[#This Row],[Campaign]]="Old_Campaign", "A", "B")</f>
        <v>B</v>
      </c>
    </row>
    <row r="1212" spans="1:6" x14ac:dyDescent="0.2">
      <c r="A1212" s="1">
        <v>44802</v>
      </c>
      <c r="B1212" s="5" t="s">
        <v>5</v>
      </c>
      <c r="C1212" s="2">
        <v>1202</v>
      </c>
      <c r="D1212" s="2">
        <v>226</v>
      </c>
      <c r="E1212" s="3">
        <v>3115.38</v>
      </c>
      <c r="F1212" s="4" t="str">
        <f>IF(campaignData[[#This Row],[Campaign]]="Old_Campaign", "A", "B")</f>
        <v>A</v>
      </c>
    </row>
    <row r="1213" spans="1:6" x14ac:dyDescent="0.2">
      <c r="A1213" s="1">
        <v>44802</v>
      </c>
      <c r="B1213" s="5" t="s">
        <v>6</v>
      </c>
      <c r="C1213" s="2">
        <v>1163</v>
      </c>
      <c r="D1213" s="2">
        <v>251</v>
      </c>
      <c r="E1213" s="3">
        <v>4803.2299999999996</v>
      </c>
      <c r="F1213" s="4" t="str">
        <f>IF(campaignData[[#This Row],[Campaign]]="Old_Campaign", "A", "B")</f>
        <v>B</v>
      </c>
    </row>
    <row r="1214" spans="1:6" x14ac:dyDescent="0.2">
      <c r="A1214" s="1">
        <v>44803</v>
      </c>
      <c r="B1214" s="5" t="s">
        <v>5</v>
      </c>
      <c r="C1214" s="2">
        <v>1243</v>
      </c>
      <c r="D1214" s="2">
        <v>240</v>
      </c>
      <c r="E1214" s="3">
        <v>4084.93</v>
      </c>
      <c r="F1214" s="4" t="str">
        <f>IF(campaignData[[#This Row],[Campaign]]="Old_Campaign", "A", "B")</f>
        <v>A</v>
      </c>
    </row>
    <row r="1215" spans="1:6" x14ac:dyDescent="0.2">
      <c r="A1215" s="1">
        <v>44803</v>
      </c>
      <c r="B1215" s="5" t="s">
        <v>6</v>
      </c>
      <c r="C1215" s="2">
        <v>1138</v>
      </c>
      <c r="D1215" s="2">
        <v>252</v>
      </c>
      <c r="E1215" s="3">
        <v>4009.64</v>
      </c>
      <c r="F1215" s="4" t="str">
        <f>IF(campaignData[[#This Row],[Campaign]]="Old_Campaign", "A", "B")</f>
        <v>B</v>
      </c>
    </row>
    <row r="1216" spans="1:6" x14ac:dyDescent="0.2">
      <c r="A1216" s="1">
        <v>44804</v>
      </c>
      <c r="B1216" s="5" t="s">
        <v>5</v>
      </c>
      <c r="C1216" s="2">
        <v>1168</v>
      </c>
      <c r="D1216" s="2">
        <v>221</v>
      </c>
      <c r="E1216" s="3">
        <v>3621.71</v>
      </c>
      <c r="F1216" s="4" t="str">
        <f>IF(campaignData[[#This Row],[Campaign]]="Old_Campaign", "A", "B")</f>
        <v>A</v>
      </c>
    </row>
    <row r="1217" spans="1:6" x14ac:dyDescent="0.2">
      <c r="A1217" s="1">
        <v>44804</v>
      </c>
      <c r="B1217" s="5" t="s">
        <v>6</v>
      </c>
      <c r="C1217" s="2">
        <v>1159</v>
      </c>
      <c r="D1217" s="2">
        <v>270</v>
      </c>
      <c r="E1217" s="3">
        <v>4706.96</v>
      </c>
      <c r="F1217" s="4" t="str">
        <f>IF(campaignData[[#This Row],[Campaign]]="Old_Campaign", "A", "B")</f>
        <v>B</v>
      </c>
    </row>
    <row r="1218" spans="1:6" x14ac:dyDescent="0.2">
      <c r="A1218" s="1">
        <v>44805</v>
      </c>
      <c r="B1218" s="5" t="s">
        <v>5</v>
      </c>
      <c r="C1218" s="2">
        <v>1206</v>
      </c>
      <c r="D1218" s="2">
        <v>245</v>
      </c>
      <c r="E1218" s="3">
        <v>3763.01</v>
      </c>
      <c r="F1218" s="4" t="str">
        <f>IF(campaignData[[#This Row],[Campaign]]="Old_Campaign", "A", "B")</f>
        <v>A</v>
      </c>
    </row>
    <row r="1219" spans="1:6" x14ac:dyDescent="0.2">
      <c r="A1219" s="1">
        <v>44805</v>
      </c>
      <c r="B1219" s="5" t="s">
        <v>6</v>
      </c>
      <c r="C1219" s="2">
        <v>1106</v>
      </c>
      <c r="D1219" s="2">
        <v>226</v>
      </c>
      <c r="E1219" s="3">
        <v>4224.01</v>
      </c>
      <c r="F1219" s="4" t="str">
        <f>IF(campaignData[[#This Row],[Campaign]]="Old_Campaign", "A", "B")</f>
        <v>B</v>
      </c>
    </row>
    <row r="1220" spans="1:6" x14ac:dyDescent="0.2">
      <c r="A1220" s="1">
        <v>44806</v>
      </c>
      <c r="B1220" s="5" t="s">
        <v>5</v>
      </c>
      <c r="C1220" s="2">
        <v>1187</v>
      </c>
      <c r="D1220" s="2">
        <v>243</v>
      </c>
      <c r="E1220" s="3">
        <v>3370.8</v>
      </c>
      <c r="F1220" s="4" t="str">
        <f>IF(campaignData[[#This Row],[Campaign]]="Old_Campaign", "A", "B")</f>
        <v>A</v>
      </c>
    </row>
    <row r="1221" spans="1:6" x14ac:dyDescent="0.2">
      <c r="A1221" s="1">
        <v>44806</v>
      </c>
      <c r="B1221" s="5" t="s">
        <v>6</v>
      </c>
      <c r="C1221" s="2">
        <v>1139</v>
      </c>
      <c r="D1221" s="2">
        <v>276</v>
      </c>
      <c r="E1221" s="3">
        <v>3591.29</v>
      </c>
      <c r="F1221" s="4" t="str">
        <f>IF(campaignData[[#This Row],[Campaign]]="Old_Campaign", "A", "B")</f>
        <v>B</v>
      </c>
    </row>
    <row r="1222" spans="1:6" x14ac:dyDescent="0.2">
      <c r="A1222" s="1">
        <v>44807</v>
      </c>
      <c r="B1222" s="5" t="s">
        <v>5</v>
      </c>
      <c r="C1222" s="2">
        <v>1176</v>
      </c>
      <c r="D1222" s="2">
        <v>213</v>
      </c>
      <c r="E1222" s="3">
        <v>3923.9</v>
      </c>
      <c r="F1222" s="4" t="str">
        <f>IF(campaignData[[#This Row],[Campaign]]="Old_Campaign", "A", "B")</f>
        <v>A</v>
      </c>
    </row>
    <row r="1223" spans="1:6" x14ac:dyDescent="0.2">
      <c r="A1223" s="1">
        <v>44807</v>
      </c>
      <c r="B1223" s="5" t="s">
        <v>6</v>
      </c>
      <c r="C1223" s="2">
        <v>1217</v>
      </c>
      <c r="D1223" s="2">
        <v>241</v>
      </c>
      <c r="E1223" s="3">
        <v>4108.55</v>
      </c>
      <c r="F1223" s="4" t="str">
        <f>IF(campaignData[[#This Row],[Campaign]]="Old_Campaign", "A", "B")</f>
        <v>B</v>
      </c>
    </row>
    <row r="1224" spans="1:6" x14ac:dyDescent="0.2">
      <c r="A1224" s="1">
        <v>44808</v>
      </c>
      <c r="B1224" s="5" t="s">
        <v>5</v>
      </c>
      <c r="C1224" s="2">
        <v>1155</v>
      </c>
      <c r="D1224" s="2">
        <v>233</v>
      </c>
      <c r="E1224" s="3">
        <v>3446.09</v>
      </c>
      <c r="F1224" s="4" t="str">
        <f>IF(campaignData[[#This Row],[Campaign]]="Old_Campaign", "A", "B")</f>
        <v>A</v>
      </c>
    </row>
    <row r="1225" spans="1:6" x14ac:dyDescent="0.2">
      <c r="A1225" s="1">
        <v>44808</v>
      </c>
      <c r="B1225" s="5" t="s">
        <v>6</v>
      </c>
      <c r="C1225" s="2">
        <v>1069</v>
      </c>
      <c r="D1225" s="2">
        <v>247</v>
      </c>
      <c r="E1225" s="3">
        <v>4254.72</v>
      </c>
      <c r="F1225" s="4" t="str">
        <f>IF(campaignData[[#This Row],[Campaign]]="Old_Campaign", "A", "B")</f>
        <v>B</v>
      </c>
    </row>
    <row r="1226" spans="1:6" x14ac:dyDescent="0.2">
      <c r="A1226" s="1">
        <v>44809</v>
      </c>
      <c r="B1226" s="5" t="s">
        <v>5</v>
      </c>
      <c r="C1226" s="2">
        <v>1211</v>
      </c>
      <c r="D1226" s="2">
        <v>207</v>
      </c>
      <c r="E1226" s="3">
        <v>3141.02</v>
      </c>
      <c r="F1226" s="4" t="str">
        <f>IF(campaignData[[#This Row],[Campaign]]="Old_Campaign", "A", "B")</f>
        <v>A</v>
      </c>
    </row>
    <row r="1227" spans="1:6" x14ac:dyDescent="0.2">
      <c r="A1227" s="1">
        <v>44809</v>
      </c>
      <c r="B1227" s="5" t="s">
        <v>6</v>
      </c>
      <c r="C1227" s="2">
        <v>1128</v>
      </c>
      <c r="D1227" s="2">
        <v>244</v>
      </c>
      <c r="E1227" s="3">
        <v>3398.36</v>
      </c>
      <c r="F1227" s="4" t="str">
        <f>IF(campaignData[[#This Row],[Campaign]]="Old_Campaign", "A", "B")</f>
        <v>B</v>
      </c>
    </row>
    <row r="1228" spans="1:6" x14ac:dyDescent="0.2">
      <c r="A1228" s="1">
        <v>44810</v>
      </c>
      <c r="B1228" s="5" t="s">
        <v>5</v>
      </c>
      <c r="C1228" s="2">
        <v>1175</v>
      </c>
      <c r="D1228" s="2">
        <v>222</v>
      </c>
      <c r="E1228" s="3">
        <v>3137.36</v>
      </c>
      <c r="F1228" s="4" t="str">
        <f>IF(campaignData[[#This Row],[Campaign]]="Old_Campaign", "A", "B")</f>
        <v>A</v>
      </c>
    </row>
    <row r="1229" spans="1:6" x14ac:dyDescent="0.2">
      <c r="A1229" s="1">
        <v>44810</v>
      </c>
      <c r="B1229" s="5" t="s">
        <v>6</v>
      </c>
      <c r="C1229" s="2">
        <v>1125</v>
      </c>
      <c r="D1229" s="2">
        <v>234</v>
      </c>
      <c r="E1229" s="3">
        <v>4549.97</v>
      </c>
      <c r="F1229" s="4" t="str">
        <f>IF(campaignData[[#This Row],[Campaign]]="Old_Campaign", "A", "B")</f>
        <v>B</v>
      </c>
    </row>
    <row r="1230" spans="1:6" x14ac:dyDescent="0.2">
      <c r="A1230" s="1">
        <v>44811</v>
      </c>
      <c r="B1230" s="5" t="s">
        <v>5</v>
      </c>
      <c r="C1230" s="2">
        <v>1234</v>
      </c>
      <c r="D1230" s="2">
        <v>232</v>
      </c>
      <c r="E1230" s="3">
        <v>2455.36</v>
      </c>
      <c r="F1230" s="4" t="str">
        <f>IF(campaignData[[#This Row],[Campaign]]="Old_Campaign", "A", "B")</f>
        <v>A</v>
      </c>
    </row>
    <row r="1231" spans="1:6" x14ac:dyDescent="0.2">
      <c r="A1231" s="1">
        <v>44811</v>
      </c>
      <c r="B1231" s="5" t="s">
        <v>6</v>
      </c>
      <c r="C1231" s="2">
        <v>1132</v>
      </c>
      <c r="D1231" s="2">
        <v>286</v>
      </c>
      <c r="E1231" s="3">
        <v>4444.1000000000004</v>
      </c>
      <c r="F1231" s="4" t="str">
        <f>IF(campaignData[[#This Row],[Campaign]]="Old_Campaign", "A", "B")</f>
        <v>B</v>
      </c>
    </row>
    <row r="1232" spans="1:6" x14ac:dyDescent="0.2">
      <c r="A1232" s="1">
        <v>44812</v>
      </c>
      <c r="B1232" s="5" t="s">
        <v>5</v>
      </c>
      <c r="C1232" s="2">
        <v>1193</v>
      </c>
      <c r="D1232" s="2">
        <v>236</v>
      </c>
      <c r="E1232" s="3">
        <v>3813.45</v>
      </c>
      <c r="F1232" s="4" t="str">
        <f>IF(campaignData[[#This Row],[Campaign]]="Old_Campaign", "A", "B")</f>
        <v>A</v>
      </c>
    </row>
    <row r="1233" spans="1:6" x14ac:dyDescent="0.2">
      <c r="A1233" s="1">
        <v>44812</v>
      </c>
      <c r="B1233" s="5" t="s">
        <v>6</v>
      </c>
      <c r="C1233" s="2">
        <v>1157</v>
      </c>
      <c r="D1233" s="2">
        <v>255</v>
      </c>
      <c r="E1233" s="3">
        <v>4800.13</v>
      </c>
      <c r="F1233" s="4" t="str">
        <f>IF(campaignData[[#This Row],[Campaign]]="Old_Campaign", "A", "B")</f>
        <v>B</v>
      </c>
    </row>
    <row r="1234" spans="1:6" x14ac:dyDescent="0.2">
      <c r="A1234" s="1">
        <v>44813</v>
      </c>
      <c r="B1234" s="5" t="s">
        <v>5</v>
      </c>
      <c r="C1234" s="2">
        <v>1168</v>
      </c>
      <c r="D1234" s="2">
        <v>236</v>
      </c>
      <c r="E1234" s="3">
        <v>3358.81</v>
      </c>
      <c r="F1234" s="4" t="str">
        <f>IF(campaignData[[#This Row],[Campaign]]="Old_Campaign", "A", "B")</f>
        <v>A</v>
      </c>
    </row>
    <row r="1235" spans="1:6" x14ac:dyDescent="0.2">
      <c r="A1235" s="1">
        <v>44813</v>
      </c>
      <c r="B1235" s="5" t="s">
        <v>6</v>
      </c>
      <c r="C1235" s="2">
        <v>1100</v>
      </c>
      <c r="D1235" s="2">
        <v>233</v>
      </c>
      <c r="E1235" s="3">
        <v>3822.26</v>
      </c>
      <c r="F1235" s="4" t="str">
        <f>IF(campaignData[[#This Row],[Campaign]]="Old_Campaign", "A", "B")</f>
        <v>B</v>
      </c>
    </row>
    <row r="1236" spans="1:6" x14ac:dyDescent="0.2">
      <c r="A1236" s="1">
        <v>44814</v>
      </c>
      <c r="B1236" s="5" t="s">
        <v>5</v>
      </c>
      <c r="C1236" s="2">
        <v>1160</v>
      </c>
      <c r="D1236" s="2">
        <v>218</v>
      </c>
      <c r="E1236" s="3">
        <v>3184.64</v>
      </c>
      <c r="F1236" s="4" t="str">
        <f>IF(campaignData[[#This Row],[Campaign]]="Old_Campaign", "A", "B")</f>
        <v>A</v>
      </c>
    </row>
    <row r="1237" spans="1:6" x14ac:dyDescent="0.2">
      <c r="A1237" s="1">
        <v>44814</v>
      </c>
      <c r="B1237" s="5" t="s">
        <v>6</v>
      </c>
      <c r="C1237" s="2">
        <v>1127</v>
      </c>
      <c r="D1237" s="2">
        <v>236</v>
      </c>
      <c r="E1237" s="3">
        <v>3284.05</v>
      </c>
      <c r="F1237" s="4" t="str">
        <f>IF(campaignData[[#This Row],[Campaign]]="Old_Campaign", "A", "B")</f>
        <v>B</v>
      </c>
    </row>
    <row r="1238" spans="1:6" x14ac:dyDescent="0.2">
      <c r="A1238" s="1">
        <v>44815</v>
      </c>
      <c r="B1238" s="5" t="s">
        <v>5</v>
      </c>
      <c r="C1238" s="2">
        <v>1238</v>
      </c>
      <c r="D1238" s="2">
        <v>236</v>
      </c>
      <c r="E1238" s="3">
        <v>3553.89</v>
      </c>
      <c r="F1238" s="4" t="str">
        <f>IF(campaignData[[#This Row],[Campaign]]="Old_Campaign", "A", "B")</f>
        <v>A</v>
      </c>
    </row>
    <row r="1239" spans="1:6" x14ac:dyDescent="0.2">
      <c r="A1239" s="1">
        <v>44815</v>
      </c>
      <c r="B1239" s="5" t="s">
        <v>6</v>
      </c>
      <c r="C1239" s="2">
        <v>1130</v>
      </c>
      <c r="D1239" s="2">
        <v>236</v>
      </c>
      <c r="E1239" s="3">
        <v>4019.86</v>
      </c>
      <c r="F1239" s="4" t="str">
        <f>IF(campaignData[[#This Row],[Campaign]]="Old_Campaign", "A", "B")</f>
        <v>B</v>
      </c>
    </row>
    <row r="1240" spans="1:6" x14ac:dyDescent="0.2">
      <c r="A1240" s="1">
        <v>44816</v>
      </c>
      <c r="B1240" s="5" t="s">
        <v>5</v>
      </c>
      <c r="C1240" s="2">
        <v>1194</v>
      </c>
      <c r="D1240" s="2">
        <v>223</v>
      </c>
      <c r="E1240" s="3">
        <v>4187.24</v>
      </c>
      <c r="F1240" s="4" t="str">
        <f>IF(campaignData[[#This Row],[Campaign]]="Old_Campaign", "A", "B")</f>
        <v>A</v>
      </c>
    </row>
    <row r="1241" spans="1:6" x14ac:dyDescent="0.2">
      <c r="A1241" s="1">
        <v>44816</v>
      </c>
      <c r="B1241" s="5" t="s">
        <v>6</v>
      </c>
      <c r="C1241" s="2">
        <v>1086</v>
      </c>
      <c r="D1241" s="2">
        <v>239</v>
      </c>
      <c r="E1241" s="3">
        <v>3745.49</v>
      </c>
      <c r="F1241" s="4" t="str">
        <f>IF(campaignData[[#This Row],[Campaign]]="Old_Campaign", "A", "B")</f>
        <v>B</v>
      </c>
    </row>
    <row r="1242" spans="1:6" x14ac:dyDescent="0.2">
      <c r="A1242" s="1">
        <v>44817</v>
      </c>
      <c r="B1242" s="5" t="s">
        <v>5</v>
      </c>
      <c r="C1242" s="2">
        <v>1165</v>
      </c>
      <c r="D1242" s="2">
        <v>208</v>
      </c>
      <c r="E1242" s="3">
        <v>3132.14</v>
      </c>
      <c r="F1242" s="4" t="str">
        <f>IF(campaignData[[#This Row],[Campaign]]="Old_Campaign", "A", "B")</f>
        <v>A</v>
      </c>
    </row>
    <row r="1243" spans="1:6" x14ac:dyDescent="0.2">
      <c r="A1243" s="1">
        <v>44817</v>
      </c>
      <c r="B1243" s="5" t="s">
        <v>6</v>
      </c>
      <c r="C1243" s="2">
        <v>1135</v>
      </c>
      <c r="D1243" s="2">
        <v>256</v>
      </c>
      <c r="E1243" s="3">
        <v>4453.3599999999997</v>
      </c>
      <c r="F1243" s="4" t="str">
        <f>IF(campaignData[[#This Row],[Campaign]]="Old_Campaign", "A", "B")</f>
        <v>B</v>
      </c>
    </row>
    <row r="1244" spans="1:6" x14ac:dyDescent="0.2">
      <c r="A1244" s="1">
        <v>44818</v>
      </c>
      <c r="B1244" s="5" t="s">
        <v>5</v>
      </c>
      <c r="C1244" s="2">
        <v>1216</v>
      </c>
      <c r="D1244" s="2">
        <v>198</v>
      </c>
      <c r="E1244" s="3">
        <v>2927.64</v>
      </c>
      <c r="F1244" s="4" t="str">
        <f>IF(campaignData[[#This Row],[Campaign]]="Old_Campaign", "A", "B")</f>
        <v>A</v>
      </c>
    </row>
    <row r="1245" spans="1:6" x14ac:dyDescent="0.2">
      <c r="A1245" s="1">
        <v>44818</v>
      </c>
      <c r="B1245" s="5" t="s">
        <v>6</v>
      </c>
      <c r="C1245" s="2">
        <v>1151</v>
      </c>
      <c r="D1245" s="2">
        <v>270</v>
      </c>
      <c r="E1245" s="3">
        <v>5368.81</v>
      </c>
      <c r="F1245" s="4" t="str">
        <f>IF(campaignData[[#This Row],[Campaign]]="Old_Campaign", "A", "B")</f>
        <v>B</v>
      </c>
    </row>
    <row r="1246" spans="1:6" x14ac:dyDescent="0.2">
      <c r="A1246" s="1">
        <v>44819</v>
      </c>
      <c r="B1246" s="5" t="s">
        <v>5</v>
      </c>
      <c r="C1246" s="2">
        <v>1221</v>
      </c>
      <c r="D1246" s="2">
        <v>244</v>
      </c>
      <c r="E1246" s="3">
        <v>5171.97</v>
      </c>
      <c r="F1246" s="4" t="str">
        <f>IF(campaignData[[#This Row],[Campaign]]="Old_Campaign", "A", "B")</f>
        <v>A</v>
      </c>
    </row>
    <row r="1247" spans="1:6" x14ac:dyDescent="0.2">
      <c r="A1247" s="1">
        <v>44819</v>
      </c>
      <c r="B1247" s="5" t="s">
        <v>6</v>
      </c>
      <c r="C1247" s="2">
        <v>1113</v>
      </c>
      <c r="D1247" s="2">
        <v>284</v>
      </c>
      <c r="E1247" s="3">
        <v>4397.3599999999997</v>
      </c>
      <c r="F1247" s="4" t="str">
        <f>IF(campaignData[[#This Row],[Campaign]]="Old_Campaign", "A", "B")</f>
        <v>B</v>
      </c>
    </row>
    <row r="1248" spans="1:6" x14ac:dyDescent="0.2">
      <c r="A1248" s="1">
        <v>44820</v>
      </c>
      <c r="B1248" s="5" t="s">
        <v>5</v>
      </c>
      <c r="C1248" s="2">
        <v>1167</v>
      </c>
      <c r="D1248" s="2">
        <v>221</v>
      </c>
      <c r="E1248" s="3">
        <v>2296.54</v>
      </c>
      <c r="F1248" s="4" t="str">
        <f>IF(campaignData[[#This Row],[Campaign]]="Old_Campaign", "A", "B")</f>
        <v>A</v>
      </c>
    </row>
    <row r="1249" spans="1:6" x14ac:dyDescent="0.2">
      <c r="A1249" s="1">
        <v>44820</v>
      </c>
      <c r="B1249" s="5" t="s">
        <v>6</v>
      </c>
      <c r="C1249" s="2">
        <v>1149</v>
      </c>
      <c r="D1249" s="2">
        <v>247</v>
      </c>
      <c r="E1249" s="3">
        <v>3773.66</v>
      </c>
      <c r="F1249" s="4" t="str">
        <f>IF(campaignData[[#This Row],[Campaign]]="Old_Campaign", "A", "B")</f>
        <v>B</v>
      </c>
    </row>
    <row r="1250" spans="1:6" x14ac:dyDescent="0.2">
      <c r="A1250" s="1">
        <v>44821</v>
      </c>
      <c r="B1250" s="5" t="s">
        <v>5</v>
      </c>
      <c r="C1250" s="2">
        <v>1218</v>
      </c>
      <c r="D1250" s="2">
        <v>219</v>
      </c>
      <c r="E1250" s="3">
        <v>2218.33</v>
      </c>
      <c r="F1250" s="4" t="str">
        <f>IF(campaignData[[#This Row],[Campaign]]="Old_Campaign", "A", "B")</f>
        <v>A</v>
      </c>
    </row>
    <row r="1251" spans="1:6" x14ac:dyDescent="0.2">
      <c r="A1251" s="1">
        <v>44821</v>
      </c>
      <c r="B1251" s="5" t="s">
        <v>6</v>
      </c>
      <c r="C1251" s="2">
        <v>1159</v>
      </c>
      <c r="D1251" s="2">
        <v>279</v>
      </c>
      <c r="E1251" s="3">
        <v>4845.76</v>
      </c>
      <c r="F1251" s="4" t="str">
        <f>IF(campaignData[[#This Row],[Campaign]]="Old_Campaign", "A", "B")</f>
        <v>B</v>
      </c>
    </row>
    <row r="1252" spans="1:6" x14ac:dyDescent="0.2">
      <c r="A1252" s="1">
        <v>44822</v>
      </c>
      <c r="B1252" s="5" t="s">
        <v>5</v>
      </c>
      <c r="C1252" s="2">
        <v>1219</v>
      </c>
      <c r="D1252" s="2">
        <v>209</v>
      </c>
      <c r="E1252" s="3">
        <v>2885.5</v>
      </c>
      <c r="F1252" s="4" t="str">
        <f>IF(campaignData[[#This Row],[Campaign]]="Old_Campaign", "A", "B")</f>
        <v>A</v>
      </c>
    </row>
    <row r="1253" spans="1:6" x14ac:dyDescent="0.2">
      <c r="A1253" s="1">
        <v>44822</v>
      </c>
      <c r="B1253" s="5" t="s">
        <v>6</v>
      </c>
      <c r="C1253" s="2">
        <v>1165</v>
      </c>
      <c r="D1253" s="2">
        <v>278</v>
      </c>
      <c r="E1253" s="3">
        <v>3516.99</v>
      </c>
      <c r="F1253" s="4" t="str">
        <f>IF(campaignData[[#This Row],[Campaign]]="Old_Campaign", "A", "B")</f>
        <v>B</v>
      </c>
    </row>
    <row r="1254" spans="1:6" x14ac:dyDescent="0.2">
      <c r="A1254" s="1">
        <v>44823</v>
      </c>
      <c r="B1254" s="5" t="s">
        <v>5</v>
      </c>
      <c r="C1254" s="2">
        <v>1161</v>
      </c>
      <c r="D1254" s="2">
        <v>203</v>
      </c>
      <c r="E1254" s="3">
        <v>3119.83</v>
      </c>
      <c r="F1254" s="4" t="str">
        <f>IF(campaignData[[#This Row],[Campaign]]="Old_Campaign", "A", "B")</f>
        <v>A</v>
      </c>
    </row>
    <row r="1255" spans="1:6" x14ac:dyDescent="0.2">
      <c r="A1255" s="1">
        <v>44823</v>
      </c>
      <c r="B1255" s="5" t="s">
        <v>6</v>
      </c>
      <c r="C1255" s="2">
        <v>1157</v>
      </c>
      <c r="D1255" s="2">
        <v>275</v>
      </c>
      <c r="E1255" s="3">
        <v>4168.9799999999996</v>
      </c>
      <c r="F1255" s="4" t="str">
        <f>IF(campaignData[[#This Row],[Campaign]]="Old_Campaign", "A", "B")</f>
        <v>B</v>
      </c>
    </row>
    <row r="1256" spans="1:6" x14ac:dyDescent="0.2">
      <c r="A1256" s="1">
        <v>44824</v>
      </c>
      <c r="B1256" s="5" t="s">
        <v>5</v>
      </c>
      <c r="C1256" s="2">
        <v>1163</v>
      </c>
      <c r="D1256" s="2">
        <v>227</v>
      </c>
      <c r="E1256" s="3">
        <v>3732.33</v>
      </c>
      <c r="F1256" s="4" t="str">
        <f>IF(campaignData[[#This Row],[Campaign]]="Old_Campaign", "A", "B")</f>
        <v>A</v>
      </c>
    </row>
    <row r="1257" spans="1:6" x14ac:dyDescent="0.2">
      <c r="A1257" s="1">
        <v>44824</v>
      </c>
      <c r="B1257" s="5" t="s">
        <v>6</v>
      </c>
      <c r="C1257" s="2">
        <v>1149</v>
      </c>
      <c r="D1257" s="2">
        <v>272</v>
      </c>
      <c r="E1257" s="3">
        <v>4055.42</v>
      </c>
      <c r="F1257" s="4" t="str">
        <f>IF(campaignData[[#This Row],[Campaign]]="Old_Campaign", "A", "B")</f>
        <v>B</v>
      </c>
    </row>
    <row r="1258" spans="1:6" x14ac:dyDescent="0.2">
      <c r="A1258" s="1">
        <v>44825</v>
      </c>
      <c r="B1258" s="5" t="s">
        <v>5</v>
      </c>
      <c r="C1258" s="2">
        <v>1143</v>
      </c>
      <c r="D1258" s="2">
        <v>207</v>
      </c>
      <c r="E1258" s="3">
        <v>2533.02</v>
      </c>
      <c r="F1258" s="4" t="str">
        <f>IF(campaignData[[#This Row],[Campaign]]="Old_Campaign", "A", "B")</f>
        <v>A</v>
      </c>
    </row>
    <row r="1259" spans="1:6" x14ac:dyDescent="0.2">
      <c r="A1259" s="1">
        <v>44825</v>
      </c>
      <c r="B1259" s="5" t="s">
        <v>6</v>
      </c>
      <c r="C1259" s="2">
        <v>1147</v>
      </c>
      <c r="D1259" s="2">
        <v>260</v>
      </c>
      <c r="E1259" s="3">
        <v>3224.93</v>
      </c>
      <c r="F1259" s="4" t="str">
        <f>IF(campaignData[[#This Row],[Campaign]]="Old_Campaign", "A", "B")</f>
        <v>B</v>
      </c>
    </row>
    <row r="1260" spans="1:6" x14ac:dyDescent="0.2">
      <c r="A1260" s="1">
        <v>44826</v>
      </c>
      <c r="B1260" s="5" t="s">
        <v>5</v>
      </c>
      <c r="C1260" s="2">
        <v>1217</v>
      </c>
      <c r="D1260" s="2">
        <v>231</v>
      </c>
      <c r="E1260" s="3">
        <v>3203.18</v>
      </c>
      <c r="F1260" s="4" t="str">
        <f>IF(campaignData[[#This Row],[Campaign]]="Old_Campaign", "A", "B")</f>
        <v>A</v>
      </c>
    </row>
    <row r="1261" spans="1:6" x14ac:dyDescent="0.2">
      <c r="A1261" s="1">
        <v>44826</v>
      </c>
      <c r="B1261" s="5" t="s">
        <v>6</v>
      </c>
      <c r="C1261" s="2">
        <v>1119</v>
      </c>
      <c r="D1261" s="2">
        <v>265</v>
      </c>
      <c r="E1261" s="3">
        <v>3922.09</v>
      </c>
      <c r="F1261" s="4" t="str">
        <f>IF(campaignData[[#This Row],[Campaign]]="Old_Campaign", "A", "B")</f>
        <v>B</v>
      </c>
    </row>
    <row r="1262" spans="1:6" x14ac:dyDescent="0.2">
      <c r="A1262" s="1">
        <v>44827</v>
      </c>
      <c r="B1262" s="5" t="s">
        <v>5</v>
      </c>
      <c r="C1262" s="2">
        <v>1214</v>
      </c>
      <c r="D1262" s="2">
        <v>218</v>
      </c>
      <c r="E1262" s="3">
        <v>3824.18</v>
      </c>
      <c r="F1262" s="4" t="str">
        <f>IF(campaignData[[#This Row],[Campaign]]="Old_Campaign", "A", "B")</f>
        <v>A</v>
      </c>
    </row>
    <row r="1263" spans="1:6" x14ac:dyDescent="0.2">
      <c r="A1263" s="1">
        <v>44827</v>
      </c>
      <c r="B1263" s="5" t="s">
        <v>6</v>
      </c>
      <c r="C1263" s="2">
        <v>1155</v>
      </c>
      <c r="D1263" s="2">
        <v>289</v>
      </c>
      <c r="E1263" s="3">
        <v>4057.52</v>
      </c>
      <c r="F1263" s="4" t="str">
        <f>IF(campaignData[[#This Row],[Campaign]]="Old_Campaign", "A", "B")</f>
        <v>B</v>
      </c>
    </row>
    <row r="1264" spans="1:6" x14ac:dyDescent="0.2">
      <c r="A1264" s="1">
        <v>44828</v>
      </c>
      <c r="B1264" s="5" t="s">
        <v>5</v>
      </c>
      <c r="C1264" s="2">
        <v>1203</v>
      </c>
      <c r="D1264" s="2">
        <v>223</v>
      </c>
      <c r="E1264" s="3">
        <v>2685.47</v>
      </c>
      <c r="F1264" s="4" t="str">
        <f>IF(campaignData[[#This Row],[Campaign]]="Old_Campaign", "A", "B")</f>
        <v>A</v>
      </c>
    </row>
    <row r="1265" spans="1:6" x14ac:dyDescent="0.2">
      <c r="A1265" s="1">
        <v>44828</v>
      </c>
      <c r="B1265" s="5" t="s">
        <v>6</v>
      </c>
      <c r="C1265" s="2">
        <v>1121</v>
      </c>
      <c r="D1265" s="2">
        <v>268</v>
      </c>
      <c r="E1265" s="3">
        <v>5184.33</v>
      </c>
      <c r="F1265" s="4" t="str">
        <f>IF(campaignData[[#This Row],[Campaign]]="Old_Campaign", "A", "B")</f>
        <v>B</v>
      </c>
    </row>
    <row r="1266" spans="1:6" x14ac:dyDescent="0.2">
      <c r="A1266" s="1">
        <v>44829</v>
      </c>
      <c r="B1266" s="5" t="s">
        <v>5</v>
      </c>
      <c r="C1266" s="2">
        <v>1257</v>
      </c>
      <c r="D1266" s="2">
        <v>244</v>
      </c>
      <c r="E1266" s="3">
        <v>3880.07</v>
      </c>
      <c r="F1266" s="4" t="str">
        <f>IF(campaignData[[#This Row],[Campaign]]="Old_Campaign", "A", "B")</f>
        <v>A</v>
      </c>
    </row>
    <row r="1267" spans="1:6" x14ac:dyDescent="0.2">
      <c r="A1267" s="1">
        <v>44829</v>
      </c>
      <c r="B1267" s="5" t="s">
        <v>6</v>
      </c>
      <c r="C1267" s="2">
        <v>1161</v>
      </c>
      <c r="D1267" s="2">
        <v>273</v>
      </c>
      <c r="E1267" s="3">
        <v>4917.67</v>
      </c>
      <c r="F1267" s="4" t="str">
        <f>IF(campaignData[[#This Row],[Campaign]]="Old_Campaign", "A", "B")</f>
        <v>B</v>
      </c>
    </row>
    <row r="1268" spans="1:6" x14ac:dyDescent="0.2">
      <c r="A1268" s="1">
        <v>44830</v>
      </c>
      <c r="B1268" s="5" t="s">
        <v>5</v>
      </c>
      <c r="C1268" s="2">
        <v>1245</v>
      </c>
      <c r="D1268" s="2">
        <v>239</v>
      </c>
      <c r="E1268" s="3">
        <v>3512.36</v>
      </c>
      <c r="F1268" s="4" t="str">
        <f>IF(campaignData[[#This Row],[Campaign]]="Old_Campaign", "A", "B")</f>
        <v>A</v>
      </c>
    </row>
    <row r="1269" spans="1:6" x14ac:dyDescent="0.2">
      <c r="A1269" s="1">
        <v>44830</v>
      </c>
      <c r="B1269" s="5" t="s">
        <v>6</v>
      </c>
      <c r="C1269" s="2">
        <v>1134</v>
      </c>
      <c r="D1269" s="2">
        <v>266</v>
      </c>
      <c r="E1269" s="3">
        <v>4820</v>
      </c>
      <c r="F1269" s="4" t="str">
        <f>IF(campaignData[[#This Row],[Campaign]]="Old_Campaign", "A", "B")</f>
        <v>B</v>
      </c>
    </row>
    <row r="1270" spans="1:6" x14ac:dyDescent="0.2">
      <c r="A1270" s="1">
        <v>44831</v>
      </c>
      <c r="B1270" s="5" t="s">
        <v>5</v>
      </c>
      <c r="C1270" s="2">
        <v>1190</v>
      </c>
      <c r="D1270" s="2">
        <v>218</v>
      </c>
      <c r="E1270" s="3">
        <v>3818.32</v>
      </c>
      <c r="F1270" s="4" t="str">
        <f>IF(campaignData[[#This Row],[Campaign]]="Old_Campaign", "A", "B")</f>
        <v>A</v>
      </c>
    </row>
    <row r="1271" spans="1:6" x14ac:dyDescent="0.2">
      <c r="A1271" s="1">
        <v>44831</v>
      </c>
      <c r="B1271" s="5" t="s">
        <v>6</v>
      </c>
      <c r="C1271" s="2">
        <v>1101</v>
      </c>
      <c r="D1271" s="2">
        <v>252</v>
      </c>
      <c r="E1271" s="3">
        <v>4236.6499999999996</v>
      </c>
      <c r="F1271" s="4" t="str">
        <f>IF(campaignData[[#This Row],[Campaign]]="Old_Campaign", "A", "B")</f>
        <v>B</v>
      </c>
    </row>
    <row r="1272" spans="1:6" x14ac:dyDescent="0.2">
      <c r="A1272" s="1">
        <v>44832</v>
      </c>
      <c r="B1272" s="5" t="s">
        <v>5</v>
      </c>
      <c r="C1272" s="2">
        <v>1243</v>
      </c>
      <c r="D1272" s="2">
        <v>216</v>
      </c>
      <c r="E1272" s="3">
        <v>3519.02</v>
      </c>
      <c r="F1272" s="4" t="str">
        <f>IF(campaignData[[#This Row],[Campaign]]="Old_Campaign", "A", "B")</f>
        <v>A</v>
      </c>
    </row>
    <row r="1273" spans="1:6" x14ac:dyDescent="0.2">
      <c r="A1273" s="1">
        <v>44832</v>
      </c>
      <c r="B1273" s="5" t="s">
        <v>6</v>
      </c>
      <c r="C1273" s="2">
        <v>1154</v>
      </c>
      <c r="D1273" s="2">
        <v>267</v>
      </c>
      <c r="E1273" s="3">
        <v>3685.11</v>
      </c>
      <c r="F1273" s="4" t="str">
        <f>IF(campaignData[[#This Row],[Campaign]]="Old_Campaign", "A", "B")</f>
        <v>B</v>
      </c>
    </row>
    <row r="1274" spans="1:6" x14ac:dyDescent="0.2">
      <c r="A1274" s="1">
        <v>44833</v>
      </c>
      <c r="B1274" s="5" t="s">
        <v>5</v>
      </c>
      <c r="C1274" s="2">
        <v>1206</v>
      </c>
      <c r="D1274" s="2">
        <v>237</v>
      </c>
      <c r="E1274" s="3">
        <v>3873.71</v>
      </c>
      <c r="F1274" s="4" t="str">
        <f>IF(campaignData[[#This Row],[Campaign]]="Old_Campaign", "A", "B")</f>
        <v>A</v>
      </c>
    </row>
    <row r="1275" spans="1:6" x14ac:dyDescent="0.2">
      <c r="A1275" s="1">
        <v>44833</v>
      </c>
      <c r="B1275" s="5" t="s">
        <v>6</v>
      </c>
      <c r="C1275" s="2">
        <v>1161</v>
      </c>
      <c r="D1275" s="2">
        <v>272</v>
      </c>
      <c r="E1275" s="3">
        <v>4442.66</v>
      </c>
      <c r="F1275" s="4" t="str">
        <f>IF(campaignData[[#This Row],[Campaign]]="Old_Campaign", "A", "B")</f>
        <v>B</v>
      </c>
    </row>
    <row r="1276" spans="1:6" x14ac:dyDescent="0.2">
      <c r="A1276" s="1">
        <v>44834</v>
      </c>
      <c r="B1276" s="5" t="s">
        <v>5</v>
      </c>
      <c r="C1276" s="2">
        <v>1231</v>
      </c>
      <c r="D1276" s="2">
        <v>236</v>
      </c>
      <c r="E1276" s="3">
        <v>4329.8599999999997</v>
      </c>
      <c r="F1276" s="4" t="str">
        <f>IF(campaignData[[#This Row],[Campaign]]="Old_Campaign", "A", "B")</f>
        <v>A</v>
      </c>
    </row>
    <row r="1277" spans="1:6" x14ac:dyDescent="0.2">
      <c r="A1277" s="1">
        <v>44834</v>
      </c>
      <c r="B1277" s="5" t="s">
        <v>6</v>
      </c>
      <c r="C1277" s="2">
        <v>1136</v>
      </c>
      <c r="D1277" s="2">
        <v>271</v>
      </c>
      <c r="E1277" s="3">
        <v>4575.43</v>
      </c>
      <c r="F1277" s="4" t="str">
        <f>IF(campaignData[[#This Row],[Campaign]]="Old_Campaign", "A", "B")</f>
        <v>B</v>
      </c>
    </row>
    <row r="1278" spans="1:6" x14ac:dyDescent="0.2">
      <c r="A1278" s="1">
        <v>44835</v>
      </c>
      <c r="B1278" s="5" t="s">
        <v>5</v>
      </c>
      <c r="C1278" s="2">
        <v>1214</v>
      </c>
      <c r="D1278" s="2">
        <v>230</v>
      </c>
      <c r="E1278" s="3">
        <v>3450.51</v>
      </c>
      <c r="F1278" s="4" t="str">
        <f>IF(campaignData[[#This Row],[Campaign]]="Old_Campaign", "A", "B")</f>
        <v>A</v>
      </c>
    </row>
    <row r="1279" spans="1:6" x14ac:dyDescent="0.2">
      <c r="A1279" s="1">
        <v>44835</v>
      </c>
      <c r="B1279" s="5" t="s">
        <v>6</v>
      </c>
      <c r="C1279" s="2">
        <v>1188</v>
      </c>
      <c r="D1279" s="2">
        <v>279</v>
      </c>
      <c r="E1279" s="3">
        <v>3602.21</v>
      </c>
      <c r="F1279" s="4" t="str">
        <f>IF(campaignData[[#This Row],[Campaign]]="Old_Campaign", "A", "B")</f>
        <v>B</v>
      </c>
    </row>
    <row r="1280" spans="1:6" x14ac:dyDescent="0.2">
      <c r="A1280" s="1">
        <v>44836</v>
      </c>
      <c r="B1280" s="5" t="s">
        <v>5</v>
      </c>
      <c r="C1280" s="2">
        <v>1166</v>
      </c>
      <c r="D1280" s="2">
        <v>219</v>
      </c>
      <c r="E1280" s="3">
        <v>2971.14</v>
      </c>
      <c r="F1280" s="4" t="str">
        <f>IF(campaignData[[#This Row],[Campaign]]="Old_Campaign", "A", "B")</f>
        <v>A</v>
      </c>
    </row>
    <row r="1281" spans="1:6" x14ac:dyDescent="0.2">
      <c r="A1281" s="1">
        <v>44836</v>
      </c>
      <c r="B1281" s="5" t="s">
        <v>6</v>
      </c>
      <c r="C1281" s="2">
        <v>1187</v>
      </c>
      <c r="D1281" s="2">
        <v>238</v>
      </c>
      <c r="E1281" s="3">
        <v>4193.37</v>
      </c>
      <c r="F1281" s="4" t="str">
        <f>IF(campaignData[[#This Row],[Campaign]]="Old_Campaign", "A", "B")</f>
        <v>B</v>
      </c>
    </row>
    <row r="1282" spans="1:6" x14ac:dyDescent="0.2">
      <c r="A1282" s="1">
        <v>44837</v>
      </c>
      <c r="B1282" s="5" t="s">
        <v>5</v>
      </c>
      <c r="C1282" s="2">
        <v>1216</v>
      </c>
      <c r="D1282" s="2">
        <v>245</v>
      </c>
      <c r="E1282" s="3">
        <v>3692.1</v>
      </c>
      <c r="F1282" s="4" t="str">
        <f>IF(campaignData[[#This Row],[Campaign]]="Old_Campaign", "A", "B")</f>
        <v>A</v>
      </c>
    </row>
    <row r="1283" spans="1:6" x14ac:dyDescent="0.2">
      <c r="A1283" s="1">
        <v>44837</v>
      </c>
      <c r="B1283" s="5" t="s">
        <v>6</v>
      </c>
      <c r="C1283" s="2">
        <v>1153</v>
      </c>
      <c r="D1283" s="2">
        <v>254</v>
      </c>
      <c r="E1283" s="3">
        <v>3365.24</v>
      </c>
      <c r="F1283" s="4" t="str">
        <f>IF(campaignData[[#This Row],[Campaign]]="Old_Campaign", "A", "B")</f>
        <v>B</v>
      </c>
    </row>
    <row r="1284" spans="1:6" x14ac:dyDescent="0.2">
      <c r="A1284" s="1">
        <v>44838</v>
      </c>
      <c r="B1284" s="5" t="s">
        <v>5</v>
      </c>
      <c r="C1284" s="2">
        <v>1151</v>
      </c>
      <c r="D1284" s="2">
        <v>215</v>
      </c>
      <c r="E1284" s="3">
        <v>3519.92</v>
      </c>
      <c r="F1284" s="4" t="str">
        <f>IF(campaignData[[#This Row],[Campaign]]="Old_Campaign", "A", "B")</f>
        <v>A</v>
      </c>
    </row>
    <row r="1285" spans="1:6" x14ac:dyDescent="0.2">
      <c r="A1285" s="1">
        <v>44838</v>
      </c>
      <c r="B1285" s="5" t="s">
        <v>6</v>
      </c>
      <c r="C1285" s="2">
        <v>1109</v>
      </c>
      <c r="D1285" s="2">
        <v>251</v>
      </c>
      <c r="E1285" s="3">
        <v>2934.83</v>
      </c>
      <c r="F1285" s="4" t="str">
        <f>IF(campaignData[[#This Row],[Campaign]]="Old_Campaign", "A", "B")</f>
        <v>B</v>
      </c>
    </row>
    <row r="1286" spans="1:6" x14ac:dyDescent="0.2">
      <c r="A1286" s="1">
        <v>44839</v>
      </c>
      <c r="B1286" s="5" t="s">
        <v>5</v>
      </c>
      <c r="C1286" s="2">
        <v>1208</v>
      </c>
      <c r="D1286" s="2">
        <v>208</v>
      </c>
      <c r="E1286" s="3">
        <v>3948.41</v>
      </c>
      <c r="F1286" s="4" t="str">
        <f>IF(campaignData[[#This Row],[Campaign]]="Old_Campaign", "A", "B")</f>
        <v>A</v>
      </c>
    </row>
    <row r="1287" spans="1:6" x14ac:dyDescent="0.2">
      <c r="A1287" s="1">
        <v>44839</v>
      </c>
      <c r="B1287" s="5" t="s">
        <v>6</v>
      </c>
      <c r="C1287" s="2">
        <v>1142</v>
      </c>
      <c r="D1287" s="2">
        <v>282</v>
      </c>
      <c r="E1287" s="3">
        <v>4733.6000000000004</v>
      </c>
      <c r="F1287" s="4" t="str">
        <f>IF(campaignData[[#This Row],[Campaign]]="Old_Campaign", "A", "B")</f>
        <v>B</v>
      </c>
    </row>
    <row r="1288" spans="1:6" x14ac:dyDescent="0.2">
      <c r="A1288" s="1">
        <v>44840</v>
      </c>
      <c r="B1288" s="5" t="s">
        <v>5</v>
      </c>
      <c r="C1288" s="2">
        <v>1166</v>
      </c>
      <c r="D1288" s="2">
        <v>200</v>
      </c>
      <c r="E1288" s="3">
        <v>2600.6799999999998</v>
      </c>
      <c r="F1288" s="4" t="str">
        <f>IF(campaignData[[#This Row],[Campaign]]="Old_Campaign", "A", "B")</f>
        <v>A</v>
      </c>
    </row>
    <row r="1289" spans="1:6" x14ac:dyDescent="0.2">
      <c r="A1289" s="1">
        <v>44840</v>
      </c>
      <c r="B1289" s="5" t="s">
        <v>6</v>
      </c>
      <c r="C1289" s="2">
        <v>1158</v>
      </c>
      <c r="D1289" s="2">
        <v>261</v>
      </c>
      <c r="E1289" s="3">
        <v>4446.8100000000004</v>
      </c>
      <c r="F1289" s="4" t="str">
        <f>IF(campaignData[[#This Row],[Campaign]]="Old_Campaign", "A", "B")</f>
        <v>B</v>
      </c>
    </row>
    <row r="1290" spans="1:6" x14ac:dyDescent="0.2">
      <c r="A1290" s="1">
        <v>44841</v>
      </c>
      <c r="B1290" s="5" t="s">
        <v>5</v>
      </c>
      <c r="C1290" s="2">
        <v>1165</v>
      </c>
      <c r="D1290" s="2">
        <v>229</v>
      </c>
      <c r="E1290" s="3">
        <v>3003.54</v>
      </c>
      <c r="F1290" s="4" t="str">
        <f>IF(campaignData[[#This Row],[Campaign]]="Old_Campaign", "A", "B")</f>
        <v>A</v>
      </c>
    </row>
    <row r="1291" spans="1:6" x14ac:dyDescent="0.2">
      <c r="A1291" s="1">
        <v>44841</v>
      </c>
      <c r="B1291" s="5" t="s">
        <v>6</v>
      </c>
      <c r="C1291" s="2">
        <v>1202</v>
      </c>
      <c r="D1291" s="2">
        <v>274</v>
      </c>
      <c r="E1291" s="3">
        <v>4083.7</v>
      </c>
      <c r="F1291" s="4" t="str">
        <f>IF(campaignData[[#This Row],[Campaign]]="Old_Campaign", "A", "B")</f>
        <v>B</v>
      </c>
    </row>
    <row r="1292" spans="1:6" x14ac:dyDescent="0.2">
      <c r="A1292" s="1">
        <v>44842</v>
      </c>
      <c r="B1292" s="5" t="s">
        <v>5</v>
      </c>
      <c r="C1292" s="2">
        <v>1182</v>
      </c>
      <c r="D1292" s="2">
        <v>256</v>
      </c>
      <c r="E1292" s="3">
        <v>3942.2</v>
      </c>
      <c r="F1292" s="4" t="str">
        <f>IF(campaignData[[#This Row],[Campaign]]="Old_Campaign", "A", "B")</f>
        <v>A</v>
      </c>
    </row>
    <row r="1293" spans="1:6" x14ac:dyDescent="0.2">
      <c r="A1293" s="1">
        <v>44842</v>
      </c>
      <c r="B1293" s="5" t="s">
        <v>6</v>
      </c>
      <c r="C1293" s="2">
        <v>1111</v>
      </c>
      <c r="D1293" s="2">
        <v>259</v>
      </c>
      <c r="E1293" s="3">
        <v>4710.79</v>
      </c>
      <c r="F1293" s="4" t="str">
        <f>IF(campaignData[[#This Row],[Campaign]]="Old_Campaign", "A", "B")</f>
        <v>B</v>
      </c>
    </row>
    <row r="1294" spans="1:6" x14ac:dyDescent="0.2">
      <c r="A1294" s="1">
        <v>44843</v>
      </c>
      <c r="B1294" s="5" t="s">
        <v>5</v>
      </c>
      <c r="C1294" s="2">
        <v>1250</v>
      </c>
      <c r="D1294" s="2">
        <v>241</v>
      </c>
      <c r="E1294" s="3">
        <v>3461.84</v>
      </c>
      <c r="F1294" s="4" t="str">
        <f>IF(campaignData[[#This Row],[Campaign]]="Old_Campaign", "A", "B")</f>
        <v>A</v>
      </c>
    </row>
    <row r="1295" spans="1:6" x14ac:dyDescent="0.2">
      <c r="A1295" s="1">
        <v>44843</v>
      </c>
      <c r="B1295" s="5" t="s">
        <v>6</v>
      </c>
      <c r="C1295" s="2">
        <v>1133</v>
      </c>
      <c r="D1295" s="2">
        <v>262</v>
      </c>
      <c r="E1295" s="3">
        <v>4253.09</v>
      </c>
      <c r="F1295" s="4" t="str">
        <f>IF(campaignData[[#This Row],[Campaign]]="Old_Campaign", "A", "B")</f>
        <v>B</v>
      </c>
    </row>
    <row r="1296" spans="1:6" x14ac:dyDescent="0.2">
      <c r="A1296" s="1">
        <v>44844</v>
      </c>
      <c r="B1296" s="5" t="s">
        <v>5</v>
      </c>
      <c r="C1296" s="2">
        <v>1195</v>
      </c>
      <c r="D1296" s="2">
        <v>238</v>
      </c>
      <c r="E1296" s="3">
        <v>3809.19</v>
      </c>
      <c r="F1296" s="4" t="str">
        <f>IF(campaignData[[#This Row],[Campaign]]="Old_Campaign", "A", "B")</f>
        <v>A</v>
      </c>
    </row>
    <row r="1297" spans="1:6" x14ac:dyDescent="0.2">
      <c r="A1297" s="1">
        <v>44844</v>
      </c>
      <c r="B1297" s="5" t="s">
        <v>6</v>
      </c>
      <c r="C1297" s="2">
        <v>1151</v>
      </c>
      <c r="D1297" s="2">
        <v>261</v>
      </c>
      <c r="E1297" s="3">
        <v>3711.03</v>
      </c>
      <c r="F1297" s="4" t="str">
        <f>IF(campaignData[[#This Row],[Campaign]]="Old_Campaign", "A", "B")</f>
        <v>B</v>
      </c>
    </row>
    <row r="1298" spans="1:6" x14ac:dyDescent="0.2">
      <c r="A1298" s="1">
        <v>44845</v>
      </c>
      <c r="B1298" s="5" t="s">
        <v>5</v>
      </c>
      <c r="C1298" s="2">
        <v>1137</v>
      </c>
      <c r="D1298" s="2">
        <v>198</v>
      </c>
      <c r="E1298" s="3">
        <v>3294.81</v>
      </c>
      <c r="F1298" s="4" t="str">
        <f>IF(campaignData[[#This Row],[Campaign]]="Old_Campaign", "A", "B")</f>
        <v>A</v>
      </c>
    </row>
    <row r="1299" spans="1:6" x14ac:dyDescent="0.2">
      <c r="A1299" s="1">
        <v>44845</v>
      </c>
      <c r="B1299" s="5" t="s">
        <v>6</v>
      </c>
      <c r="C1299" s="2">
        <v>1172</v>
      </c>
      <c r="D1299" s="2">
        <v>271</v>
      </c>
      <c r="E1299" s="3">
        <v>4778.9799999999996</v>
      </c>
      <c r="F1299" s="4" t="str">
        <f>IF(campaignData[[#This Row],[Campaign]]="Old_Campaign", "A", "B")</f>
        <v>B</v>
      </c>
    </row>
    <row r="1300" spans="1:6" x14ac:dyDescent="0.2">
      <c r="A1300" s="1">
        <v>44846</v>
      </c>
      <c r="B1300" s="5" t="s">
        <v>5</v>
      </c>
      <c r="C1300" s="2">
        <v>1230</v>
      </c>
      <c r="D1300" s="2">
        <v>240</v>
      </c>
      <c r="E1300" s="3">
        <v>4261.05</v>
      </c>
      <c r="F1300" s="4" t="str">
        <f>IF(campaignData[[#This Row],[Campaign]]="Old_Campaign", "A", "B")</f>
        <v>A</v>
      </c>
    </row>
    <row r="1301" spans="1:6" x14ac:dyDescent="0.2">
      <c r="A1301" s="1">
        <v>44846</v>
      </c>
      <c r="B1301" s="5" t="s">
        <v>6</v>
      </c>
      <c r="C1301" s="2">
        <v>1194</v>
      </c>
      <c r="D1301" s="2">
        <v>269</v>
      </c>
      <c r="E1301" s="3">
        <v>4852.78</v>
      </c>
      <c r="F1301" s="4" t="str">
        <f>IF(campaignData[[#This Row],[Campaign]]="Old_Campaign", "A", "B")</f>
        <v>B</v>
      </c>
    </row>
    <row r="1302" spans="1:6" x14ac:dyDescent="0.2">
      <c r="A1302" s="1">
        <v>44847</v>
      </c>
      <c r="B1302" s="5" t="s">
        <v>5</v>
      </c>
      <c r="C1302" s="2">
        <v>1248</v>
      </c>
      <c r="D1302" s="2">
        <v>243</v>
      </c>
      <c r="E1302" s="3">
        <v>3668.97</v>
      </c>
      <c r="F1302" s="4" t="str">
        <f>IF(campaignData[[#This Row],[Campaign]]="Old_Campaign", "A", "B")</f>
        <v>A</v>
      </c>
    </row>
    <row r="1303" spans="1:6" x14ac:dyDescent="0.2">
      <c r="A1303" s="1">
        <v>44847</v>
      </c>
      <c r="B1303" s="5" t="s">
        <v>6</v>
      </c>
      <c r="C1303" s="2">
        <v>1161</v>
      </c>
      <c r="D1303" s="2">
        <v>250</v>
      </c>
      <c r="E1303" s="3">
        <v>4361.22</v>
      </c>
      <c r="F1303" s="4" t="str">
        <f>IF(campaignData[[#This Row],[Campaign]]="Old_Campaign", "A", "B")</f>
        <v>B</v>
      </c>
    </row>
    <row r="1304" spans="1:6" x14ac:dyDescent="0.2">
      <c r="A1304" s="1">
        <v>44848</v>
      </c>
      <c r="B1304" s="5" t="s">
        <v>5</v>
      </c>
      <c r="C1304" s="2">
        <v>1226</v>
      </c>
      <c r="D1304" s="2">
        <v>223</v>
      </c>
      <c r="E1304" s="3">
        <v>3602.1</v>
      </c>
      <c r="F1304" s="4" t="str">
        <f>IF(campaignData[[#This Row],[Campaign]]="Old_Campaign", "A", "B")</f>
        <v>A</v>
      </c>
    </row>
    <row r="1305" spans="1:6" x14ac:dyDescent="0.2">
      <c r="A1305" s="1">
        <v>44848</v>
      </c>
      <c r="B1305" s="5" t="s">
        <v>6</v>
      </c>
      <c r="C1305" s="2">
        <v>1216</v>
      </c>
      <c r="D1305" s="2">
        <v>277</v>
      </c>
      <c r="E1305" s="3">
        <v>3596.26</v>
      </c>
      <c r="F1305" s="4" t="str">
        <f>IF(campaignData[[#This Row],[Campaign]]="Old_Campaign", "A", "B")</f>
        <v>B</v>
      </c>
    </row>
    <row r="1306" spans="1:6" x14ac:dyDescent="0.2">
      <c r="A1306" s="1">
        <v>44849</v>
      </c>
      <c r="B1306" s="5" t="s">
        <v>5</v>
      </c>
      <c r="C1306" s="2">
        <v>1184</v>
      </c>
      <c r="D1306" s="2">
        <v>200</v>
      </c>
      <c r="E1306" s="3">
        <v>3619.46</v>
      </c>
      <c r="F1306" s="4" t="str">
        <f>IF(campaignData[[#This Row],[Campaign]]="Old_Campaign", "A", "B")</f>
        <v>A</v>
      </c>
    </row>
    <row r="1307" spans="1:6" x14ac:dyDescent="0.2">
      <c r="A1307" s="1">
        <v>44849</v>
      </c>
      <c r="B1307" s="5" t="s">
        <v>6</v>
      </c>
      <c r="C1307" s="2">
        <v>1154</v>
      </c>
      <c r="D1307" s="2">
        <v>256</v>
      </c>
      <c r="E1307" s="3">
        <v>4259.95</v>
      </c>
      <c r="F1307" s="4" t="str">
        <f>IF(campaignData[[#This Row],[Campaign]]="Old_Campaign", "A", "B")</f>
        <v>B</v>
      </c>
    </row>
    <row r="1308" spans="1:6" x14ac:dyDescent="0.2">
      <c r="A1308" s="1">
        <v>44850</v>
      </c>
      <c r="B1308" s="5" t="s">
        <v>5</v>
      </c>
      <c r="C1308" s="2">
        <v>1172</v>
      </c>
      <c r="D1308" s="2">
        <v>201</v>
      </c>
      <c r="E1308" s="3">
        <v>3121.23</v>
      </c>
      <c r="F1308" s="4" t="str">
        <f>IF(campaignData[[#This Row],[Campaign]]="Old_Campaign", "A", "B")</f>
        <v>A</v>
      </c>
    </row>
    <row r="1309" spans="1:6" x14ac:dyDescent="0.2">
      <c r="A1309" s="1">
        <v>44850</v>
      </c>
      <c r="B1309" s="5" t="s">
        <v>6</v>
      </c>
      <c r="C1309" s="2">
        <v>1155</v>
      </c>
      <c r="D1309" s="2">
        <v>245</v>
      </c>
      <c r="E1309" s="3">
        <v>3900.24</v>
      </c>
      <c r="F1309" s="4" t="str">
        <f>IF(campaignData[[#This Row],[Campaign]]="Old_Campaign", "A", "B")</f>
        <v>B</v>
      </c>
    </row>
    <row r="1310" spans="1:6" x14ac:dyDescent="0.2">
      <c r="A1310" s="1">
        <v>44851</v>
      </c>
      <c r="B1310" s="5" t="s">
        <v>5</v>
      </c>
      <c r="C1310" s="2">
        <v>1253</v>
      </c>
      <c r="D1310" s="2">
        <v>231</v>
      </c>
      <c r="E1310" s="3">
        <v>3498.33</v>
      </c>
      <c r="F1310" s="4" t="str">
        <f>IF(campaignData[[#This Row],[Campaign]]="Old_Campaign", "A", "B")</f>
        <v>A</v>
      </c>
    </row>
    <row r="1311" spans="1:6" x14ac:dyDescent="0.2">
      <c r="A1311" s="1">
        <v>44851</v>
      </c>
      <c r="B1311" s="5" t="s">
        <v>6</v>
      </c>
      <c r="C1311" s="2">
        <v>1153</v>
      </c>
      <c r="D1311" s="2">
        <v>243</v>
      </c>
      <c r="E1311" s="3">
        <v>4246.78</v>
      </c>
      <c r="F1311" s="4" t="str">
        <f>IF(campaignData[[#This Row],[Campaign]]="Old_Campaign", "A", "B")</f>
        <v>B</v>
      </c>
    </row>
    <row r="1312" spans="1:6" x14ac:dyDescent="0.2">
      <c r="A1312" s="1">
        <v>44852</v>
      </c>
      <c r="B1312" s="5" t="s">
        <v>5</v>
      </c>
      <c r="C1312" s="2">
        <v>1143</v>
      </c>
      <c r="D1312" s="2">
        <v>241</v>
      </c>
      <c r="E1312" s="3">
        <v>3331.65</v>
      </c>
      <c r="F1312" s="4" t="str">
        <f>IF(campaignData[[#This Row],[Campaign]]="Old_Campaign", "A", "B")</f>
        <v>A</v>
      </c>
    </row>
    <row r="1313" spans="1:6" x14ac:dyDescent="0.2">
      <c r="A1313" s="1">
        <v>44852</v>
      </c>
      <c r="B1313" s="5" t="s">
        <v>6</v>
      </c>
      <c r="C1313" s="2">
        <v>1160</v>
      </c>
      <c r="D1313" s="2">
        <v>256</v>
      </c>
      <c r="E1313" s="3">
        <v>4214.07</v>
      </c>
      <c r="F1313" s="4" t="str">
        <f>IF(campaignData[[#This Row],[Campaign]]="Old_Campaign", "A", "B")</f>
        <v>B</v>
      </c>
    </row>
    <row r="1314" spans="1:6" x14ac:dyDescent="0.2">
      <c r="A1314" s="1">
        <v>44853</v>
      </c>
      <c r="B1314" s="5" t="s">
        <v>5</v>
      </c>
      <c r="C1314" s="2">
        <v>1196</v>
      </c>
      <c r="D1314" s="2">
        <v>214</v>
      </c>
      <c r="E1314" s="3">
        <v>3655.53</v>
      </c>
      <c r="F1314" s="4" t="str">
        <f>IF(campaignData[[#This Row],[Campaign]]="Old_Campaign", "A", "B")</f>
        <v>A</v>
      </c>
    </row>
    <row r="1315" spans="1:6" x14ac:dyDescent="0.2">
      <c r="A1315" s="1">
        <v>44853</v>
      </c>
      <c r="B1315" s="5" t="s">
        <v>6</v>
      </c>
      <c r="C1315" s="2">
        <v>1111</v>
      </c>
      <c r="D1315" s="2">
        <v>249</v>
      </c>
      <c r="E1315" s="3">
        <v>3353.9</v>
      </c>
      <c r="F1315" s="4" t="str">
        <f>IF(campaignData[[#This Row],[Campaign]]="Old_Campaign", "A", "B")</f>
        <v>B</v>
      </c>
    </row>
    <row r="1316" spans="1:6" x14ac:dyDescent="0.2">
      <c r="A1316" s="1">
        <v>44854</v>
      </c>
      <c r="B1316" s="5" t="s">
        <v>5</v>
      </c>
      <c r="C1316" s="2">
        <v>1173</v>
      </c>
      <c r="D1316" s="2">
        <v>211</v>
      </c>
      <c r="E1316" s="3">
        <v>3116.69</v>
      </c>
      <c r="F1316" s="4" t="str">
        <f>IF(campaignData[[#This Row],[Campaign]]="Old_Campaign", "A", "B")</f>
        <v>A</v>
      </c>
    </row>
    <row r="1317" spans="1:6" x14ac:dyDescent="0.2">
      <c r="A1317" s="1">
        <v>44854</v>
      </c>
      <c r="B1317" s="5" t="s">
        <v>6</v>
      </c>
      <c r="C1317" s="2">
        <v>1161</v>
      </c>
      <c r="D1317" s="2">
        <v>264</v>
      </c>
      <c r="E1317" s="3">
        <v>4302.0200000000004</v>
      </c>
      <c r="F1317" s="4" t="str">
        <f>IF(campaignData[[#This Row],[Campaign]]="Old_Campaign", "A", "B")</f>
        <v>B</v>
      </c>
    </row>
    <row r="1318" spans="1:6" x14ac:dyDescent="0.2">
      <c r="A1318" s="1">
        <v>44855</v>
      </c>
      <c r="B1318" s="5" t="s">
        <v>5</v>
      </c>
      <c r="C1318" s="2">
        <v>1216</v>
      </c>
      <c r="D1318" s="2">
        <v>233</v>
      </c>
      <c r="E1318" s="3">
        <v>3635.71</v>
      </c>
      <c r="F1318" s="4" t="str">
        <f>IF(campaignData[[#This Row],[Campaign]]="Old_Campaign", "A", "B")</f>
        <v>A</v>
      </c>
    </row>
    <row r="1319" spans="1:6" x14ac:dyDescent="0.2">
      <c r="A1319" s="1">
        <v>44855</v>
      </c>
      <c r="B1319" s="5" t="s">
        <v>6</v>
      </c>
      <c r="C1319" s="2">
        <v>1150</v>
      </c>
      <c r="D1319" s="2">
        <v>266</v>
      </c>
      <c r="E1319" s="3">
        <v>3964.78</v>
      </c>
      <c r="F1319" s="4" t="str">
        <f>IF(campaignData[[#This Row],[Campaign]]="Old_Campaign", "A", "B")</f>
        <v>B</v>
      </c>
    </row>
    <row r="1320" spans="1:6" x14ac:dyDescent="0.2">
      <c r="A1320" s="1">
        <v>44856</v>
      </c>
      <c r="B1320" s="5" t="s">
        <v>5</v>
      </c>
      <c r="C1320" s="2">
        <v>1183</v>
      </c>
      <c r="D1320" s="2">
        <v>217</v>
      </c>
      <c r="E1320" s="3">
        <v>3274.02</v>
      </c>
      <c r="F1320" s="4" t="str">
        <f>IF(campaignData[[#This Row],[Campaign]]="Old_Campaign", "A", "B")</f>
        <v>A</v>
      </c>
    </row>
    <row r="1321" spans="1:6" x14ac:dyDescent="0.2">
      <c r="A1321" s="1">
        <v>44856</v>
      </c>
      <c r="B1321" s="5" t="s">
        <v>6</v>
      </c>
      <c r="C1321" s="2">
        <v>1146</v>
      </c>
      <c r="D1321" s="2">
        <v>281</v>
      </c>
      <c r="E1321" s="3">
        <v>5033.16</v>
      </c>
      <c r="F1321" s="4" t="str">
        <f>IF(campaignData[[#This Row],[Campaign]]="Old_Campaign", "A", "B")</f>
        <v>B</v>
      </c>
    </row>
    <row r="1322" spans="1:6" x14ac:dyDescent="0.2">
      <c r="A1322" s="1">
        <v>44857</v>
      </c>
      <c r="B1322" s="5" t="s">
        <v>5</v>
      </c>
      <c r="C1322" s="2">
        <v>1274</v>
      </c>
      <c r="D1322" s="2">
        <v>231</v>
      </c>
      <c r="E1322" s="3">
        <v>3494.41</v>
      </c>
      <c r="F1322" s="4" t="str">
        <f>IF(campaignData[[#This Row],[Campaign]]="Old_Campaign", "A", "B")</f>
        <v>A</v>
      </c>
    </row>
    <row r="1323" spans="1:6" x14ac:dyDescent="0.2">
      <c r="A1323" s="1">
        <v>44857</v>
      </c>
      <c r="B1323" s="5" t="s">
        <v>6</v>
      </c>
      <c r="C1323" s="2">
        <v>1155</v>
      </c>
      <c r="D1323" s="2">
        <v>265</v>
      </c>
      <c r="E1323" s="3">
        <v>4042.96</v>
      </c>
      <c r="F1323" s="4" t="str">
        <f>IF(campaignData[[#This Row],[Campaign]]="Old_Campaign", "A", "B")</f>
        <v>B</v>
      </c>
    </row>
    <row r="1324" spans="1:6" x14ac:dyDescent="0.2">
      <c r="A1324" s="1">
        <v>44858</v>
      </c>
      <c r="B1324" s="5" t="s">
        <v>5</v>
      </c>
      <c r="C1324" s="2">
        <v>1224</v>
      </c>
      <c r="D1324" s="2">
        <v>193</v>
      </c>
      <c r="E1324" s="3">
        <v>2596.61</v>
      </c>
      <c r="F1324" s="4" t="str">
        <f>IF(campaignData[[#This Row],[Campaign]]="Old_Campaign", "A", "B")</f>
        <v>A</v>
      </c>
    </row>
    <row r="1325" spans="1:6" x14ac:dyDescent="0.2">
      <c r="A1325" s="1">
        <v>44858</v>
      </c>
      <c r="B1325" s="5" t="s">
        <v>6</v>
      </c>
      <c r="C1325" s="2">
        <v>1059</v>
      </c>
      <c r="D1325" s="2">
        <v>278</v>
      </c>
      <c r="E1325" s="3">
        <v>3963.88</v>
      </c>
      <c r="F1325" s="4" t="str">
        <f>IF(campaignData[[#This Row],[Campaign]]="Old_Campaign", "A", "B")</f>
        <v>B</v>
      </c>
    </row>
    <row r="1326" spans="1:6" x14ac:dyDescent="0.2">
      <c r="A1326" s="1">
        <v>44859</v>
      </c>
      <c r="B1326" s="5" t="s">
        <v>5</v>
      </c>
      <c r="C1326" s="2">
        <v>1152</v>
      </c>
      <c r="D1326" s="2">
        <v>229</v>
      </c>
      <c r="E1326" s="3">
        <v>3362.39</v>
      </c>
      <c r="F1326" s="4" t="str">
        <f>IF(campaignData[[#This Row],[Campaign]]="Old_Campaign", "A", "B")</f>
        <v>A</v>
      </c>
    </row>
    <row r="1327" spans="1:6" x14ac:dyDescent="0.2">
      <c r="A1327" s="1">
        <v>44859</v>
      </c>
      <c r="B1327" s="5" t="s">
        <v>6</v>
      </c>
      <c r="C1327" s="2">
        <v>1122</v>
      </c>
      <c r="D1327" s="2">
        <v>243</v>
      </c>
      <c r="E1327" s="3">
        <v>3441.84</v>
      </c>
      <c r="F1327" s="4" t="str">
        <f>IF(campaignData[[#This Row],[Campaign]]="Old_Campaign", "A", "B")</f>
        <v>B</v>
      </c>
    </row>
    <row r="1328" spans="1:6" x14ac:dyDescent="0.2">
      <c r="A1328" s="1">
        <v>44860</v>
      </c>
      <c r="B1328" s="5" t="s">
        <v>5</v>
      </c>
      <c r="C1328" s="2">
        <v>1254</v>
      </c>
      <c r="D1328" s="2">
        <v>242</v>
      </c>
      <c r="E1328" s="3">
        <v>4394.45</v>
      </c>
      <c r="F1328" s="4" t="str">
        <f>IF(campaignData[[#This Row],[Campaign]]="Old_Campaign", "A", "B")</f>
        <v>A</v>
      </c>
    </row>
    <row r="1329" spans="1:6" x14ac:dyDescent="0.2">
      <c r="A1329" s="1">
        <v>44860</v>
      </c>
      <c r="B1329" s="5" t="s">
        <v>6</v>
      </c>
      <c r="C1329" s="2">
        <v>1145</v>
      </c>
      <c r="D1329" s="2">
        <v>228</v>
      </c>
      <c r="E1329" s="3">
        <v>3369.04</v>
      </c>
      <c r="F1329" s="4" t="str">
        <f>IF(campaignData[[#This Row],[Campaign]]="Old_Campaign", "A", "B")</f>
        <v>B</v>
      </c>
    </row>
    <row r="1330" spans="1:6" x14ac:dyDescent="0.2">
      <c r="A1330" s="1">
        <v>44861</v>
      </c>
      <c r="B1330" s="5" t="s">
        <v>5</v>
      </c>
      <c r="C1330" s="2">
        <v>1206</v>
      </c>
      <c r="D1330" s="2">
        <v>226</v>
      </c>
      <c r="E1330" s="3">
        <v>3542.54</v>
      </c>
      <c r="F1330" s="4" t="str">
        <f>IF(campaignData[[#This Row],[Campaign]]="Old_Campaign", "A", "B")</f>
        <v>A</v>
      </c>
    </row>
    <row r="1331" spans="1:6" x14ac:dyDescent="0.2">
      <c r="A1331" s="1">
        <v>44861</v>
      </c>
      <c r="B1331" s="5" t="s">
        <v>6</v>
      </c>
      <c r="C1331" s="2">
        <v>1111</v>
      </c>
      <c r="D1331" s="2">
        <v>261</v>
      </c>
      <c r="E1331" s="3">
        <v>4038.55</v>
      </c>
      <c r="F1331" s="4" t="str">
        <f>IF(campaignData[[#This Row],[Campaign]]="Old_Campaign", "A", "B")</f>
        <v>B</v>
      </c>
    </row>
    <row r="1332" spans="1:6" x14ac:dyDescent="0.2">
      <c r="A1332" s="1">
        <v>44862</v>
      </c>
      <c r="B1332" s="5" t="s">
        <v>5</v>
      </c>
      <c r="C1332" s="2">
        <v>1188</v>
      </c>
      <c r="D1332" s="2">
        <v>236</v>
      </c>
      <c r="E1332" s="3">
        <v>3511.16</v>
      </c>
      <c r="F1332" s="4" t="str">
        <f>IF(campaignData[[#This Row],[Campaign]]="Old_Campaign", "A", "B")</f>
        <v>A</v>
      </c>
    </row>
    <row r="1333" spans="1:6" x14ac:dyDescent="0.2">
      <c r="A1333" s="1">
        <v>44862</v>
      </c>
      <c r="B1333" s="5" t="s">
        <v>6</v>
      </c>
      <c r="C1333" s="2">
        <v>1185</v>
      </c>
      <c r="D1333" s="2">
        <v>280</v>
      </c>
      <c r="E1333" s="3">
        <v>4060.67</v>
      </c>
      <c r="F1333" s="4" t="str">
        <f>IF(campaignData[[#This Row],[Campaign]]="Old_Campaign", "A", "B")</f>
        <v>B</v>
      </c>
    </row>
    <row r="1334" spans="1:6" x14ac:dyDescent="0.2">
      <c r="A1334" s="1">
        <v>44863</v>
      </c>
      <c r="B1334" s="5" t="s">
        <v>5</v>
      </c>
      <c r="C1334" s="2">
        <v>1152</v>
      </c>
      <c r="D1334" s="2">
        <v>213</v>
      </c>
      <c r="E1334" s="3">
        <v>2907.97</v>
      </c>
      <c r="F1334" s="4" t="str">
        <f>IF(campaignData[[#This Row],[Campaign]]="Old_Campaign", "A", "B")</f>
        <v>A</v>
      </c>
    </row>
    <row r="1335" spans="1:6" x14ac:dyDescent="0.2">
      <c r="A1335" s="1">
        <v>44863</v>
      </c>
      <c r="B1335" s="5" t="s">
        <v>6</v>
      </c>
      <c r="C1335" s="2">
        <v>1150</v>
      </c>
      <c r="D1335" s="2">
        <v>275</v>
      </c>
      <c r="E1335" s="3">
        <v>4926.6499999999996</v>
      </c>
      <c r="F1335" s="4" t="str">
        <f>IF(campaignData[[#This Row],[Campaign]]="Old_Campaign", "A", "B")</f>
        <v>B</v>
      </c>
    </row>
    <row r="1336" spans="1:6" x14ac:dyDescent="0.2">
      <c r="A1336" s="1">
        <v>44864</v>
      </c>
      <c r="B1336" s="5" t="s">
        <v>5</v>
      </c>
      <c r="C1336" s="2">
        <v>1156</v>
      </c>
      <c r="D1336" s="2">
        <v>216</v>
      </c>
      <c r="E1336" s="3">
        <v>3001.42</v>
      </c>
      <c r="F1336" s="4" t="str">
        <f>IF(campaignData[[#This Row],[Campaign]]="Old_Campaign", "A", "B")</f>
        <v>A</v>
      </c>
    </row>
    <row r="1337" spans="1:6" x14ac:dyDescent="0.2">
      <c r="A1337" s="1">
        <v>44864</v>
      </c>
      <c r="B1337" s="5" t="s">
        <v>6</v>
      </c>
      <c r="C1337" s="2">
        <v>1136</v>
      </c>
      <c r="D1337" s="2">
        <v>271</v>
      </c>
      <c r="E1337" s="3">
        <v>3741.35</v>
      </c>
      <c r="F1337" s="4" t="str">
        <f>IF(campaignData[[#This Row],[Campaign]]="Old_Campaign", "A", "B")</f>
        <v>B</v>
      </c>
    </row>
    <row r="1338" spans="1:6" x14ac:dyDescent="0.2">
      <c r="A1338" s="1">
        <v>44865</v>
      </c>
      <c r="B1338" s="5" t="s">
        <v>5</v>
      </c>
      <c r="C1338" s="2">
        <v>1270</v>
      </c>
      <c r="D1338" s="2">
        <v>249</v>
      </c>
      <c r="E1338" s="3">
        <v>3156.29</v>
      </c>
      <c r="F1338" s="4" t="str">
        <f>IF(campaignData[[#This Row],[Campaign]]="Old_Campaign", "A", "B")</f>
        <v>A</v>
      </c>
    </row>
    <row r="1339" spans="1:6" x14ac:dyDescent="0.2">
      <c r="A1339" s="1">
        <v>44865</v>
      </c>
      <c r="B1339" s="5" t="s">
        <v>6</v>
      </c>
      <c r="C1339" s="2">
        <v>1164</v>
      </c>
      <c r="D1339" s="2">
        <v>257</v>
      </c>
      <c r="E1339" s="3">
        <v>4925.21</v>
      </c>
      <c r="F1339" s="4" t="str">
        <f>IF(campaignData[[#This Row],[Campaign]]="Old_Campaign", "A", "B")</f>
        <v>B</v>
      </c>
    </row>
    <row r="1340" spans="1:6" x14ac:dyDescent="0.2">
      <c r="A1340" s="1">
        <v>44866</v>
      </c>
      <c r="B1340" s="5" t="s">
        <v>5</v>
      </c>
      <c r="C1340" s="2">
        <v>1205</v>
      </c>
      <c r="D1340" s="2">
        <v>212</v>
      </c>
      <c r="E1340" s="3">
        <v>2977.94</v>
      </c>
      <c r="F1340" s="4" t="str">
        <f>IF(campaignData[[#This Row],[Campaign]]="Old_Campaign", "A", "B")</f>
        <v>A</v>
      </c>
    </row>
    <row r="1341" spans="1:6" x14ac:dyDescent="0.2">
      <c r="A1341" s="1">
        <v>44866</v>
      </c>
      <c r="B1341" s="5" t="s">
        <v>6</v>
      </c>
      <c r="C1341" s="2">
        <v>1132</v>
      </c>
      <c r="D1341" s="2">
        <v>252</v>
      </c>
      <c r="E1341" s="3">
        <v>3374.49</v>
      </c>
      <c r="F1341" s="4" t="str">
        <f>IF(campaignData[[#This Row],[Campaign]]="Old_Campaign", "A", "B")</f>
        <v>B</v>
      </c>
    </row>
    <row r="1342" spans="1:6" x14ac:dyDescent="0.2">
      <c r="A1342" s="1">
        <v>44867</v>
      </c>
      <c r="B1342" s="5" t="s">
        <v>5</v>
      </c>
      <c r="C1342" s="2">
        <v>1233</v>
      </c>
      <c r="D1342" s="2">
        <v>232</v>
      </c>
      <c r="E1342" s="3">
        <v>3439.59</v>
      </c>
      <c r="F1342" s="4" t="str">
        <f>IF(campaignData[[#This Row],[Campaign]]="Old_Campaign", "A", "B")</f>
        <v>A</v>
      </c>
    </row>
    <row r="1343" spans="1:6" x14ac:dyDescent="0.2">
      <c r="A1343" s="1">
        <v>44867</v>
      </c>
      <c r="B1343" s="5" t="s">
        <v>6</v>
      </c>
      <c r="C1343" s="2">
        <v>1125</v>
      </c>
      <c r="D1343" s="2">
        <v>276</v>
      </c>
      <c r="E1343" s="3">
        <v>5453.69</v>
      </c>
      <c r="F1343" s="4" t="str">
        <f>IF(campaignData[[#This Row],[Campaign]]="Old_Campaign", "A", "B")</f>
        <v>B</v>
      </c>
    </row>
    <row r="1344" spans="1:6" x14ac:dyDescent="0.2">
      <c r="A1344" s="1">
        <v>44868</v>
      </c>
      <c r="B1344" s="5" t="s">
        <v>5</v>
      </c>
      <c r="C1344" s="2">
        <v>1176</v>
      </c>
      <c r="D1344" s="2">
        <v>199</v>
      </c>
      <c r="E1344" s="3">
        <v>3100.9</v>
      </c>
      <c r="F1344" s="4" t="str">
        <f>IF(campaignData[[#This Row],[Campaign]]="Old_Campaign", "A", "B")</f>
        <v>A</v>
      </c>
    </row>
    <row r="1345" spans="1:6" x14ac:dyDescent="0.2">
      <c r="A1345" s="1">
        <v>44868</v>
      </c>
      <c r="B1345" s="5" t="s">
        <v>6</v>
      </c>
      <c r="C1345" s="2">
        <v>1140</v>
      </c>
      <c r="D1345" s="2">
        <v>280</v>
      </c>
      <c r="E1345" s="3">
        <v>4276.3999999999996</v>
      </c>
      <c r="F1345" s="4" t="str">
        <f>IF(campaignData[[#This Row],[Campaign]]="Old_Campaign", "A", "B")</f>
        <v>B</v>
      </c>
    </row>
    <row r="1346" spans="1:6" x14ac:dyDescent="0.2">
      <c r="A1346" s="1">
        <v>44869</v>
      </c>
      <c r="B1346" s="5" t="s">
        <v>5</v>
      </c>
      <c r="C1346" s="2">
        <v>1204</v>
      </c>
      <c r="D1346" s="2">
        <v>222</v>
      </c>
      <c r="E1346" s="3">
        <v>2994.36</v>
      </c>
      <c r="F1346" s="4" t="str">
        <f>IF(campaignData[[#This Row],[Campaign]]="Old_Campaign", "A", "B")</f>
        <v>A</v>
      </c>
    </row>
    <row r="1347" spans="1:6" x14ac:dyDescent="0.2">
      <c r="A1347" s="1">
        <v>44869</v>
      </c>
      <c r="B1347" s="5" t="s">
        <v>6</v>
      </c>
      <c r="C1347" s="2">
        <v>1102</v>
      </c>
      <c r="D1347" s="2">
        <v>261</v>
      </c>
      <c r="E1347" s="3">
        <v>4364.1499999999996</v>
      </c>
      <c r="F1347" s="4" t="str">
        <f>IF(campaignData[[#This Row],[Campaign]]="Old_Campaign", "A", "B")</f>
        <v>B</v>
      </c>
    </row>
    <row r="1348" spans="1:6" x14ac:dyDescent="0.2">
      <c r="A1348" s="1">
        <v>44870</v>
      </c>
      <c r="B1348" s="5" t="s">
        <v>5</v>
      </c>
      <c r="C1348" s="2">
        <v>1164</v>
      </c>
      <c r="D1348" s="2">
        <v>186</v>
      </c>
      <c r="E1348" s="3">
        <v>2564.9699999999998</v>
      </c>
      <c r="F1348" s="4" t="str">
        <f>IF(campaignData[[#This Row],[Campaign]]="Old_Campaign", "A", "B")</f>
        <v>A</v>
      </c>
    </row>
    <row r="1349" spans="1:6" x14ac:dyDescent="0.2">
      <c r="A1349" s="1">
        <v>44870</v>
      </c>
      <c r="B1349" s="5" t="s">
        <v>6</v>
      </c>
      <c r="C1349" s="2">
        <v>1185</v>
      </c>
      <c r="D1349" s="2">
        <v>288</v>
      </c>
      <c r="E1349" s="3">
        <v>4894.7299999999996</v>
      </c>
      <c r="F1349" s="4" t="str">
        <f>IF(campaignData[[#This Row],[Campaign]]="Old_Campaign", "A", "B")</f>
        <v>B</v>
      </c>
    </row>
    <row r="1350" spans="1:6" x14ac:dyDescent="0.2">
      <c r="A1350" s="1">
        <v>44871</v>
      </c>
      <c r="B1350" s="5" t="s">
        <v>5</v>
      </c>
      <c r="C1350" s="2">
        <v>1175</v>
      </c>
      <c r="D1350" s="2">
        <v>228</v>
      </c>
      <c r="E1350" s="3">
        <v>3243.84</v>
      </c>
      <c r="F1350" s="4" t="str">
        <f>IF(campaignData[[#This Row],[Campaign]]="Old_Campaign", "A", "B")</f>
        <v>A</v>
      </c>
    </row>
    <row r="1351" spans="1:6" x14ac:dyDescent="0.2">
      <c r="A1351" s="1">
        <v>44871</v>
      </c>
      <c r="B1351" s="5" t="s">
        <v>6</v>
      </c>
      <c r="C1351" s="2">
        <v>1137</v>
      </c>
      <c r="D1351" s="2">
        <v>283</v>
      </c>
      <c r="E1351" s="3">
        <v>3279.8</v>
      </c>
      <c r="F1351" s="4" t="str">
        <f>IF(campaignData[[#This Row],[Campaign]]="Old_Campaign", "A", "B")</f>
        <v>B</v>
      </c>
    </row>
    <row r="1352" spans="1:6" x14ac:dyDescent="0.2">
      <c r="A1352" s="1">
        <v>44872</v>
      </c>
      <c r="B1352" s="5" t="s">
        <v>5</v>
      </c>
      <c r="C1352" s="2">
        <v>1188</v>
      </c>
      <c r="D1352" s="2">
        <v>231</v>
      </c>
      <c r="E1352" s="3">
        <v>3392.08</v>
      </c>
      <c r="F1352" s="4" t="str">
        <f>IF(campaignData[[#This Row],[Campaign]]="Old_Campaign", "A", "B")</f>
        <v>A</v>
      </c>
    </row>
    <row r="1353" spans="1:6" x14ac:dyDescent="0.2">
      <c r="A1353" s="1">
        <v>44872</v>
      </c>
      <c r="B1353" s="5" t="s">
        <v>6</v>
      </c>
      <c r="C1353" s="2">
        <v>1227</v>
      </c>
      <c r="D1353" s="2">
        <v>306</v>
      </c>
      <c r="E1353" s="3">
        <v>5084.67</v>
      </c>
      <c r="F1353" s="4" t="str">
        <f>IF(campaignData[[#This Row],[Campaign]]="Old_Campaign", "A", "B")</f>
        <v>B</v>
      </c>
    </row>
    <row r="1354" spans="1:6" x14ac:dyDescent="0.2">
      <c r="A1354" s="1">
        <v>44873</v>
      </c>
      <c r="B1354" s="5" t="s">
        <v>5</v>
      </c>
      <c r="C1354" s="2">
        <v>1251</v>
      </c>
      <c r="D1354" s="2">
        <v>242</v>
      </c>
      <c r="E1354" s="3">
        <v>3454.62</v>
      </c>
      <c r="F1354" s="4" t="str">
        <f>IF(campaignData[[#This Row],[Campaign]]="Old_Campaign", "A", "B")</f>
        <v>A</v>
      </c>
    </row>
    <row r="1355" spans="1:6" x14ac:dyDescent="0.2">
      <c r="A1355" s="1">
        <v>44873</v>
      </c>
      <c r="B1355" s="5" t="s">
        <v>6</v>
      </c>
      <c r="C1355" s="2">
        <v>1106</v>
      </c>
      <c r="D1355" s="2">
        <v>278</v>
      </c>
      <c r="E1355" s="3">
        <v>4860.45</v>
      </c>
      <c r="F1355" s="4" t="str">
        <f>IF(campaignData[[#This Row],[Campaign]]="Old_Campaign", "A", "B")</f>
        <v>B</v>
      </c>
    </row>
    <row r="1356" spans="1:6" x14ac:dyDescent="0.2">
      <c r="A1356" s="1">
        <v>44874</v>
      </c>
      <c r="B1356" s="5" t="s">
        <v>5</v>
      </c>
      <c r="C1356" s="2">
        <v>1176</v>
      </c>
      <c r="D1356" s="2">
        <v>217</v>
      </c>
      <c r="E1356" s="3">
        <v>2730.21</v>
      </c>
      <c r="F1356" s="4" t="str">
        <f>IF(campaignData[[#This Row],[Campaign]]="Old_Campaign", "A", "B")</f>
        <v>A</v>
      </c>
    </row>
    <row r="1357" spans="1:6" x14ac:dyDescent="0.2">
      <c r="A1357" s="1">
        <v>44874</v>
      </c>
      <c r="B1357" s="5" t="s">
        <v>6</v>
      </c>
      <c r="C1357" s="2">
        <v>1209</v>
      </c>
      <c r="D1357" s="2">
        <v>281</v>
      </c>
      <c r="E1357" s="3">
        <v>4527.8900000000003</v>
      </c>
      <c r="F1357" s="4" t="str">
        <f>IF(campaignData[[#This Row],[Campaign]]="Old_Campaign", "A", "B")</f>
        <v>B</v>
      </c>
    </row>
    <row r="1358" spans="1:6" x14ac:dyDescent="0.2">
      <c r="A1358" s="1">
        <v>44875</v>
      </c>
      <c r="B1358" s="5" t="s">
        <v>5</v>
      </c>
      <c r="C1358" s="2">
        <v>1219</v>
      </c>
      <c r="D1358" s="2">
        <v>228</v>
      </c>
      <c r="E1358" s="3">
        <v>3309.91</v>
      </c>
      <c r="F1358" s="4" t="str">
        <f>IF(campaignData[[#This Row],[Campaign]]="Old_Campaign", "A", "B")</f>
        <v>A</v>
      </c>
    </row>
    <row r="1359" spans="1:6" x14ac:dyDescent="0.2">
      <c r="A1359" s="1">
        <v>44875</v>
      </c>
      <c r="B1359" s="5" t="s">
        <v>6</v>
      </c>
      <c r="C1359" s="2">
        <v>1181</v>
      </c>
      <c r="D1359" s="2">
        <v>293</v>
      </c>
      <c r="E1359" s="3">
        <v>5547.53</v>
      </c>
      <c r="F1359" s="4" t="str">
        <f>IF(campaignData[[#This Row],[Campaign]]="Old_Campaign", "A", "B")</f>
        <v>B</v>
      </c>
    </row>
    <row r="1360" spans="1:6" x14ac:dyDescent="0.2">
      <c r="A1360" s="1">
        <v>44876</v>
      </c>
      <c r="B1360" s="5" t="s">
        <v>5</v>
      </c>
      <c r="C1360" s="2">
        <v>1176</v>
      </c>
      <c r="D1360" s="2">
        <v>221</v>
      </c>
      <c r="E1360" s="3">
        <v>3217.05</v>
      </c>
      <c r="F1360" s="4" t="str">
        <f>IF(campaignData[[#This Row],[Campaign]]="Old_Campaign", "A", "B")</f>
        <v>A</v>
      </c>
    </row>
    <row r="1361" spans="1:6" x14ac:dyDescent="0.2">
      <c r="A1361" s="1">
        <v>44876</v>
      </c>
      <c r="B1361" s="5" t="s">
        <v>6</v>
      </c>
      <c r="C1361" s="2">
        <v>1204</v>
      </c>
      <c r="D1361" s="2">
        <v>255</v>
      </c>
      <c r="E1361" s="3">
        <v>3345.1</v>
      </c>
      <c r="F1361" s="4" t="str">
        <f>IF(campaignData[[#This Row],[Campaign]]="Old_Campaign", "A", "B")</f>
        <v>B</v>
      </c>
    </row>
    <row r="1362" spans="1:6" x14ac:dyDescent="0.2">
      <c r="A1362" s="1">
        <v>44877</v>
      </c>
      <c r="B1362" s="5" t="s">
        <v>5</v>
      </c>
      <c r="C1362" s="2">
        <v>1207</v>
      </c>
      <c r="D1362" s="2">
        <v>224</v>
      </c>
      <c r="E1362" s="3">
        <v>3329.34</v>
      </c>
      <c r="F1362" s="4" t="str">
        <f>IF(campaignData[[#This Row],[Campaign]]="Old_Campaign", "A", "B")</f>
        <v>A</v>
      </c>
    </row>
    <row r="1363" spans="1:6" x14ac:dyDescent="0.2">
      <c r="A1363" s="1">
        <v>44877</v>
      </c>
      <c r="B1363" s="5" t="s">
        <v>6</v>
      </c>
      <c r="C1363" s="2">
        <v>1188</v>
      </c>
      <c r="D1363" s="2">
        <v>294</v>
      </c>
      <c r="E1363" s="3">
        <v>4720.92</v>
      </c>
      <c r="F1363" s="4" t="str">
        <f>IF(campaignData[[#This Row],[Campaign]]="Old_Campaign", "A", "B")</f>
        <v>B</v>
      </c>
    </row>
    <row r="1364" spans="1:6" x14ac:dyDescent="0.2">
      <c r="A1364" s="1">
        <v>44878</v>
      </c>
      <c r="B1364" s="5" t="s">
        <v>5</v>
      </c>
      <c r="C1364" s="2">
        <v>1218</v>
      </c>
      <c r="D1364" s="2">
        <v>234</v>
      </c>
      <c r="E1364" s="3">
        <v>3958.02</v>
      </c>
      <c r="F1364" s="4" t="str">
        <f>IF(campaignData[[#This Row],[Campaign]]="Old_Campaign", "A", "B")</f>
        <v>A</v>
      </c>
    </row>
    <row r="1365" spans="1:6" x14ac:dyDescent="0.2">
      <c r="A1365" s="1">
        <v>44878</v>
      </c>
      <c r="B1365" s="5" t="s">
        <v>6</v>
      </c>
      <c r="C1365" s="2">
        <v>1150</v>
      </c>
      <c r="D1365" s="2">
        <v>262</v>
      </c>
      <c r="E1365" s="3">
        <v>4136.41</v>
      </c>
      <c r="F1365" s="4" t="str">
        <f>IF(campaignData[[#This Row],[Campaign]]="Old_Campaign", "A", "B")</f>
        <v>B</v>
      </c>
    </row>
    <row r="1366" spans="1:6" x14ac:dyDescent="0.2">
      <c r="A1366" s="1">
        <v>44879</v>
      </c>
      <c r="B1366" s="5" t="s">
        <v>5</v>
      </c>
      <c r="C1366" s="2">
        <v>1237</v>
      </c>
      <c r="D1366" s="2">
        <v>235</v>
      </c>
      <c r="E1366" s="3">
        <v>4144.55</v>
      </c>
      <c r="F1366" s="4" t="str">
        <f>IF(campaignData[[#This Row],[Campaign]]="Old_Campaign", "A", "B")</f>
        <v>A</v>
      </c>
    </row>
    <row r="1367" spans="1:6" x14ac:dyDescent="0.2">
      <c r="A1367" s="1">
        <v>44879</v>
      </c>
      <c r="B1367" s="5" t="s">
        <v>6</v>
      </c>
      <c r="C1367" s="2">
        <v>1124</v>
      </c>
      <c r="D1367" s="2">
        <v>259</v>
      </c>
      <c r="E1367" s="3">
        <v>3440.47</v>
      </c>
      <c r="F1367" s="4" t="str">
        <f>IF(campaignData[[#This Row],[Campaign]]="Old_Campaign", "A", "B")</f>
        <v>B</v>
      </c>
    </row>
    <row r="1368" spans="1:6" x14ac:dyDescent="0.2">
      <c r="A1368" s="1">
        <v>44880</v>
      </c>
      <c r="B1368" s="5" t="s">
        <v>5</v>
      </c>
      <c r="C1368" s="2">
        <v>1176</v>
      </c>
      <c r="D1368" s="2">
        <v>212</v>
      </c>
      <c r="E1368" s="3">
        <v>2787.42</v>
      </c>
      <c r="F1368" s="4" t="str">
        <f>IF(campaignData[[#This Row],[Campaign]]="Old_Campaign", "A", "B")</f>
        <v>A</v>
      </c>
    </row>
    <row r="1369" spans="1:6" x14ac:dyDescent="0.2">
      <c r="A1369" s="1">
        <v>44880</v>
      </c>
      <c r="B1369" s="5" t="s">
        <v>6</v>
      </c>
      <c r="C1369" s="2">
        <v>1171</v>
      </c>
      <c r="D1369" s="2">
        <v>285</v>
      </c>
      <c r="E1369" s="3">
        <v>4495.21</v>
      </c>
      <c r="F1369" s="4" t="str">
        <f>IF(campaignData[[#This Row],[Campaign]]="Old_Campaign", "A", "B")</f>
        <v>B</v>
      </c>
    </row>
    <row r="1370" spans="1:6" x14ac:dyDescent="0.2">
      <c r="A1370" s="1">
        <v>44881</v>
      </c>
      <c r="B1370" s="5" t="s">
        <v>5</v>
      </c>
      <c r="C1370" s="2">
        <v>1154</v>
      </c>
      <c r="D1370" s="2">
        <v>247</v>
      </c>
      <c r="E1370" s="3">
        <v>3491.45</v>
      </c>
      <c r="F1370" s="4" t="str">
        <f>IF(campaignData[[#This Row],[Campaign]]="Old_Campaign", "A", "B")</f>
        <v>A</v>
      </c>
    </row>
    <row r="1371" spans="1:6" x14ac:dyDescent="0.2">
      <c r="A1371" s="1">
        <v>44881</v>
      </c>
      <c r="B1371" s="5" t="s">
        <v>6</v>
      </c>
      <c r="C1371" s="2">
        <v>1134</v>
      </c>
      <c r="D1371" s="2">
        <v>266</v>
      </c>
      <c r="E1371" s="3">
        <v>4933.08</v>
      </c>
      <c r="F1371" s="4" t="str">
        <f>IF(campaignData[[#This Row],[Campaign]]="Old_Campaign", "A", "B")</f>
        <v>B</v>
      </c>
    </row>
    <row r="1372" spans="1:6" x14ac:dyDescent="0.2">
      <c r="A1372" s="1">
        <v>44882</v>
      </c>
      <c r="B1372" s="5" t="s">
        <v>5</v>
      </c>
      <c r="C1372" s="2">
        <v>1213</v>
      </c>
      <c r="D1372" s="2">
        <v>241</v>
      </c>
      <c r="E1372" s="3">
        <v>4649.29</v>
      </c>
      <c r="F1372" s="4" t="str">
        <f>IF(campaignData[[#This Row],[Campaign]]="Old_Campaign", "A", "B")</f>
        <v>A</v>
      </c>
    </row>
    <row r="1373" spans="1:6" x14ac:dyDescent="0.2">
      <c r="A1373" s="1">
        <v>44882</v>
      </c>
      <c r="B1373" s="5" t="s">
        <v>6</v>
      </c>
      <c r="C1373" s="2">
        <v>1144</v>
      </c>
      <c r="D1373" s="2">
        <v>272</v>
      </c>
      <c r="E1373" s="3">
        <v>3511.55</v>
      </c>
      <c r="F1373" s="4" t="str">
        <f>IF(campaignData[[#This Row],[Campaign]]="Old_Campaign", "A", "B")</f>
        <v>B</v>
      </c>
    </row>
    <row r="1374" spans="1:6" x14ac:dyDescent="0.2">
      <c r="A1374" s="1">
        <v>44883</v>
      </c>
      <c r="B1374" s="5" t="s">
        <v>5</v>
      </c>
      <c r="C1374" s="2">
        <v>1211</v>
      </c>
      <c r="D1374" s="2">
        <v>232</v>
      </c>
      <c r="E1374" s="3">
        <v>3099.11</v>
      </c>
      <c r="F1374" s="4" t="str">
        <f>IF(campaignData[[#This Row],[Campaign]]="Old_Campaign", "A", "B")</f>
        <v>A</v>
      </c>
    </row>
    <row r="1375" spans="1:6" x14ac:dyDescent="0.2">
      <c r="A1375" s="1">
        <v>44883</v>
      </c>
      <c r="B1375" s="5" t="s">
        <v>6</v>
      </c>
      <c r="C1375" s="2">
        <v>1120</v>
      </c>
      <c r="D1375" s="2">
        <v>235</v>
      </c>
      <c r="E1375" s="3">
        <v>3559.4</v>
      </c>
      <c r="F1375" s="4" t="str">
        <f>IF(campaignData[[#This Row],[Campaign]]="Old_Campaign", "A", "B")</f>
        <v>B</v>
      </c>
    </row>
    <row r="1376" spans="1:6" x14ac:dyDescent="0.2">
      <c r="A1376" s="1">
        <v>44884</v>
      </c>
      <c r="B1376" s="5" t="s">
        <v>5</v>
      </c>
      <c r="C1376" s="2">
        <v>1243</v>
      </c>
      <c r="D1376" s="2">
        <v>234</v>
      </c>
      <c r="E1376" s="3">
        <v>3934.26</v>
      </c>
      <c r="F1376" s="4" t="str">
        <f>IF(campaignData[[#This Row],[Campaign]]="Old_Campaign", "A", "B")</f>
        <v>A</v>
      </c>
    </row>
    <row r="1377" spans="1:6" x14ac:dyDescent="0.2">
      <c r="A1377" s="1">
        <v>44884</v>
      </c>
      <c r="B1377" s="5" t="s">
        <v>6</v>
      </c>
      <c r="C1377" s="2">
        <v>1093</v>
      </c>
      <c r="D1377" s="2">
        <v>253</v>
      </c>
      <c r="E1377" s="3">
        <v>4084.56</v>
      </c>
      <c r="F1377" s="4" t="str">
        <f>IF(campaignData[[#This Row],[Campaign]]="Old_Campaign", "A", "B")</f>
        <v>B</v>
      </c>
    </row>
    <row r="1378" spans="1:6" x14ac:dyDescent="0.2">
      <c r="A1378" s="1">
        <v>44885</v>
      </c>
      <c r="B1378" s="5" t="s">
        <v>5</v>
      </c>
      <c r="C1378" s="2">
        <v>1189</v>
      </c>
      <c r="D1378" s="2">
        <v>221</v>
      </c>
      <c r="E1378" s="3">
        <v>3687.39</v>
      </c>
      <c r="F1378" s="4" t="str">
        <f>IF(campaignData[[#This Row],[Campaign]]="Old_Campaign", "A", "B")</f>
        <v>A</v>
      </c>
    </row>
    <row r="1379" spans="1:6" x14ac:dyDescent="0.2">
      <c r="A1379" s="1">
        <v>44885</v>
      </c>
      <c r="B1379" s="5" t="s">
        <v>6</v>
      </c>
      <c r="C1379" s="2">
        <v>1150</v>
      </c>
      <c r="D1379" s="2">
        <v>295</v>
      </c>
      <c r="E1379" s="3">
        <v>5165.43</v>
      </c>
      <c r="F1379" s="4" t="str">
        <f>IF(campaignData[[#This Row],[Campaign]]="Old_Campaign", "A", "B")</f>
        <v>B</v>
      </c>
    </row>
    <row r="1380" spans="1:6" x14ac:dyDescent="0.2">
      <c r="A1380" s="1">
        <v>44886</v>
      </c>
      <c r="B1380" s="5" t="s">
        <v>5</v>
      </c>
      <c r="C1380" s="2">
        <v>1191</v>
      </c>
      <c r="D1380" s="2">
        <v>217</v>
      </c>
      <c r="E1380" s="3">
        <v>3305.7</v>
      </c>
      <c r="F1380" s="4" t="str">
        <f>IF(campaignData[[#This Row],[Campaign]]="Old_Campaign", "A", "B")</f>
        <v>A</v>
      </c>
    </row>
    <row r="1381" spans="1:6" x14ac:dyDescent="0.2">
      <c r="A1381" s="1">
        <v>44886</v>
      </c>
      <c r="B1381" s="5" t="s">
        <v>6</v>
      </c>
      <c r="C1381" s="2">
        <v>1129</v>
      </c>
      <c r="D1381" s="2">
        <v>246</v>
      </c>
      <c r="E1381" s="3">
        <v>3303.49</v>
      </c>
      <c r="F1381" s="4" t="str">
        <f>IF(campaignData[[#This Row],[Campaign]]="Old_Campaign", "A", "B")</f>
        <v>B</v>
      </c>
    </row>
    <row r="1382" spans="1:6" x14ac:dyDescent="0.2">
      <c r="A1382" s="1">
        <v>44887</v>
      </c>
      <c r="B1382" s="5" t="s">
        <v>5</v>
      </c>
      <c r="C1382" s="2">
        <v>1177</v>
      </c>
      <c r="D1382" s="2">
        <v>204</v>
      </c>
      <c r="E1382" s="3">
        <v>2910.8</v>
      </c>
      <c r="F1382" s="4" t="str">
        <f>IF(campaignData[[#This Row],[Campaign]]="Old_Campaign", "A", "B")</f>
        <v>A</v>
      </c>
    </row>
    <row r="1383" spans="1:6" x14ac:dyDescent="0.2">
      <c r="A1383" s="1">
        <v>44887</v>
      </c>
      <c r="B1383" s="5" t="s">
        <v>6</v>
      </c>
      <c r="C1383" s="2">
        <v>1179</v>
      </c>
      <c r="D1383" s="2">
        <v>307</v>
      </c>
      <c r="E1383" s="3">
        <v>5221.62</v>
      </c>
      <c r="F1383" s="4" t="str">
        <f>IF(campaignData[[#This Row],[Campaign]]="Old_Campaign", "A", "B")</f>
        <v>B</v>
      </c>
    </row>
    <row r="1384" spans="1:6" x14ac:dyDescent="0.2">
      <c r="A1384" s="1">
        <v>44888</v>
      </c>
      <c r="B1384" s="5" t="s">
        <v>5</v>
      </c>
      <c r="C1384" s="2">
        <v>1218</v>
      </c>
      <c r="D1384" s="2">
        <v>222</v>
      </c>
      <c r="E1384" s="3">
        <v>2529.13</v>
      </c>
      <c r="F1384" s="4" t="str">
        <f>IF(campaignData[[#This Row],[Campaign]]="Old_Campaign", "A", "B")</f>
        <v>A</v>
      </c>
    </row>
    <row r="1385" spans="1:6" x14ac:dyDescent="0.2">
      <c r="A1385" s="1">
        <v>44888</v>
      </c>
      <c r="B1385" s="5" t="s">
        <v>6</v>
      </c>
      <c r="C1385" s="2">
        <v>1104</v>
      </c>
      <c r="D1385" s="2">
        <v>271</v>
      </c>
      <c r="E1385" s="3">
        <v>4515.66</v>
      </c>
      <c r="F1385" s="4" t="str">
        <f>IF(campaignData[[#This Row],[Campaign]]="Old_Campaign", "A", "B")</f>
        <v>B</v>
      </c>
    </row>
    <row r="1386" spans="1:6" x14ac:dyDescent="0.2">
      <c r="A1386" s="1">
        <v>44889</v>
      </c>
      <c r="B1386" s="5" t="s">
        <v>5</v>
      </c>
      <c r="C1386" s="2">
        <v>1279</v>
      </c>
      <c r="D1386" s="2">
        <v>231</v>
      </c>
      <c r="E1386" s="3">
        <v>2939.69</v>
      </c>
      <c r="F1386" s="4" t="str">
        <f>IF(campaignData[[#This Row],[Campaign]]="Old_Campaign", "A", "B")</f>
        <v>A</v>
      </c>
    </row>
    <row r="1387" spans="1:6" x14ac:dyDescent="0.2">
      <c r="A1387" s="1">
        <v>44889</v>
      </c>
      <c r="B1387" s="5" t="s">
        <v>6</v>
      </c>
      <c r="C1387" s="2">
        <v>1153</v>
      </c>
      <c r="D1387" s="2">
        <v>243</v>
      </c>
      <c r="E1387" s="3">
        <v>3488.6</v>
      </c>
      <c r="F1387" s="4" t="str">
        <f>IF(campaignData[[#This Row],[Campaign]]="Old_Campaign", "A", "B")</f>
        <v>B</v>
      </c>
    </row>
    <row r="1388" spans="1:6" x14ac:dyDescent="0.2">
      <c r="A1388" s="1">
        <v>44890</v>
      </c>
      <c r="B1388" s="5" t="s">
        <v>5</v>
      </c>
      <c r="C1388" s="2">
        <v>1232</v>
      </c>
      <c r="D1388" s="2">
        <v>220</v>
      </c>
      <c r="E1388" s="3">
        <v>3895.23</v>
      </c>
      <c r="F1388" s="4" t="str">
        <f>IF(campaignData[[#This Row],[Campaign]]="Old_Campaign", "A", "B")</f>
        <v>A</v>
      </c>
    </row>
    <row r="1389" spans="1:6" x14ac:dyDescent="0.2">
      <c r="A1389" s="1">
        <v>44890</v>
      </c>
      <c r="B1389" s="5" t="s">
        <v>6</v>
      </c>
      <c r="C1389" s="2">
        <v>1242</v>
      </c>
      <c r="D1389" s="2">
        <v>290</v>
      </c>
      <c r="E1389" s="3">
        <v>4369.3900000000003</v>
      </c>
      <c r="F1389" s="4" t="str">
        <f>IF(campaignData[[#This Row],[Campaign]]="Old_Campaign", "A", "B")</f>
        <v>B</v>
      </c>
    </row>
    <row r="1390" spans="1:6" x14ac:dyDescent="0.2">
      <c r="A1390" s="1">
        <v>44891</v>
      </c>
      <c r="B1390" s="5" t="s">
        <v>5</v>
      </c>
      <c r="C1390" s="2">
        <v>1188</v>
      </c>
      <c r="D1390" s="2">
        <v>210</v>
      </c>
      <c r="E1390" s="3">
        <v>2584.96</v>
      </c>
      <c r="F1390" s="4" t="str">
        <f>IF(campaignData[[#This Row],[Campaign]]="Old_Campaign", "A", "B")</f>
        <v>A</v>
      </c>
    </row>
    <row r="1391" spans="1:6" x14ac:dyDescent="0.2">
      <c r="A1391" s="1">
        <v>44891</v>
      </c>
      <c r="B1391" s="5" t="s">
        <v>6</v>
      </c>
      <c r="C1391" s="2">
        <v>1185</v>
      </c>
      <c r="D1391" s="2">
        <v>285</v>
      </c>
      <c r="E1391" s="3">
        <v>4399.74</v>
      </c>
      <c r="F1391" s="4" t="str">
        <f>IF(campaignData[[#This Row],[Campaign]]="Old_Campaign", "A", "B")</f>
        <v>B</v>
      </c>
    </row>
    <row r="1392" spans="1:6" x14ac:dyDescent="0.2">
      <c r="A1392" s="1">
        <v>44892</v>
      </c>
      <c r="B1392" s="5" t="s">
        <v>5</v>
      </c>
      <c r="C1392" s="2">
        <v>1214</v>
      </c>
      <c r="D1392" s="2">
        <v>220</v>
      </c>
      <c r="E1392" s="3">
        <v>2962.94</v>
      </c>
      <c r="F1392" s="4" t="str">
        <f>IF(campaignData[[#This Row],[Campaign]]="Old_Campaign", "A", "B")</f>
        <v>A</v>
      </c>
    </row>
    <row r="1393" spans="1:6" x14ac:dyDescent="0.2">
      <c r="A1393" s="1">
        <v>44892</v>
      </c>
      <c r="B1393" s="5" t="s">
        <v>6</v>
      </c>
      <c r="C1393" s="2">
        <v>1152</v>
      </c>
      <c r="D1393" s="2">
        <v>282</v>
      </c>
      <c r="E1393" s="3">
        <v>4251.8500000000004</v>
      </c>
      <c r="F1393" s="4" t="str">
        <f>IF(campaignData[[#This Row],[Campaign]]="Old_Campaign", "A", "B")</f>
        <v>B</v>
      </c>
    </row>
    <row r="1394" spans="1:6" x14ac:dyDescent="0.2">
      <c r="A1394" s="1">
        <v>44893</v>
      </c>
      <c r="B1394" s="5" t="s">
        <v>5</v>
      </c>
      <c r="C1394" s="2">
        <v>1183</v>
      </c>
      <c r="D1394" s="2">
        <v>231</v>
      </c>
      <c r="E1394" s="3">
        <v>2918.92</v>
      </c>
      <c r="F1394" s="4" t="str">
        <f>IF(campaignData[[#This Row],[Campaign]]="Old_Campaign", "A", "B")</f>
        <v>A</v>
      </c>
    </row>
    <row r="1395" spans="1:6" x14ac:dyDescent="0.2">
      <c r="A1395" s="1">
        <v>44893</v>
      </c>
      <c r="B1395" s="5" t="s">
        <v>6</v>
      </c>
      <c r="C1395" s="2">
        <v>1157</v>
      </c>
      <c r="D1395" s="2">
        <v>263</v>
      </c>
      <c r="E1395" s="3">
        <v>4731.88</v>
      </c>
      <c r="F1395" s="4" t="str">
        <f>IF(campaignData[[#This Row],[Campaign]]="Old_Campaign", "A", "B")</f>
        <v>B</v>
      </c>
    </row>
    <row r="1396" spans="1:6" x14ac:dyDescent="0.2">
      <c r="A1396" s="1">
        <v>44894</v>
      </c>
      <c r="B1396" s="5" t="s">
        <v>5</v>
      </c>
      <c r="C1396" s="2">
        <v>1268</v>
      </c>
      <c r="D1396" s="2">
        <v>218</v>
      </c>
      <c r="E1396" s="3">
        <v>2899.52</v>
      </c>
      <c r="F1396" s="4" t="str">
        <f>IF(campaignData[[#This Row],[Campaign]]="Old_Campaign", "A", "B")</f>
        <v>A</v>
      </c>
    </row>
    <row r="1397" spans="1:6" x14ac:dyDescent="0.2">
      <c r="A1397" s="1">
        <v>44894</v>
      </c>
      <c r="B1397" s="5" t="s">
        <v>6</v>
      </c>
      <c r="C1397" s="2">
        <v>1114</v>
      </c>
      <c r="D1397" s="2">
        <v>241</v>
      </c>
      <c r="E1397" s="3">
        <v>3623.2</v>
      </c>
      <c r="F1397" s="4" t="str">
        <f>IF(campaignData[[#This Row],[Campaign]]="Old_Campaign", "A", "B")</f>
        <v>B</v>
      </c>
    </row>
    <row r="1398" spans="1:6" x14ac:dyDescent="0.2">
      <c r="A1398" s="1">
        <v>44895</v>
      </c>
      <c r="B1398" s="5" t="s">
        <v>5</v>
      </c>
      <c r="C1398" s="2">
        <v>1188</v>
      </c>
      <c r="D1398" s="2">
        <v>239</v>
      </c>
      <c r="E1398" s="3">
        <v>4080.77</v>
      </c>
      <c r="F1398" s="4" t="str">
        <f>IF(campaignData[[#This Row],[Campaign]]="Old_Campaign", "A", "B")</f>
        <v>A</v>
      </c>
    </row>
    <row r="1399" spans="1:6" x14ac:dyDescent="0.2">
      <c r="A1399" s="1">
        <v>44895</v>
      </c>
      <c r="B1399" s="5" t="s">
        <v>6</v>
      </c>
      <c r="C1399" s="2">
        <v>1194</v>
      </c>
      <c r="D1399" s="2">
        <v>253</v>
      </c>
      <c r="E1399" s="3">
        <v>3587.29</v>
      </c>
      <c r="F1399" s="4" t="str">
        <f>IF(campaignData[[#This Row],[Campaign]]="Old_Campaign", "A", "B")</f>
        <v>B</v>
      </c>
    </row>
    <row r="1400" spans="1:6" x14ac:dyDescent="0.2">
      <c r="A1400" s="1">
        <v>44896</v>
      </c>
      <c r="B1400" s="5" t="s">
        <v>5</v>
      </c>
      <c r="C1400" s="2">
        <v>1185</v>
      </c>
      <c r="D1400" s="2">
        <v>236</v>
      </c>
      <c r="E1400" s="3">
        <v>3871.88</v>
      </c>
      <c r="F1400" s="4" t="str">
        <f>IF(campaignData[[#This Row],[Campaign]]="Old_Campaign", "A", "B")</f>
        <v>A</v>
      </c>
    </row>
    <row r="1401" spans="1:6" x14ac:dyDescent="0.2">
      <c r="A1401" s="1">
        <v>44896</v>
      </c>
      <c r="B1401" s="5" t="s">
        <v>6</v>
      </c>
      <c r="C1401" s="2">
        <v>1118</v>
      </c>
      <c r="D1401" s="2">
        <v>246</v>
      </c>
      <c r="E1401" s="3">
        <v>5165.2299999999996</v>
      </c>
      <c r="F1401" s="4" t="str">
        <f>IF(campaignData[[#This Row],[Campaign]]="Old_Campaign", "A", "B")</f>
        <v>B</v>
      </c>
    </row>
    <row r="1402" spans="1:6" x14ac:dyDescent="0.2">
      <c r="A1402" s="1">
        <v>44897</v>
      </c>
      <c r="B1402" s="5" t="s">
        <v>5</v>
      </c>
      <c r="C1402" s="2">
        <v>1221</v>
      </c>
      <c r="D1402" s="2">
        <v>254</v>
      </c>
      <c r="E1402" s="3">
        <v>4316.6099999999997</v>
      </c>
      <c r="F1402" s="4" t="str">
        <f>IF(campaignData[[#This Row],[Campaign]]="Old_Campaign", "A", "B")</f>
        <v>A</v>
      </c>
    </row>
    <row r="1403" spans="1:6" x14ac:dyDescent="0.2">
      <c r="A1403" s="1">
        <v>44897</v>
      </c>
      <c r="B1403" s="5" t="s">
        <v>6</v>
      </c>
      <c r="C1403" s="2">
        <v>1133</v>
      </c>
      <c r="D1403" s="2">
        <v>253</v>
      </c>
      <c r="E1403" s="3">
        <v>4646.04</v>
      </c>
      <c r="F1403" s="4" t="str">
        <f>IF(campaignData[[#This Row],[Campaign]]="Old_Campaign", "A", "B")</f>
        <v>B</v>
      </c>
    </row>
    <row r="1404" spans="1:6" x14ac:dyDescent="0.2">
      <c r="A1404" s="1">
        <v>44898</v>
      </c>
      <c r="B1404" s="5" t="s">
        <v>5</v>
      </c>
      <c r="C1404" s="2">
        <v>1257</v>
      </c>
      <c r="D1404" s="2">
        <v>223</v>
      </c>
      <c r="E1404" s="3">
        <v>3820.16</v>
      </c>
      <c r="F1404" s="4" t="str">
        <f>IF(campaignData[[#This Row],[Campaign]]="Old_Campaign", "A", "B")</f>
        <v>A</v>
      </c>
    </row>
    <row r="1405" spans="1:6" x14ac:dyDescent="0.2">
      <c r="A1405" s="1">
        <v>44898</v>
      </c>
      <c r="B1405" s="5" t="s">
        <v>6</v>
      </c>
      <c r="C1405" s="2">
        <v>1161</v>
      </c>
      <c r="D1405" s="2">
        <v>266</v>
      </c>
      <c r="E1405" s="3">
        <v>4118.72</v>
      </c>
      <c r="F1405" s="4" t="str">
        <f>IF(campaignData[[#This Row],[Campaign]]="Old_Campaign", "A", "B")</f>
        <v>B</v>
      </c>
    </row>
    <row r="1406" spans="1:6" x14ac:dyDescent="0.2">
      <c r="A1406" s="1">
        <v>44899</v>
      </c>
      <c r="B1406" s="5" t="s">
        <v>5</v>
      </c>
      <c r="C1406" s="2">
        <v>1227</v>
      </c>
      <c r="D1406" s="2">
        <v>239</v>
      </c>
      <c r="E1406" s="3">
        <v>3000.3</v>
      </c>
      <c r="F1406" s="4" t="str">
        <f>IF(campaignData[[#This Row],[Campaign]]="Old_Campaign", "A", "B")</f>
        <v>A</v>
      </c>
    </row>
    <row r="1407" spans="1:6" x14ac:dyDescent="0.2">
      <c r="A1407" s="1">
        <v>44899</v>
      </c>
      <c r="B1407" s="5" t="s">
        <v>6</v>
      </c>
      <c r="C1407" s="2">
        <v>1161</v>
      </c>
      <c r="D1407" s="2">
        <v>278</v>
      </c>
      <c r="E1407" s="3">
        <v>5240.09</v>
      </c>
      <c r="F1407" s="4" t="str">
        <f>IF(campaignData[[#This Row],[Campaign]]="Old_Campaign", "A", "B")</f>
        <v>B</v>
      </c>
    </row>
    <row r="1408" spans="1:6" x14ac:dyDescent="0.2">
      <c r="A1408" s="1">
        <v>44900</v>
      </c>
      <c r="B1408" s="5" t="s">
        <v>5</v>
      </c>
      <c r="C1408" s="2">
        <v>1135</v>
      </c>
      <c r="D1408" s="2">
        <v>217</v>
      </c>
      <c r="E1408" s="3">
        <v>2081.75</v>
      </c>
      <c r="F1408" s="4" t="str">
        <f>IF(campaignData[[#This Row],[Campaign]]="Old_Campaign", "A", "B")</f>
        <v>A</v>
      </c>
    </row>
    <row r="1409" spans="1:6" x14ac:dyDescent="0.2">
      <c r="A1409" s="1">
        <v>44900</v>
      </c>
      <c r="B1409" s="5" t="s">
        <v>6</v>
      </c>
      <c r="C1409" s="2">
        <v>1140</v>
      </c>
      <c r="D1409" s="2">
        <v>249</v>
      </c>
      <c r="E1409" s="3">
        <v>4153</v>
      </c>
      <c r="F1409" s="4" t="str">
        <f>IF(campaignData[[#This Row],[Campaign]]="Old_Campaign", "A", "B")</f>
        <v>B</v>
      </c>
    </row>
    <row r="1410" spans="1:6" x14ac:dyDescent="0.2">
      <c r="A1410" s="1">
        <v>44901</v>
      </c>
      <c r="B1410" s="5" t="s">
        <v>5</v>
      </c>
      <c r="C1410" s="2">
        <v>1246</v>
      </c>
      <c r="D1410" s="2">
        <v>238</v>
      </c>
      <c r="E1410" s="3">
        <v>3408.49</v>
      </c>
      <c r="F1410" s="4" t="str">
        <f>IF(campaignData[[#This Row],[Campaign]]="Old_Campaign", "A", "B")</f>
        <v>A</v>
      </c>
    </row>
    <row r="1411" spans="1:6" x14ac:dyDescent="0.2">
      <c r="A1411" s="1">
        <v>44901</v>
      </c>
      <c r="B1411" s="5" t="s">
        <v>6</v>
      </c>
      <c r="C1411" s="2">
        <v>1089</v>
      </c>
      <c r="D1411" s="2">
        <v>279</v>
      </c>
      <c r="E1411" s="3">
        <v>4440.93</v>
      </c>
      <c r="F1411" s="4" t="str">
        <f>IF(campaignData[[#This Row],[Campaign]]="Old_Campaign", "A", "B")</f>
        <v>B</v>
      </c>
    </row>
    <row r="1412" spans="1:6" x14ac:dyDescent="0.2">
      <c r="A1412" s="1">
        <v>44902</v>
      </c>
      <c r="B1412" s="5" t="s">
        <v>5</v>
      </c>
      <c r="C1412" s="2">
        <v>1136</v>
      </c>
      <c r="D1412" s="2">
        <v>224</v>
      </c>
      <c r="E1412" s="3">
        <v>3052.82</v>
      </c>
      <c r="F1412" s="4" t="str">
        <f>IF(campaignData[[#This Row],[Campaign]]="Old_Campaign", "A", "B")</f>
        <v>A</v>
      </c>
    </row>
    <row r="1413" spans="1:6" x14ac:dyDescent="0.2">
      <c r="A1413" s="1">
        <v>44902</v>
      </c>
      <c r="B1413" s="5" t="s">
        <v>6</v>
      </c>
      <c r="C1413" s="2">
        <v>1171</v>
      </c>
      <c r="D1413" s="2">
        <v>265</v>
      </c>
      <c r="E1413" s="3">
        <v>4674.76</v>
      </c>
      <c r="F1413" s="4" t="str">
        <f>IF(campaignData[[#This Row],[Campaign]]="Old_Campaign", "A", "B")</f>
        <v>B</v>
      </c>
    </row>
    <row r="1414" spans="1:6" x14ac:dyDescent="0.2">
      <c r="A1414" s="1">
        <v>44903</v>
      </c>
      <c r="B1414" s="5" t="s">
        <v>5</v>
      </c>
      <c r="C1414" s="2">
        <v>1164</v>
      </c>
      <c r="D1414" s="2">
        <v>225</v>
      </c>
      <c r="E1414" s="3">
        <v>2587.06</v>
      </c>
      <c r="F1414" s="4" t="str">
        <f>IF(campaignData[[#This Row],[Campaign]]="Old_Campaign", "A", "B")</f>
        <v>A</v>
      </c>
    </row>
    <row r="1415" spans="1:6" x14ac:dyDescent="0.2">
      <c r="A1415" s="1">
        <v>44903</v>
      </c>
      <c r="B1415" s="5" t="s">
        <v>6</v>
      </c>
      <c r="C1415" s="2">
        <v>1140</v>
      </c>
      <c r="D1415" s="2">
        <v>276</v>
      </c>
      <c r="E1415" s="3">
        <v>4318.0200000000004</v>
      </c>
      <c r="F1415" s="4" t="str">
        <f>IF(campaignData[[#This Row],[Campaign]]="Old_Campaign", "A", "B")</f>
        <v>B</v>
      </c>
    </row>
    <row r="1416" spans="1:6" x14ac:dyDescent="0.2">
      <c r="A1416" s="1">
        <v>44904</v>
      </c>
      <c r="B1416" s="5" t="s">
        <v>5</v>
      </c>
      <c r="C1416" s="2">
        <v>1155</v>
      </c>
      <c r="D1416" s="2">
        <v>216</v>
      </c>
      <c r="E1416" s="3">
        <v>3193.28</v>
      </c>
      <c r="F1416" s="4" t="str">
        <f>IF(campaignData[[#This Row],[Campaign]]="Old_Campaign", "A", "B")</f>
        <v>A</v>
      </c>
    </row>
    <row r="1417" spans="1:6" x14ac:dyDescent="0.2">
      <c r="A1417" s="1">
        <v>44904</v>
      </c>
      <c r="B1417" s="5" t="s">
        <v>6</v>
      </c>
      <c r="C1417" s="2">
        <v>1175</v>
      </c>
      <c r="D1417" s="2">
        <v>236</v>
      </c>
      <c r="E1417" s="3">
        <v>4300.91</v>
      </c>
      <c r="F1417" s="4" t="str">
        <f>IF(campaignData[[#This Row],[Campaign]]="Old_Campaign", "A", "B")</f>
        <v>B</v>
      </c>
    </row>
    <row r="1418" spans="1:6" x14ac:dyDescent="0.2">
      <c r="A1418" s="1">
        <v>44905</v>
      </c>
      <c r="B1418" s="5" t="s">
        <v>5</v>
      </c>
      <c r="C1418" s="2">
        <v>1196</v>
      </c>
      <c r="D1418" s="2">
        <v>234</v>
      </c>
      <c r="E1418" s="3">
        <v>3447.75</v>
      </c>
      <c r="F1418" s="4" t="str">
        <f>IF(campaignData[[#This Row],[Campaign]]="Old_Campaign", "A", "B")</f>
        <v>A</v>
      </c>
    </row>
    <row r="1419" spans="1:6" x14ac:dyDescent="0.2">
      <c r="A1419" s="1">
        <v>44905</v>
      </c>
      <c r="B1419" s="5" t="s">
        <v>6</v>
      </c>
      <c r="C1419" s="2">
        <v>1184</v>
      </c>
      <c r="D1419" s="2">
        <v>274</v>
      </c>
      <c r="E1419" s="3">
        <v>3660.15</v>
      </c>
      <c r="F1419" s="4" t="str">
        <f>IF(campaignData[[#This Row],[Campaign]]="Old_Campaign", "A", "B")</f>
        <v>B</v>
      </c>
    </row>
    <row r="1420" spans="1:6" x14ac:dyDescent="0.2">
      <c r="A1420" s="1">
        <v>44906</v>
      </c>
      <c r="B1420" s="5" t="s">
        <v>5</v>
      </c>
      <c r="C1420" s="2">
        <v>1237</v>
      </c>
      <c r="D1420" s="2">
        <v>248</v>
      </c>
      <c r="E1420" s="3">
        <v>3418.19</v>
      </c>
      <c r="F1420" s="4" t="str">
        <f>IF(campaignData[[#This Row],[Campaign]]="Old_Campaign", "A", "B")</f>
        <v>A</v>
      </c>
    </row>
    <row r="1421" spans="1:6" x14ac:dyDescent="0.2">
      <c r="A1421" s="1">
        <v>44906</v>
      </c>
      <c r="B1421" s="5" t="s">
        <v>6</v>
      </c>
      <c r="C1421" s="2">
        <v>1128</v>
      </c>
      <c r="D1421" s="2">
        <v>257</v>
      </c>
      <c r="E1421" s="3">
        <v>3593.96</v>
      </c>
      <c r="F1421" s="4" t="str">
        <f>IF(campaignData[[#This Row],[Campaign]]="Old_Campaign", "A", "B")</f>
        <v>B</v>
      </c>
    </row>
    <row r="1422" spans="1:6" x14ac:dyDescent="0.2">
      <c r="A1422" s="1">
        <v>44907</v>
      </c>
      <c r="B1422" s="5" t="s">
        <v>5</v>
      </c>
      <c r="C1422" s="2">
        <v>1235</v>
      </c>
      <c r="D1422" s="2">
        <v>232</v>
      </c>
      <c r="E1422" s="3">
        <v>4219.7</v>
      </c>
      <c r="F1422" s="4" t="str">
        <f>IF(campaignData[[#This Row],[Campaign]]="Old_Campaign", "A", "B")</f>
        <v>A</v>
      </c>
    </row>
    <row r="1423" spans="1:6" x14ac:dyDescent="0.2">
      <c r="A1423" s="1">
        <v>44907</v>
      </c>
      <c r="B1423" s="5" t="s">
        <v>6</v>
      </c>
      <c r="C1423" s="2">
        <v>1145</v>
      </c>
      <c r="D1423" s="2">
        <v>286</v>
      </c>
      <c r="E1423" s="3">
        <v>4635.22</v>
      </c>
      <c r="F1423" s="4" t="str">
        <f>IF(campaignData[[#This Row],[Campaign]]="Old_Campaign", "A", "B")</f>
        <v>B</v>
      </c>
    </row>
    <row r="1424" spans="1:6" x14ac:dyDescent="0.2">
      <c r="A1424" s="1">
        <v>44908</v>
      </c>
      <c r="B1424" s="5" t="s">
        <v>5</v>
      </c>
      <c r="C1424" s="2">
        <v>1160</v>
      </c>
      <c r="D1424" s="2">
        <v>217</v>
      </c>
      <c r="E1424" s="3">
        <v>2456.3200000000002</v>
      </c>
      <c r="F1424" s="4" t="str">
        <f>IF(campaignData[[#This Row],[Campaign]]="Old_Campaign", "A", "B")</f>
        <v>A</v>
      </c>
    </row>
    <row r="1425" spans="1:6" x14ac:dyDescent="0.2">
      <c r="A1425" s="1">
        <v>44908</v>
      </c>
      <c r="B1425" s="5" t="s">
        <v>6</v>
      </c>
      <c r="C1425" s="2">
        <v>1113</v>
      </c>
      <c r="D1425" s="2">
        <v>269</v>
      </c>
      <c r="E1425" s="3">
        <v>5018.55</v>
      </c>
      <c r="F1425" s="4" t="str">
        <f>IF(campaignData[[#This Row],[Campaign]]="Old_Campaign", "A", "B")</f>
        <v>B</v>
      </c>
    </row>
    <row r="1426" spans="1:6" x14ac:dyDescent="0.2">
      <c r="A1426" s="1">
        <v>44909</v>
      </c>
      <c r="B1426" s="5" t="s">
        <v>5</v>
      </c>
      <c r="C1426" s="2">
        <v>1201</v>
      </c>
      <c r="D1426" s="2">
        <v>226</v>
      </c>
      <c r="E1426" s="3">
        <v>3024</v>
      </c>
      <c r="F1426" s="4" t="str">
        <f>IF(campaignData[[#This Row],[Campaign]]="Old_Campaign", "A", "B")</f>
        <v>A</v>
      </c>
    </row>
    <row r="1427" spans="1:6" x14ac:dyDescent="0.2">
      <c r="A1427" s="1">
        <v>44909</v>
      </c>
      <c r="B1427" s="5" t="s">
        <v>6</v>
      </c>
      <c r="C1427" s="2">
        <v>1160</v>
      </c>
      <c r="D1427" s="2">
        <v>279</v>
      </c>
      <c r="E1427" s="3">
        <v>4568.79</v>
      </c>
      <c r="F1427" s="4" t="str">
        <f>IF(campaignData[[#This Row],[Campaign]]="Old_Campaign", "A", "B")</f>
        <v>B</v>
      </c>
    </row>
    <row r="1428" spans="1:6" x14ac:dyDescent="0.2">
      <c r="A1428" s="1">
        <v>44910</v>
      </c>
      <c r="B1428" s="5" t="s">
        <v>5</v>
      </c>
      <c r="C1428" s="2">
        <v>1200</v>
      </c>
      <c r="D1428" s="2">
        <v>238</v>
      </c>
      <c r="E1428" s="3">
        <v>2885.17</v>
      </c>
      <c r="F1428" s="4" t="str">
        <f>IF(campaignData[[#This Row],[Campaign]]="Old_Campaign", "A", "B")</f>
        <v>A</v>
      </c>
    </row>
    <row r="1429" spans="1:6" x14ac:dyDescent="0.2">
      <c r="A1429" s="1">
        <v>44910</v>
      </c>
      <c r="B1429" s="5" t="s">
        <v>6</v>
      </c>
      <c r="C1429" s="2">
        <v>1151</v>
      </c>
      <c r="D1429" s="2">
        <v>256</v>
      </c>
      <c r="E1429" s="3">
        <v>3980.67</v>
      </c>
      <c r="F1429" s="4" t="str">
        <f>IF(campaignData[[#This Row],[Campaign]]="Old_Campaign", "A", "B")</f>
        <v>B</v>
      </c>
    </row>
    <row r="1430" spans="1:6" x14ac:dyDescent="0.2">
      <c r="A1430" s="1">
        <v>44911</v>
      </c>
      <c r="B1430" s="5" t="s">
        <v>5</v>
      </c>
      <c r="C1430" s="2">
        <v>1185</v>
      </c>
      <c r="D1430" s="2">
        <v>229</v>
      </c>
      <c r="E1430" s="3">
        <v>3606.08</v>
      </c>
      <c r="F1430" s="4" t="str">
        <f>IF(campaignData[[#This Row],[Campaign]]="Old_Campaign", "A", "B")</f>
        <v>A</v>
      </c>
    </row>
    <row r="1431" spans="1:6" x14ac:dyDescent="0.2">
      <c r="A1431" s="1">
        <v>44911</v>
      </c>
      <c r="B1431" s="5" t="s">
        <v>6</v>
      </c>
      <c r="C1431" s="2">
        <v>1177</v>
      </c>
      <c r="D1431" s="2">
        <v>288</v>
      </c>
      <c r="E1431" s="3">
        <v>5446.33</v>
      </c>
      <c r="F1431" s="4" t="str">
        <f>IF(campaignData[[#This Row],[Campaign]]="Old_Campaign", "A", "B")</f>
        <v>B</v>
      </c>
    </row>
    <row r="1432" spans="1:6" x14ac:dyDescent="0.2">
      <c r="A1432" s="1">
        <v>44912</v>
      </c>
      <c r="B1432" s="5" t="s">
        <v>5</v>
      </c>
      <c r="C1432" s="2">
        <v>1171</v>
      </c>
      <c r="D1432" s="2">
        <v>219</v>
      </c>
      <c r="E1432" s="3">
        <v>2951.96</v>
      </c>
      <c r="F1432" s="4" t="str">
        <f>IF(campaignData[[#This Row],[Campaign]]="Old_Campaign", "A", "B")</f>
        <v>A</v>
      </c>
    </row>
    <row r="1433" spans="1:6" x14ac:dyDescent="0.2">
      <c r="A1433" s="1">
        <v>44912</v>
      </c>
      <c r="B1433" s="5" t="s">
        <v>6</v>
      </c>
      <c r="C1433" s="2">
        <v>1118</v>
      </c>
      <c r="D1433" s="2">
        <v>236</v>
      </c>
      <c r="E1433" s="3">
        <v>3590.22</v>
      </c>
      <c r="F1433" s="4" t="str">
        <f>IF(campaignData[[#This Row],[Campaign]]="Old_Campaign", "A", "B")</f>
        <v>B</v>
      </c>
    </row>
    <row r="1434" spans="1:6" x14ac:dyDescent="0.2">
      <c r="A1434" s="1">
        <v>44913</v>
      </c>
      <c r="B1434" s="5" t="s">
        <v>5</v>
      </c>
      <c r="C1434" s="2">
        <v>1292</v>
      </c>
      <c r="D1434" s="2">
        <v>263</v>
      </c>
      <c r="E1434" s="3">
        <v>3366.91</v>
      </c>
      <c r="F1434" s="4" t="str">
        <f>IF(campaignData[[#This Row],[Campaign]]="Old_Campaign", "A", "B")</f>
        <v>A</v>
      </c>
    </row>
    <row r="1435" spans="1:6" x14ac:dyDescent="0.2">
      <c r="A1435" s="1">
        <v>44913</v>
      </c>
      <c r="B1435" s="5" t="s">
        <v>6</v>
      </c>
      <c r="C1435" s="2">
        <v>1126</v>
      </c>
      <c r="D1435" s="2">
        <v>275</v>
      </c>
      <c r="E1435" s="3">
        <v>5388.17</v>
      </c>
      <c r="F1435" s="4" t="str">
        <f>IF(campaignData[[#This Row],[Campaign]]="Old_Campaign", "A", "B")</f>
        <v>B</v>
      </c>
    </row>
    <row r="1436" spans="1:6" x14ac:dyDescent="0.2">
      <c r="A1436" s="1">
        <v>44914</v>
      </c>
      <c r="B1436" s="5" t="s">
        <v>5</v>
      </c>
      <c r="C1436" s="2">
        <v>1164</v>
      </c>
      <c r="D1436" s="2">
        <v>222</v>
      </c>
      <c r="E1436" s="3">
        <v>3444.22</v>
      </c>
      <c r="F1436" s="4" t="str">
        <f>IF(campaignData[[#This Row],[Campaign]]="Old_Campaign", "A", "B")</f>
        <v>A</v>
      </c>
    </row>
    <row r="1437" spans="1:6" x14ac:dyDescent="0.2">
      <c r="A1437" s="1">
        <v>44914</v>
      </c>
      <c r="B1437" s="5" t="s">
        <v>6</v>
      </c>
      <c r="C1437" s="2">
        <v>1167</v>
      </c>
      <c r="D1437" s="2">
        <v>285</v>
      </c>
      <c r="E1437" s="3">
        <v>4363.6499999999996</v>
      </c>
      <c r="F1437" s="4" t="str">
        <f>IF(campaignData[[#This Row],[Campaign]]="Old_Campaign", "A", "B")</f>
        <v>B</v>
      </c>
    </row>
    <row r="1438" spans="1:6" x14ac:dyDescent="0.2">
      <c r="A1438" s="1">
        <v>44915</v>
      </c>
      <c r="B1438" s="5" t="s">
        <v>5</v>
      </c>
      <c r="C1438" s="2">
        <v>1286</v>
      </c>
      <c r="D1438" s="2">
        <v>272</v>
      </c>
      <c r="E1438" s="3">
        <v>4533.24</v>
      </c>
      <c r="F1438" s="4" t="str">
        <f>IF(campaignData[[#This Row],[Campaign]]="Old_Campaign", "A", "B")</f>
        <v>A</v>
      </c>
    </row>
    <row r="1439" spans="1:6" x14ac:dyDescent="0.2">
      <c r="A1439" s="1">
        <v>44915</v>
      </c>
      <c r="B1439" s="5" t="s">
        <v>6</v>
      </c>
      <c r="C1439" s="2">
        <v>1144</v>
      </c>
      <c r="D1439" s="2">
        <v>275</v>
      </c>
      <c r="E1439" s="3">
        <v>4053.36</v>
      </c>
      <c r="F1439" s="4" t="str">
        <f>IF(campaignData[[#This Row],[Campaign]]="Old_Campaign", "A", "B")</f>
        <v>B</v>
      </c>
    </row>
    <row r="1440" spans="1:6" x14ac:dyDescent="0.2">
      <c r="A1440" s="1">
        <v>44916</v>
      </c>
      <c r="B1440" s="5" t="s">
        <v>5</v>
      </c>
      <c r="C1440" s="2">
        <v>1170</v>
      </c>
      <c r="D1440" s="2">
        <v>235</v>
      </c>
      <c r="E1440" s="3">
        <v>3706.3</v>
      </c>
      <c r="F1440" s="4" t="str">
        <f>IF(campaignData[[#This Row],[Campaign]]="Old_Campaign", "A", "B")</f>
        <v>A</v>
      </c>
    </row>
    <row r="1441" spans="1:6" x14ac:dyDescent="0.2">
      <c r="A1441" s="1">
        <v>44916</v>
      </c>
      <c r="B1441" s="5" t="s">
        <v>6</v>
      </c>
      <c r="C1441" s="2">
        <v>1094</v>
      </c>
      <c r="D1441" s="2">
        <v>244</v>
      </c>
      <c r="E1441" s="3">
        <v>4246.8999999999996</v>
      </c>
      <c r="F1441" s="4" t="str">
        <f>IF(campaignData[[#This Row],[Campaign]]="Old_Campaign", "A", "B")</f>
        <v>B</v>
      </c>
    </row>
    <row r="1442" spans="1:6" x14ac:dyDescent="0.2">
      <c r="A1442" s="1">
        <v>44917</v>
      </c>
      <c r="B1442" s="5" t="s">
        <v>5</v>
      </c>
      <c r="C1442" s="2">
        <v>1263</v>
      </c>
      <c r="D1442" s="2">
        <v>230</v>
      </c>
      <c r="E1442" s="3">
        <v>3149.64</v>
      </c>
      <c r="F1442" s="4" t="str">
        <f>IF(campaignData[[#This Row],[Campaign]]="Old_Campaign", "A", "B")</f>
        <v>A</v>
      </c>
    </row>
    <row r="1443" spans="1:6" x14ac:dyDescent="0.2">
      <c r="A1443" s="1">
        <v>44917</v>
      </c>
      <c r="B1443" s="5" t="s">
        <v>6</v>
      </c>
      <c r="C1443" s="2">
        <v>1184</v>
      </c>
      <c r="D1443" s="2">
        <v>266</v>
      </c>
      <c r="E1443" s="3">
        <v>3963.51</v>
      </c>
      <c r="F1443" s="4" t="str">
        <f>IF(campaignData[[#This Row],[Campaign]]="Old_Campaign", "A", "B")</f>
        <v>B</v>
      </c>
    </row>
    <row r="1444" spans="1:6" x14ac:dyDescent="0.2">
      <c r="A1444" s="1">
        <v>44918</v>
      </c>
      <c r="B1444" s="5" t="s">
        <v>5</v>
      </c>
      <c r="C1444" s="2">
        <v>1162</v>
      </c>
      <c r="D1444" s="2">
        <v>229</v>
      </c>
      <c r="E1444" s="3">
        <v>3651.7</v>
      </c>
      <c r="F1444" s="4" t="str">
        <f>IF(campaignData[[#This Row],[Campaign]]="Old_Campaign", "A", "B")</f>
        <v>A</v>
      </c>
    </row>
    <row r="1445" spans="1:6" x14ac:dyDescent="0.2">
      <c r="A1445" s="1">
        <v>44918</v>
      </c>
      <c r="B1445" s="5" t="s">
        <v>6</v>
      </c>
      <c r="C1445" s="2">
        <v>1207</v>
      </c>
      <c r="D1445" s="2">
        <v>266</v>
      </c>
      <c r="E1445" s="3">
        <v>3882.05</v>
      </c>
      <c r="F1445" s="4" t="str">
        <f>IF(campaignData[[#This Row],[Campaign]]="Old_Campaign", "A", "B")</f>
        <v>B</v>
      </c>
    </row>
    <row r="1446" spans="1:6" x14ac:dyDescent="0.2">
      <c r="A1446" s="1">
        <v>44919</v>
      </c>
      <c r="B1446" s="5" t="s">
        <v>5</v>
      </c>
      <c r="C1446" s="2">
        <v>1222</v>
      </c>
      <c r="D1446" s="2">
        <v>238</v>
      </c>
      <c r="E1446" s="3">
        <v>4136.96</v>
      </c>
      <c r="F1446" s="4" t="str">
        <f>IF(campaignData[[#This Row],[Campaign]]="Old_Campaign", "A", "B")</f>
        <v>A</v>
      </c>
    </row>
    <row r="1447" spans="1:6" x14ac:dyDescent="0.2">
      <c r="A1447" s="1">
        <v>44919</v>
      </c>
      <c r="B1447" s="5" t="s">
        <v>6</v>
      </c>
      <c r="C1447" s="2">
        <v>1145</v>
      </c>
      <c r="D1447" s="2">
        <v>258</v>
      </c>
      <c r="E1447" s="3">
        <v>4052.22</v>
      </c>
      <c r="F1447" s="4" t="str">
        <f>IF(campaignData[[#This Row],[Campaign]]="Old_Campaign", "A", "B")</f>
        <v>B</v>
      </c>
    </row>
    <row r="1448" spans="1:6" x14ac:dyDescent="0.2">
      <c r="A1448" s="1">
        <v>44920</v>
      </c>
      <c r="B1448" s="5" t="s">
        <v>5</v>
      </c>
      <c r="C1448" s="2">
        <v>1204</v>
      </c>
      <c r="D1448" s="2">
        <v>226</v>
      </c>
      <c r="E1448" s="3">
        <v>3874.79</v>
      </c>
      <c r="F1448" s="4" t="str">
        <f>IF(campaignData[[#This Row],[Campaign]]="Old_Campaign", "A", "B")</f>
        <v>A</v>
      </c>
    </row>
    <row r="1449" spans="1:6" x14ac:dyDescent="0.2">
      <c r="A1449" s="1">
        <v>44920</v>
      </c>
      <c r="B1449" s="5" t="s">
        <v>6</v>
      </c>
      <c r="C1449" s="2">
        <v>1204</v>
      </c>
      <c r="D1449" s="2">
        <v>279</v>
      </c>
      <c r="E1449" s="3">
        <v>5261.25</v>
      </c>
      <c r="F1449" s="4" t="str">
        <f>IF(campaignData[[#This Row],[Campaign]]="Old_Campaign", "A", "B")</f>
        <v>B</v>
      </c>
    </row>
    <row r="1450" spans="1:6" x14ac:dyDescent="0.2">
      <c r="A1450" s="1">
        <v>44921</v>
      </c>
      <c r="B1450" s="5" t="s">
        <v>5</v>
      </c>
      <c r="C1450" s="2">
        <v>1204</v>
      </c>
      <c r="D1450" s="2">
        <v>210</v>
      </c>
      <c r="E1450" s="3">
        <v>3590.33</v>
      </c>
      <c r="F1450" s="4" t="str">
        <f>IF(campaignData[[#This Row],[Campaign]]="Old_Campaign", "A", "B")</f>
        <v>A</v>
      </c>
    </row>
    <row r="1451" spans="1:6" x14ac:dyDescent="0.2">
      <c r="A1451" s="1">
        <v>44921</v>
      </c>
      <c r="B1451" s="5" t="s">
        <v>6</v>
      </c>
      <c r="C1451" s="2">
        <v>1158</v>
      </c>
      <c r="D1451" s="2">
        <v>269</v>
      </c>
      <c r="E1451" s="3">
        <v>4260.3900000000003</v>
      </c>
      <c r="F1451" s="4" t="str">
        <f>IF(campaignData[[#This Row],[Campaign]]="Old_Campaign", "A", "B")</f>
        <v>B</v>
      </c>
    </row>
    <row r="1452" spans="1:6" x14ac:dyDescent="0.2">
      <c r="A1452" s="1">
        <v>44922</v>
      </c>
      <c r="B1452" s="5" t="s">
        <v>5</v>
      </c>
      <c r="C1452" s="2">
        <v>1233</v>
      </c>
      <c r="D1452" s="2">
        <v>247</v>
      </c>
      <c r="E1452" s="3">
        <v>3188.85</v>
      </c>
      <c r="F1452" s="4" t="str">
        <f>IF(campaignData[[#This Row],[Campaign]]="Old_Campaign", "A", "B")</f>
        <v>A</v>
      </c>
    </row>
    <row r="1453" spans="1:6" x14ac:dyDescent="0.2">
      <c r="A1453" s="1">
        <v>44922</v>
      </c>
      <c r="B1453" s="5" t="s">
        <v>6</v>
      </c>
      <c r="C1453" s="2">
        <v>1141</v>
      </c>
      <c r="D1453" s="2">
        <v>248</v>
      </c>
      <c r="E1453" s="3">
        <v>4852.83</v>
      </c>
      <c r="F1453" s="4" t="str">
        <f>IF(campaignData[[#This Row],[Campaign]]="Old_Campaign", "A", "B")</f>
        <v>B</v>
      </c>
    </row>
    <row r="1454" spans="1:6" x14ac:dyDescent="0.2">
      <c r="A1454" s="1">
        <v>44923</v>
      </c>
      <c r="B1454" s="5" t="s">
        <v>5</v>
      </c>
      <c r="C1454" s="2">
        <v>1229</v>
      </c>
      <c r="D1454" s="2">
        <v>216</v>
      </c>
      <c r="E1454" s="3">
        <v>3590.66</v>
      </c>
      <c r="F1454" s="4" t="str">
        <f>IF(campaignData[[#This Row],[Campaign]]="Old_Campaign", "A", "B")</f>
        <v>A</v>
      </c>
    </row>
    <row r="1455" spans="1:6" x14ac:dyDescent="0.2">
      <c r="A1455" s="1">
        <v>44923</v>
      </c>
      <c r="B1455" s="5" t="s">
        <v>6</v>
      </c>
      <c r="C1455" s="2">
        <v>1149</v>
      </c>
      <c r="D1455" s="2">
        <v>275</v>
      </c>
      <c r="E1455" s="3">
        <v>4582.5600000000004</v>
      </c>
      <c r="F1455" s="4" t="str">
        <f>IF(campaignData[[#This Row],[Campaign]]="Old_Campaign", "A", "B")</f>
        <v>B</v>
      </c>
    </row>
    <row r="1456" spans="1:6" x14ac:dyDescent="0.2">
      <c r="A1456" s="1">
        <v>44924</v>
      </c>
      <c r="B1456" s="5" t="s">
        <v>5</v>
      </c>
      <c r="C1456" s="2">
        <v>1189</v>
      </c>
      <c r="D1456" s="2">
        <v>231</v>
      </c>
      <c r="E1456" s="3">
        <v>3023.97</v>
      </c>
      <c r="F1456" s="4" t="str">
        <f>IF(campaignData[[#This Row],[Campaign]]="Old_Campaign", "A", "B")</f>
        <v>A</v>
      </c>
    </row>
    <row r="1457" spans="1:6" x14ac:dyDescent="0.2">
      <c r="A1457" s="1">
        <v>44924</v>
      </c>
      <c r="B1457" s="5" t="s">
        <v>6</v>
      </c>
      <c r="C1457" s="2">
        <v>1135</v>
      </c>
      <c r="D1457" s="2">
        <v>251</v>
      </c>
      <c r="E1457" s="3">
        <v>4276.1499999999996</v>
      </c>
      <c r="F1457" s="4" t="str">
        <f>IF(campaignData[[#This Row],[Campaign]]="Old_Campaign", "A", "B")</f>
        <v>B</v>
      </c>
    </row>
    <row r="1458" spans="1:6" x14ac:dyDescent="0.2">
      <c r="A1458" s="1">
        <v>44925</v>
      </c>
      <c r="B1458" s="5" t="s">
        <v>5</v>
      </c>
      <c r="C1458" s="2">
        <v>1248</v>
      </c>
      <c r="D1458" s="2">
        <v>244</v>
      </c>
      <c r="E1458" s="3">
        <v>3828.91</v>
      </c>
      <c r="F1458" s="4" t="str">
        <f>IF(campaignData[[#This Row],[Campaign]]="Old_Campaign", "A", "B")</f>
        <v>A</v>
      </c>
    </row>
    <row r="1459" spans="1:6" x14ac:dyDescent="0.2">
      <c r="A1459" s="1">
        <v>44925</v>
      </c>
      <c r="B1459" s="5" t="s">
        <v>6</v>
      </c>
      <c r="C1459" s="2">
        <v>1151</v>
      </c>
      <c r="D1459" s="2">
        <v>275</v>
      </c>
      <c r="E1459" s="3">
        <v>4670.6099999999997</v>
      </c>
      <c r="F1459" s="4" t="str">
        <f>IF(campaignData[[#This Row],[Campaign]]="Old_Campaign", "A", "B")</f>
        <v>B</v>
      </c>
    </row>
    <row r="1460" spans="1:6" x14ac:dyDescent="0.2">
      <c r="A1460" s="1">
        <v>44926</v>
      </c>
      <c r="B1460" s="5" t="s">
        <v>5</v>
      </c>
      <c r="C1460" s="2">
        <v>1190</v>
      </c>
      <c r="D1460" s="2">
        <v>219</v>
      </c>
      <c r="E1460" s="3">
        <v>2354.69</v>
      </c>
      <c r="F1460" s="4" t="str">
        <f>IF(campaignData[[#This Row],[Campaign]]="Old_Campaign", "A", "B")</f>
        <v>A</v>
      </c>
    </row>
    <row r="1461" spans="1:6" x14ac:dyDescent="0.2">
      <c r="A1461" s="1">
        <v>44926</v>
      </c>
      <c r="B1461" s="5" t="s">
        <v>6</v>
      </c>
      <c r="C1461" s="2">
        <v>1152</v>
      </c>
      <c r="D1461" s="2">
        <v>263</v>
      </c>
      <c r="E1461" s="3">
        <v>4425.5600000000004</v>
      </c>
      <c r="F1461" s="4" t="str">
        <f>IF(campaignData[[#This Row],[Campaign]]="Old_Campaign", "A", "B")</f>
        <v>B</v>
      </c>
    </row>
    <row r="1462" spans="1:6" x14ac:dyDescent="0.2">
      <c r="A1462" s="1">
        <v>44927</v>
      </c>
      <c r="B1462" s="5" t="s">
        <v>5</v>
      </c>
      <c r="C1462" s="2">
        <v>1243</v>
      </c>
      <c r="D1462" s="2">
        <v>244</v>
      </c>
      <c r="E1462" s="3">
        <v>3124.72</v>
      </c>
      <c r="F1462" s="4" t="str">
        <f>IF(campaignData[[#This Row],[Campaign]]="Old_Campaign", "A", "B")</f>
        <v>A</v>
      </c>
    </row>
    <row r="1463" spans="1:6" x14ac:dyDescent="0.2">
      <c r="A1463" s="1">
        <v>44927</v>
      </c>
      <c r="B1463" s="5" t="s">
        <v>6</v>
      </c>
      <c r="C1463" s="2">
        <v>1164</v>
      </c>
      <c r="D1463" s="2">
        <v>259</v>
      </c>
      <c r="E1463" s="3">
        <v>4569.83</v>
      </c>
      <c r="F1463" s="4" t="str">
        <f>IF(campaignData[[#This Row],[Campaign]]="Old_Campaign", "A", "B")</f>
        <v>B</v>
      </c>
    </row>
    <row r="1464" spans="1:6" x14ac:dyDescent="0.2">
      <c r="A1464" s="1">
        <v>44928</v>
      </c>
      <c r="B1464" s="5" t="s">
        <v>5</v>
      </c>
      <c r="C1464" s="2">
        <v>1288</v>
      </c>
      <c r="D1464" s="2">
        <v>240</v>
      </c>
      <c r="E1464" s="3">
        <v>4176.93</v>
      </c>
      <c r="F1464" s="4" t="str">
        <f>IF(campaignData[[#This Row],[Campaign]]="Old_Campaign", "A", "B")</f>
        <v>A</v>
      </c>
    </row>
    <row r="1465" spans="1:6" x14ac:dyDescent="0.2">
      <c r="A1465" s="1">
        <v>44928</v>
      </c>
      <c r="B1465" s="5" t="s">
        <v>6</v>
      </c>
      <c r="C1465" s="2">
        <v>1127</v>
      </c>
      <c r="D1465" s="2">
        <v>252</v>
      </c>
      <c r="E1465" s="3">
        <v>4036.43</v>
      </c>
      <c r="F1465" s="4" t="str">
        <f>IF(campaignData[[#This Row],[Campaign]]="Old_Campaign", "A", "B")</f>
        <v>B</v>
      </c>
    </row>
    <row r="1466" spans="1:6" x14ac:dyDescent="0.2">
      <c r="A1466" s="1">
        <v>44929</v>
      </c>
      <c r="B1466" s="5" t="s">
        <v>5</v>
      </c>
      <c r="C1466" s="2">
        <v>1218</v>
      </c>
      <c r="D1466" s="2">
        <v>222</v>
      </c>
      <c r="E1466" s="3">
        <v>3725.19</v>
      </c>
      <c r="F1466" s="4" t="str">
        <f>IF(campaignData[[#This Row],[Campaign]]="Old_Campaign", "A", "B")</f>
        <v>A</v>
      </c>
    </row>
    <row r="1467" spans="1:6" x14ac:dyDescent="0.2">
      <c r="A1467" s="1">
        <v>44929</v>
      </c>
      <c r="B1467" s="5" t="s">
        <v>6</v>
      </c>
      <c r="C1467" s="2">
        <v>1182</v>
      </c>
      <c r="D1467" s="2">
        <v>281</v>
      </c>
      <c r="E1467" s="3">
        <v>4154.72</v>
      </c>
      <c r="F1467" s="4" t="str">
        <f>IF(campaignData[[#This Row],[Campaign]]="Old_Campaign", "A", "B")</f>
        <v>B</v>
      </c>
    </row>
    <row r="1468" spans="1:6" x14ac:dyDescent="0.2">
      <c r="A1468" s="1">
        <v>44930</v>
      </c>
      <c r="B1468" s="5" t="s">
        <v>5</v>
      </c>
      <c r="C1468" s="2">
        <v>1237</v>
      </c>
      <c r="D1468" s="2">
        <v>239</v>
      </c>
      <c r="E1468" s="3">
        <v>2461.48</v>
      </c>
      <c r="F1468" s="4" t="str">
        <f>IF(campaignData[[#This Row],[Campaign]]="Old_Campaign", "A", "B")</f>
        <v>A</v>
      </c>
    </row>
    <row r="1469" spans="1:6" x14ac:dyDescent="0.2">
      <c r="A1469" s="1">
        <v>44930</v>
      </c>
      <c r="B1469" s="5" t="s">
        <v>6</v>
      </c>
      <c r="C1469" s="2">
        <v>1144</v>
      </c>
      <c r="D1469" s="2">
        <v>248</v>
      </c>
      <c r="E1469" s="3">
        <v>4797.74</v>
      </c>
      <c r="F1469" s="4" t="str">
        <f>IF(campaignData[[#This Row],[Campaign]]="Old_Campaign", "A", "B")</f>
        <v>B</v>
      </c>
    </row>
    <row r="1470" spans="1:6" x14ac:dyDescent="0.2">
      <c r="A1470" s="1">
        <v>44931</v>
      </c>
      <c r="B1470" s="5" t="s">
        <v>5</v>
      </c>
      <c r="C1470" s="2">
        <v>1167</v>
      </c>
      <c r="D1470" s="2">
        <v>215</v>
      </c>
      <c r="E1470" s="3">
        <v>2864.92</v>
      </c>
      <c r="F1470" s="4" t="str">
        <f>IF(campaignData[[#This Row],[Campaign]]="Old_Campaign", "A", "B")</f>
        <v>A</v>
      </c>
    </row>
    <row r="1471" spans="1:6" x14ac:dyDescent="0.2">
      <c r="A1471" s="1">
        <v>44931</v>
      </c>
      <c r="B1471" s="5" t="s">
        <v>6</v>
      </c>
      <c r="C1471" s="2">
        <v>1153</v>
      </c>
      <c r="D1471" s="2">
        <v>247</v>
      </c>
      <c r="E1471" s="3">
        <v>2911.2</v>
      </c>
      <c r="F1471" s="4" t="str">
        <f>IF(campaignData[[#This Row],[Campaign]]="Old_Campaign", "A", "B")</f>
        <v>B</v>
      </c>
    </row>
    <row r="1472" spans="1:6" x14ac:dyDescent="0.2">
      <c r="A1472" s="1">
        <v>44932</v>
      </c>
      <c r="B1472" s="5" t="s">
        <v>5</v>
      </c>
      <c r="C1472" s="2">
        <v>1193</v>
      </c>
      <c r="D1472" s="2">
        <v>214</v>
      </c>
      <c r="E1472" s="3">
        <v>4062.59</v>
      </c>
      <c r="F1472" s="4" t="str">
        <f>IF(campaignData[[#This Row],[Campaign]]="Old_Campaign", "A", "B")</f>
        <v>A</v>
      </c>
    </row>
    <row r="1473" spans="1:6" x14ac:dyDescent="0.2">
      <c r="A1473" s="1">
        <v>44932</v>
      </c>
      <c r="B1473" s="5" t="s">
        <v>6</v>
      </c>
      <c r="C1473" s="2">
        <v>1171</v>
      </c>
      <c r="D1473" s="2">
        <v>257</v>
      </c>
      <c r="E1473" s="3">
        <v>5054.62</v>
      </c>
      <c r="F1473" s="4" t="str">
        <f>IF(campaignData[[#This Row],[Campaign]]="Old_Campaign", "A", "B")</f>
        <v>B</v>
      </c>
    </row>
    <row r="1474" spans="1:6" x14ac:dyDescent="0.2">
      <c r="A1474" s="1">
        <v>44933</v>
      </c>
      <c r="B1474" s="5" t="s">
        <v>5</v>
      </c>
      <c r="C1474" s="2">
        <v>1276</v>
      </c>
      <c r="D1474" s="2">
        <v>257</v>
      </c>
      <c r="E1474" s="3">
        <v>3766.16</v>
      </c>
      <c r="F1474" s="4" t="str">
        <f>IF(campaignData[[#This Row],[Campaign]]="Old_Campaign", "A", "B")</f>
        <v>A</v>
      </c>
    </row>
    <row r="1475" spans="1:6" x14ac:dyDescent="0.2">
      <c r="A1475" s="1">
        <v>44933</v>
      </c>
      <c r="B1475" s="5" t="s">
        <v>6</v>
      </c>
      <c r="C1475" s="2">
        <v>1109</v>
      </c>
      <c r="D1475" s="2">
        <v>273</v>
      </c>
      <c r="E1475" s="3">
        <v>4130.07</v>
      </c>
      <c r="F1475" s="4" t="str">
        <f>IF(campaignData[[#This Row],[Campaign]]="Old_Campaign", "A", "B")</f>
        <v>B</v>
      </c>
    </row>
    <row r="1476" spans="1:6" x14ac:dyDescent="0.2">
      <c r="A1476" s="1">
        <v>44934</v>
      </c>
      <c r="B1476" s="5" t="s">
        <v>5</v>
      </c>
      <c r="C1476" s="2">
        <v>1163</v>
      </c>
      <c r="D1476" s="2">
        <v>220</v>
      </c>
      <c r="E1476" s="3">
        <v>3045.63</v>
      </c>
      <c r="F1476" s="4" t="str">
        <f>IF(campaignData[[#This Row],[Campaign]]="Old_Campaign", "A", "B")</f>
        <v>A</v>
      </c>
    </row>
    <row r="1477" spans="1:6" x14ac:dyDescent="0.2">
      <c r="A1477" s="1">
        <v>44934</v>
      </c>
      <c r="B1477" s="5" t="s">
        <v>6</v>
      </c>
      <c r="C1477" s="2">
        <v>1121</v>
      </c>
      <c r="D1477" s="2">
        <v>258</v>
      </c>
      <c r="E1477" s="3">
        <v>3994.87</v>
      </c>
      <c r="F1477" s="4" t="str">
        <f>IF(campaignData[[#This Row],[Campaign]]="Old_Campaign", "A", "B")</f>
        <v>B</v>
      </c>
    </row>
    <row r="1478" spans="1:6" x14ac:dyDescent="0.2">
      <c r="A1478" s="1">
        <v>44935</v>
      </c>
      <c r="B1478" s="5" t="s">
        <v>5</v>
      </c>
      <c r="C1478" s="2">
        <v>1175</v>
      </c>
      <c r="D1478" s="2">
        <v>228</v>
      </c>
      <c r="E1478" s="3">
        <v>3461.98</v>
      </c>
      <c r="F1478" s="4" t="str">
        <f>IF(campaignData[[#This Row],[Campaign]]="Old_Campaign", "A", "B")</f>
        <v>A</v>
      </c>
    </row>
    <row r="1479" spans="1:6" x14ac:dyDescent="0.2">
      <c r="A1479" s="1">
        <v>44935</v>
      </c>
      <c r="B1479" s="5" t="s">
        <v>6</v>
      </c>
      <c r="C1479" s="2">
        <v>1147</v>
      </c>
      <c r="D1479" s="2">
        <v>235</v>
      </c>
      <c r="E1479" s="3">
        <v>3983.83</v>
      </c>
      <c r="F1479" s="4" t="str">
        <f>IF(campaignData[[#This Row],[Campaign]]="Old_Campaign", "A", "B")</f>
        <v>B</v>
      </c>
    </row>
    <row r="1480" spans="1:6" x14ac:dyDescent="0.2">
      <c r="A1480" s="1">
        <v>44936</v>
      </c>
      <c r="B1480" s="5" t="s">
        <v>5</v>
      </c>
      <c r="C1480" s="2">
        <v>1182</v>
      </c>
      <c r="D1480" s="2">
        <v>222</v>
      </c>
      <c r="E1480" s="3">
        <v>3339.92</v>
      </c>
      <c r="F1480" s="4" t="str">
        <f>IF(campaignData[[#This Row],[Campaign]]="Old_Campaign", "A", "B")</f>
        <v>A</v>
      </c>
    </row>
    <row r="1481" spans="1:6" x14ac:dyDescent="0.2">
      <c r="A1481" s="1">
        <v>44936</v>
      </c>
      <c r="B1481" s="5" t="s">
        <v>6</v>
      </c>
      <c r="C1481" s="2">
        <v>1086</v>
      </c>
      <c r="D1481" s="2">
        <v>254</v>
      </c>
      <c r="E1481" s="3">
        <v>4924.32</v>
      </c>
      <c r="F1481" s="4" t="str">
        <f>IF(campaignData[[#This Row],[Campaign]]="Old_Campaign", "A", "B")</f>
        <v>B</v>
      </c>
    </row>
    <row r="1482" spans="1:6" x14ac:dyDescent="0.2">
      <c r="A1482" s="1">
        <v>44937</v>
      </c>
      <c r="B1482" s="5" t="s">
        <v>5</v>
      </c>
      <c r="C1482" s="2">
        <v>1217</v>
      </c>
      <c r="D1482" s="2">
        <v>234</v>
      </c>
      <c r="E1482" s="3">
        <v>3504.61</v>
      </c>
      <c r="F1482" s="4" t="str">
        <f>IF(campaignData[[#This Row],[Campaign]]="Old_Campaign", "A", "B")</f>
        <v>A</v>
      </c>
    </row>
    <row r="1483" spans="1:6" x14ac:dyDescent="0.2">
      <c r="A1483" s="1">
        <v>44937</v>
      </c>
      <c r="B1483" s="5" t="s">
        <v>6</v>
      </c>
      <c r="C1483" s="2">
        <v>1131</v>
      </c>
      <c r="D1483" s="2">
        <v>259</v>
      </c>
      <c r="E1483" s="3">
        <v>4677.88</v>
      </c>
      <c r="F1483" s="4" t="str">
        <f>IF(campaignData[[#This Row],[Campaign]]="Old_Campaign", "A", "B")</f>
        <v>B</v>
      </c>
    </row>
    <row r="1484" spans="1:6" x14ac:dyDescent="0.2">
      <c r="A1484" s="1">
        <v>44938</v>
      </c>
      <c r="B1484" s="5" t="s">
        <v>5</v>
      </c>
      <c r="C1484" s="2">
        <v>1244</v>
      </c>
      <c r="D1484" s="2">
        <v>247</v>
      </c>
      <c r="E1484" s="3">
        <v>3039.46</v>
      </c>
      <c r="F1484" s="4" t="str">
        <f>IF(campaignData[[#This Row],[Campaign]]="Old_Campaign", "A", "B")</f>
        <v>A</v>
      </c>
    </row>
    <row r="1485" spans="1:6" x14ac:dyDescent="0.2">
      <c r="A1485" s="1">
        <v>44938</v>
      </c>
      <c r="B1485" s="5" t="s">
        <v>6</v>
      </c>
      <c r="C1485" s="2">
        <v>1114</v>
      </c>
      <c r="D1485" s="2">
        <v>254</v>
      </c>
      <c r="E1485" s="3">
        <v>3607.41</v>
      </c>
      <c r="F1485" s="4" t="str">
        <f>IF(campaignData[[#This Row],[Campaign]]="Old_Campaign", "A", "B")</f>
        <v>B</v>
      </c>
    </row>
    <row r="1486" spans="1:6" x14ac:dyDescent="0.2">
      <c r="A1486" s="1">
        <v>44939</v>
      </c>
      <c r="B1486" s="5" t="s">
        <v>5</v>
      </c>
      <c r="C1486" s="2">
        <v>1189</v>
      </c>
      <c r="D1486" s="2">
        <v>240</v>
      </c>
      <c r="E1486" s="3">
        <v>3686.54</v>
      </c>
      <c r="F1486" s="4" t="str">
        <f>IF(campaignData[[#This Row],[Campaign]]="Old_Campaign", "A", "B")</f>
        <v>A</v>
      </c>
    </row>
    <row r="1487" spans="1:6" x14ac:dyDescent="0.2">
      <c r="A1487" s="1">
        <v>44939</v>
      </c>
      <c r="B1487" s="5" t="s">
        <v>6</v>
      </c>
      <c r="C1487" s="2">
        <v>1160</v>
      </c>
      <c r="D1487" s="2">
        <v>284</v>
      </c>
      <c r="E1487" s="3">
        <v>4081.15</v>
      </c>
      <c r="F1487" s="4" t="str">
        <f>IF(campaignData[[#This Row],[Campaign]]="Old_Campaign", "A", "B")</f>
        <v>B</v>
      </c>
    </row>
    <row r="1488" spans="1:6" x14ac:dyDescent="0.2">
      <c r="A1488" s="1">
        <v>44940</v>
      </c>
      <c r="B1488" s="5" t="s">
        <v>5</v>
      </c>
      <c r="C1488" s="2">
        <v>1202</v>
      </c>
      <c r="D1488" s="2">
        <v>231</v>
      </c>
      <c r="E1488" s="3">
        <v>2890.05</v>
      </c>
      <c r="F1488" s="4" t="str">
        <f>IF(campaignData[[#This Row],[Campaign]]="Old_Campaign", "A", "B")</f>
        <v>A</v>
      </c>
    </row>
    <row r="1489" spans="1:6" x14ac:dyDescent="0.2">
      <c r="A1489" s="1">
        <v>44940</v>
      </c>
      <c r="B1489" s="5" t="s">
        <v>6</v>
      </c>
      <c r="C1489" s="2">
        <v>1124</v>
      </c>
      <c r="D1489" s="2">
        <v>259</v>
      </c>
      <c r="E1489" s="3">
        <v>4377.01</v>
      </c>
      <c r="F1489" s="4" t="str">
        <f>IF(campaignData[[#This Row],[Campaign]]="Old_Campaign", "A", "B")</f>
        <v>B</v>
      </c>
    </row>
    <row r="1490" spans="1:6" x14ac:dyDescent="0.2">
      <c r="A1490" s="1">
        <v>44941</v>
      </c>
      <c r="B1490" s="5" t="s">
        <v>5</v>
      </c>
      <c r="C1490" s="2">
        <v>1168</v>
      </c>
      <c r="D1490" s="2">
        <v>206</v>
      </c>
      <c r="E1490" s="3">
        <v>3480.08</v>
      </c>
      <c r="F1490" s="4" t="str">
        <f>IF(campaignData[[#This Row],[Campaign]]="Old_Campaign", "A", "B")</f>
        <v>A</v>
      </c>
    </row>
    <row r="1491" spans="1:6" x14ac:dyDescent="0.2">
      <c r="A1491" s="1">
        <v>44941</v>
      </c>
      <c r="B1491" s="5" t="s">
        <v>6</v>
      </c>
      <c r="C1491" s="2">
        <v>1112</v>
      </c>
      <c r="D1491" s="2">
        <v>267</v>
      </c>
      <c r="E1491" s="3">
        <v>4301.37</v>
      </c>
      <c r="F1491" s="4" t="str">
        <f>IF(campaignData[[#This Row],[Campaign]]="Old_Campaign", "A", "B")</f>
        <v>B</v>
      </c>
    </row>
    <row r="1492" spans="1:6" x14ac:dyDescent="0.2">
      <c r="A1492" s="1">
        <v>44942</v>
      </c>
      <c r="B1492" s="5" t="s">
        <v>5</v>
      </c>
      <c r="C1492" s="2">
        <v>1174</v>
      </c>
      <c r="D1492" s="2">
        <v>235</v>
      </c>
      <c r="E1492" s="3">
        <v>3202.33</v>
      </c>
      <c r="F1492" s="4" t="str">
        <f>IF(campaignData[[#This Row],[Campaign]]="Old_Campaign", "A", "B")</f>
        <v>A</v>
      </c>
    </row>
    <row r="1493" spans="1:6" x14ac:dyDescent="0.2">
      <c r="A1493" s="1">
        <v>44942</v>
      </c>
      <c r="B1493" s="5" t="s">
        <v>6</v>
      </c>
      <c r="C1493" s="2">
        <v>1109</v>
      </c>
      <c r="D1493" s="2">
        <v>250</v>
      </c>
      <c r="E1493" s="3">
        <v>4581.6899999999996</v>
      </c>
      <c r="F1493" s="4" t="str">
        <f>IF(campaignData[[#This Row],[Campaign]]="Old_Campaign", "A", "B")</f>
        <v>B</v>
      </c>
    </row>
    <row r="1494" spans="1:6" x14ac:dyDescent="0.2">
      <c r="A1494" s="1">
        <v>44943</v>
      </c>
      <c r="B1494" s="5" t="s">
        <v>5</v>
      </c>
      <c r="C1494" s="2">
        <v>1206</v>
      </c>
      <c r="D1494" s="2">
        <v>230</v>
      </c>
      <c r="E1494" s="3">
        <v>3568.39</v>
      </c>
      <c r="F1494" s="4" t="str">
        <f>IF(campaignData[[#This Row],[Campaign]]="Old_Campaign", "A", "B")</f>
        <v>A</v>
      </c>
    </row>
    <row r="1495" spans="1:6" x14ac:dyDescent="0.2">
      <c r="A1495" s="1">
        <v>44943</v>
      </c>
      <c r="B1495" s="5" t="s">
        <v>6</v>
      </c>
      <c r="C1495" s="2">
        <v>1200</v>
      </c>
      <c r="D1495" s="2">
        <v>262</v>
      </c>
      <c r="E1495" s="3">
        <v>3861.44</v>
      </c>
      <c r="F1495" s="4" t="str">
        <f>IF(campaignData[[#This Row],[Campaign]]="Old_Campaign", "A", "B")</f>
        <v>B</v>
      </c>
    </row>
    <row r="1496" spans="1:6" x14ac:dyDescent="0.2">
      <c r="A1496" s="1">
        <v>44944</v>
      </c>
      <c r="B1496" s="5" t="s">
        <v>5</v>
      </c>
      <c r="C1496" s="2">
        <v>1194</v>
      </c>
      <c r="D1496" s="2">
        <v>219</v>
      </c>
      <c r="E1496" s="3">
        <v>3255.53</v>
      </c>
      <c r="F1496" s="4" t="str">
        <f>IF(campaignData[[#This Row],[Campaign]]="Old_Campaign", "A", "B")</f>
        <v>A</v>
      </c>
    </row>
    <row r="1497" spans="1:6" x14ac:dyDescent="0.2">
      <c r="A1497" s="1">
        <v>44944</v>
      </c>
      <c r="B1497" s="5" t="s">
        <v>6</v>
      </c>
      <c r="C1497" s="2">
        <v>1177</v>
      </c>
      <c r="D1497" s="2">
        <v>263</v>
      </c>
      <c r="E1497" s="3">
        <v>3642.73</v>
      </c>
      <c r="F1497" s="4" t="str">
        <f>IF(campaignData[[#This Row],[Campaign]]="Old_Campaign", "A", "B")</f>
        <v>B</v>
      </c>
    </row>
    <row r="1498" spans="1:6" x14ac:dyDescent="0.2">
      <c r="A1498" s="1">
        <v>44945</v>
      </c>
      <c r="B1498" s="5" t="s">
        <v>5</v>
      </c>
      <c r="C1498" s="2">
        <v>1219</v>
      </c>
      <c r="D1498" s="2">
        <v>228</v>
      </c>
      <c r="E1498" s="3">
        <v>3224.09</v>
      </c>
      <c r="F1498" s="4" t="str">
        <f>IF(campaignData[[#This Row],[Campaign]]="Old_Campaign", "A", "B")</f>
        <v>A</v>
      </c>
    </row>
    <row r="1499" spans="1:6" x14ac:dyDescent="0.2">
      <c r="A1499" s="1">
        <v>44945</v>
      </c>
      <c r="B1499" s="5" t="s">
        <v>6</v>
      </c>
      <c r="C1499" s="2">
        <v>1189</v>
      </c>
      <c r="D1499" s="2">
        <v>281</v>
      </c>
      <c r="E1499" s="3">
        <v>3764.78</v>
      </c>
      <c r="F1499" s="4" t="str">
        <f>IF(campaignData[[#This Row],[Campaign]]="Old_Campaign", "A", "B")</f>
        <v>B</v>
      </c>
    </row>
    <row r="1500" spans="1:6" x14ac:dyDescent="0.2">
      <c r="A1500" s="1">
        <v>44946</v>
      </c>
      <c r="B1500" s="5" t="s">
        <v>5</v>
      </c>
      <c r="C1500" s="2">
        <v>1208</v>
      </c>
      <c r="D1500" s="2">
        <v>244</v>
      </c>
      <c r="E1500" s="3">
        <v>3480.52</v>
      </c>
      <c r="F1500" s="4" t="str">
        <f>IF(campaignData[[#This Row],[Campaign]]="Old_Campaign", "A", "B")</f>
        <v>A</v>
      </c>
    </row>
    <row r="1501" spans="1:6" x14ac:dyDescent="0.2">
      <c r="A1501" s="1">
        <v>44946</v>
      </c>
      <c r="B1501" s="5" t="s">
        <v>6</v>
      </c>
      <c r="C1501" s="2">
        <v>1165</v>
      </c>
      <c r="D1501" s="2">
        <v>277</v>
      </c>
      <c r="E1501" s="3">
        <v>4821.2</v>
      </c>
      <c r="F1501" s="4" t="str">
        <f>IF(campaignData[[#This Row],[Campaign]]="Old_Campaign", "A", "B")</f>
        <v>B</v>
      </c>
    </row>
    <row r="1502" spans="1:6" x14ac:dyDescent="0.2">
      <c r="A1502" s="1">
        <v>44947</v>
      </c>
      <c r="B1502" s="5" t="s">
        <v>5</v>
      </c>
      <c r="C1502" s="2">
        <v>1184</v>
      </c>
      <c r="D1502" s="2">
        <v>214</v>
      </c>
      <c r="E1502" s="3">
        <v>4351.4399999999996</v>
      </c>
      <c r="F1502" s="4" t="str">
        <f>IF(campaignData[[#This Row],[Campaign]]="Old_Campaign", "A", "B")</f>
        <v>A</v>
      </c>
    </row>
    <row r="1503" spans="1:6" x14ac:dyDescent="0.2">
      <c r="A1503" s="1">
        <v>44947</v>
      </c>
      <c r="B1503" s="5" t="s">
        <v>6</v>
      </c>
      <c r="C1503" s="2">
        <v>1208</v>
      </c>
      <c r="D1503" s="2">
        <v>278</v>
      </c>
      <c r="E1503" s="3">
        <v>4502.0200000000004</v>
      </c>
      <c r="F1503" s="4" t="str">
        <f>IF(campaignData[[#This Row],[Campaign]]="Old_Campaign", "A", "B")</f>
        <v>B</v>
      </c>
    </row>
    <row r="1504" spans="1:6" x14ac:dyDescent="0.2">
      <c r="A1504" s="1">
        <v>44948</v>
      </c>
      <c r="B1504" s="5" t="s">
        <v>5</v>
      </c>
      <c r="C1504" s="2">
        <v>1173</v>
      </c>
      <c r="D1504" s="2">
        <v>205</v>
      </c>
      <c r="E1504" s="3">
        <v>3154.98</v>
      </c>
      <c r="F1504" s="4" t="str">
        <f>IF(campaignData[[#This Row],[Campaign]]="Old_Campaign", "A", "B")</f>
        <v>A</v>
      </c>
    </row>
    <row r="1505" spans="1:6" x14ac:dyDescent="0.2">
      <c r="A1505" s="1">
        <v>44948</v>
      </c>
      <c r="B1505" s="5" t="s">
        <v>6</v>
      </c>
      <c r="C1505" s="2">
        <v>1144</v>
      </c>
      <c r="D1505" s="2">
        <v>289</v>
      </c>
      <c r="E1505" s="3">
        <v>4934.66</v>
      </c>
      <c r="F1505" s="4" t="str">
        <f>IF(campaignData[[#This Row],[Campaign]]="Old_Campaign", "A", "B")</f>
        <v>B</v>
      </c>
    </row>
    <row r="1506" spans="1:6" x14ac:dyDescent="0.2">
      <c r="A1506" s="1">
        <v>44949</v>
      </c>
      <c r="B1506" s="5" t="s">
        <v>5</v>
      </c>
      <c r="C1506" s="2">
        <v>1198</v>
      </c>
      <c r="D1506" s="2">
        <v>234</v>
      </c>
      <c r="E1506" s="3">
        <v>4404.82</v>
      </c>
      <c r="F1506" s="4" t="str">
        <f>IF(campaignData[[#This Row],[Campaign]]="Old_Campaign", "A", "B")</f>
        <v>A</v>
      </c>
    </row>
    <row r="1507" spans="1:6" x14ac:dyDescent="0.2">
      <c r="A1507" s="1">
        <v>44949</v>
      </c>
      <c r="B1507" s="5" t="s">
        <v>6</v>
      </c>
      <c r="C1507" s="2">
        <v>1150</v>
      </c>
      <c r="D1507" s="2">
        <v>278</v>
      </c>
      <c r="E1507" s="3">
        <v>5095.22</v>
      </c>
      <c r="F1507" s="4" t="str">
        <f>IF(campaignData[[#This Row],[Campaign]]="Old_Campaign", "A", "B")</f>
        <v>B</v>
      </c>
    </row>
    <row r="1508" spans="1:6" x14ac:dyDescent="0.2">
      <c r="A1508" s="1">
        <v>44950</v>
      </c>
      <c r="B1508" s="5" t="s">
        <v>5</v>
      </c>
      <c r="C1508" s="2">
        <v>1192</v>
      </c>
      <c r="D1508" s="2">
        <v>200</v>
      </c>
      <c r="E1508" s="3">
        <v>2889.24</v>
      </c>
      <c r="F1508" s="4" t="str">
        <f>IF(campaignData[[#This Row],[Campaign]]="Old_Campaign", "A", "B")</f>
        <v>A</v>
      </c>
    </row>
    <row r="1509" spans="1:6" x14ac:dyDescent="0.2">
      <c r="A1509" s="1">
        <v>44950</v>
      </c>
      <c r="B1509" s="5" t="s">
        <v>6</v>
      </c>
      <c r="C1509" s="2">
        <v>1138</v>
      </c>
      <c r="D1509" s="2">
        <v>273</v>
      </c>
      <c r="E1509" s="3">
        <v>4001.24</v>
      </c>
      <c r="F1509" s="4" t="str">
        <f>IF(campaignData[[#This Row],[Campaign]]="Old_Campaign", "A", "B")</f>
        <v>B</v>
      </c>
    </row>
    <row r="1510" spans="1:6" x14ac:dyDescent="0.2">
      <c r="A1510" s="1">
        <v>44951</v>
      </c>
      <c r="B1510" s="5" t="s">
        <v>5</v>
      </c>
      <c r="C1510" s="2">
        <v>1234</v>
      </c>
      <c r="D1510" s="2">
        <v>244</v>
      </c>
      <c r="E1510" s="3">
        <v>4035.29</v>
      </c>
      <c r="F1510" s="4" t="str">
        <f>IF(campaignData[[#This Row],[Campaign]]="Old_Campaign", "A", "B")</f>
        <v>A</v>
      </c>
    </row>
    <row r="1511" spans="1:6" x14ac:dyDescent="0.2">
      <c r="A1511" s="1">
        <v>44951</v>
      </c>
      <c r="B1511" s="5" t="s">
        <v>6</v>
      </c>
      <c r="C1511" s="2">
        <v>1132</v>
      </c>
      <c r="D1511" s="2">
        <v>237</v>
      </c>
      <c r="E1511" s="3">
        <v>3542.02</v>
      </c>
      <c r="F1511" s="4" t="str">
        <f>IF(campaignData[[#This Row],[Campaign]]="Old_Campaign", "A", "B")</f>
        <v>B</v>
      </c>
    </row>
    <row r="1512" spans="1:6" x14ac:dyDescent="0.2">
      <c r="A1512" s="1">
        <v>44952</v>
      </c>
      <c r="B1512" s="5" t="s">
        <v>5</v>
      </c>
      <c r="C1512" s="2">
        <v>1186</v>
      </c>
      <c r="D1512" s="2">
        <v>233</v>
      </c>
      <c r="E1512" s="3">
        <v>4122.5</v>
      </c>
      <c r="F1512" s="4" t="str">
        <f>IF(campaignData[[#This Row],[Campaign]]="Old_Campaign", "A", "B")</f>
        <v>A</v>
      </c>
    </row>
    <row r="1513" spans="1:6" x14ac:dyDescent="0.2">
      <c r="A1513" s="1">
        <v>44952</v>
      </c>
      <c r="B1513" s="5" t="s">
        <v>6</v>
      </c>
      <c r="C1513" s="2">
        <v>1155</v>
      </c>
      <c r="D1513" s="2">
        <v>282</v>
      </c>
      <c r="E1513" s="3">
        <v>5326.23</v>
      </c>
      <c r="F1513" s="4" t="str">
        <f>IF(campaignData[[#This Row],[Campaign]]="Old_Campaign", "A", "B")</f>
        <v>B</v>
      </c>
    </row>
    <row r="1514" spans="1:6" x14ac:dyDescent="0.2">
      <c r="A1514" s="1">
        <v>44953</v>
      </c>
      <c r="B1514" s="5" t="s">
        <v>5</v>
      </c>
      <c r="C1514" s="2">
        <v>1142</v>
      </c>
      <c r="D1514" s="2">
        <v>216</v>
      </c>
      <c r="E1514" s="3">
        <v>4125.04</v>
      </c>
      <c r="F1514" s="4" t="str">
        <f>IF(campaignData[[#This Row],[Campaign]]="Old_Campaign", "A", "B")</f>
        <v>A</v>
      </c>
    </row>
    <row r="1515" spans="1:6" x14ac:dyDescent="0.2">
      <c r="A1515" s="1">
        <v>44953</v>
      </c>
      <c r="B1515" s="5" t="s">
        <v>6</v>
      </c>
      <c r="C1515" s="2">
        <v>1153</v>
      </c>
      <c r="D1515" s="2">
        <v>268</v>
      </c>
      <c r="E1515" s="3">
        <v>3416.74</v>
      </c>
      <c r="F1515" s="4" t="str">
        <f>IF(campaignData[[#This Row],[Campaign]]="Old_Campaign", "A", "B")</f>
        <v>B</v>
      </c>
    </row>
    <row r="1516" spans="1:6" x14ac:dyDescent="0.2">
      <c r="A1516" s="1">
        <v>44954</v>
      </c>
      <c r="B1516" s="5" t="s">
        <v>5</v>
      </c>
      <c r="C1516" s="2">
        <v>1160</v>
      </c>
      <c r="D1516" s="2">
        <v>239</v>
      </c>
      <c r="E1516" s="3">
        <v>2932.96</v>
      </c>
      <c r="F1516" s="4" t="str">
        <f>IF(campaignData[[#This Row],[Campaign]]="Old_Campaign", "A", "B")</f>
        <v>A</v>
      </c>
    </row>
    <row r="1517" spans="1:6" x14ac:dyDescent="0.2">
      <c r="A1517" s="1">
        <v>44954</v>
      </c>
      <c r="B1517" s="5" t="s">
        <v>6</v>
      </c>
      <c r="C1517" s="2">
        <v>1113</v>
      </c>
      <c r="D1517" s="2">
        <v>264</v>
      </c>
      <c r="E1517" s="3">
        <v>3943.17</v>
      </c>
      <c r="F1517" s="4" t="str">
        <f>IF(campaignData[[#This Row],[Campaign]]="Old_Campaign", "A", "B")</f>
        <v>B</v>
      </c>
    </row>
    <row r="1518" spans="1:6" x14ac:dyDescent="0.2">
      <c r="A1518" s="1">
        <v>44955</v>
      </c>
      <c r="B1518" s="5" t="s">
        <v>5</v>
      </c>
      <c r="C1518" s="2">
        <v>1143</v>
      </c>
      <c r="D1518" s="2">
        <v>225</v>
      </c>
      <c r="E1518" s="3">
        <v>2346.4</v>
      </c>
      <c r="F1518" s="4" t="str">
        <f>IF(campaignData[[#This Row],[Campaign]]="Old_Campaign", "A", "B")</f>
        <v>A</v>
      </c>
    </row>
    <row r="1519" spans="1:6" x14ac:dyDescent="0.2">
      <c r="A1519" s="1">
        <v>44955</v>
      </c>
      <c r="B1519" s="5" t="s">
        <v>6</v>
      </c>
      <c r="C1519" s="2">
        <v>1130</v>
      </c>
      <c r="D1519" s="2">
        <v>254</v>
      </c>
      <c r="E1519" s="3">
        <v>3666.44</v>
      </c>
      <c r="F1519" s="4" t="str">
        <f>IF(campaignData[[#This Row],[Campaign]]="Old_Campaign", "A", "B")</f>
        <v>B</v>
      </c>
    </row>
    <row r="1520" spans="1:6" x14ac:dyDescent="0.2">
      <c r="A1520" s="1">
        <v>44956</v>
      </c>
      <c r="B1520" s="5" t="s">
        <v>5</v>
      </c>
      <c r="C1520" s="2">
        <v>1176</v>
      </c>
      <c r="D1520" s="2">
        <v>209</v>
      </c>
      <c r="E1520" s="3">
        <v>2603.4899999999998</v>
      </c>
      <c r="F1520" s="4" t="str">
        <f>IF(campaignData[[#This Row],[Campaign]]="Old_Campaign", "A", "B")</f>
        <v>A</v>
      </c>
    </row>
    <row r="1521" spans="1:6" x14ac:dyDescent="0.2">
      <c r="A1521" s="1">
        <v>44956</v>
      </c>
      <c r="B1521" s="5" t="s">
        <v>6</v>
      </c>
      <c r="C1521" s="2">
        <v>1164</v>
      </c>
      <c r="D1521" s="2">
        <v>269</v>
      </c>
      <c r="E1521" s="3">
        <v>3683.64</v>
      </c>
      <c r="F1521" s="4" t="str">
        <f>IF(campaignData[[#This Row],[Campaign]]="Old_Campaign", "A", "B")</f>
        <v>B</v>
      </c>
    </row>
    <row r="1522" spans="1:6" x14ac:dyDescent="0.2">
      <c r="A1522" s="1">
        <v>44957</v>
      </c>
      <c r="B1522" s="5" t="s">
        <v>5</v>
      </c>
      <c r="C1522" s="2">
        <v>1175</v>
      </c>
      <c r="D1522" s="2">
        <v>241</v>
      </c>
      <c r="E1522" s="3">
        <v>4556.3999999999996</v>
      </c>
      <c r="F1522" s="4" t="str">
        <f>IF(campaignData[[#This Row],[Campaign]]="Old_Campaign", "A", "B")</f>
        <v>A</v>
      </c>
    </row>
    <row r="1523" spans="1:6" x14ac:dyDescent="0.2">
      <c r="A1523" s="1">
        <v>44957</v>
      </c>
      <c r="B1523" s="5" t="s">
        <v>6</v>
      </c>
      <c r="C1523" s="2">
        <v>1159</v>
      </c>
      <c r="D1523" s="2">
        <v>288</v>
      </c>
      <c r="E1523" s="3">
        <v>5003.6899999999996</v>
      </c>
      <c r="F1523" s="4" t="str">
        <f>IF(campaignData[[#This Row],[Campaign]]="Old_Campaign", "A", "B")</f>
        <v>B</v>
      </c>
    </row>
    <row r="1524" spans="1:6" x14ac:dyDescent="0.2">
      <c r="A1524" s="1">
        <v>44958</v>
      </c>
      <c r="B1524" s="5" t="s">
        <v>5</v>
      </c>
      <c r="C1524" s="2">
        <v>1152</v>
      </c>
      <c r="D1524" s="2">
        <v>228</v>
      </c>
      <c r="E1524" s="3">
        <v>4152.16</v>
      </c>
      <c r="F1524" s="4" t="str">
        <f>IF(campaignData[[#This Row],[Campaign]]="Old_Campaign", "A", "B")</f>
        <v>A</v>
      </c>
    </row>
    <row r="1525" spans="1:6" x14ac:dyDescent="0.2">
      <c r="A1525" s="1">
        <v>44958</v>
      </c>
      <c r="B1525" s="5" t="s">
        <v>6</v>
      </c>
      <c r="C1525" s="2">
        <v>1133</v>
      </c>
      <c r="D1525" s="2">
        <v>278</v>
      </c>
      <c r="E1525" s="3">
        <v>3291.11</v>
      </c>
      <c r="F1525" s="4" t="str">
        <f>IF(campaignData[[#This Row],[Campaign]]="Old_Campaign", "A", "B")</f>
        <v>B</v>
      </c>
    </row>
    <row r="1526" spans="1:6" x14ac:dyDescent="0.2">
      <c r="A1526" s="1">
        <v>44959</v>
      </c>
      <c r="B1526" s="5" t="s">
        <v>5</v>
      </c>
      <c r="C1526" s="2">
        <v>1227</v>
      </c>
      <c r="D1526" s="2">
        <v>245</v>
      </c>
      <c r="E1526" s="3">
        <v>3948.77</v>
      </c>
      <c r="F1526" s="4" t="str">
        <f>IF(campaignData[[#This Row],[Campaign]]="Old_Campaign", "A", "B")</f>
        <v>A</v>
      </c>
    </row>
    <row r="1527" spans="1:6" x14ac:dyDescent="0.2">
      <c r="A1527" s="1">
        <v>44959</v>
      </c>
      <c r="B1527" s="5" t="s">
        <v>6</v>
      </c>
      <c r="C1527" s="2">
        <v>1185</v>
      </c>
      <c r="D1527" s="2">
        <v>277</v>
      </c>
      <c r="E1527" s="3">
        <v>4345.3100000000004</v>
      </c>
      <c r="F1527" s="4" t="str">
        <f>IF(campaignData[[#This Row],[Campaign]]="Old_Campaign", "A", "B")</f>
        <v>B</v>
      </c>
    </row>
    <row r="1528" spans="1:6" x14ac:dyDescent="0.2">
      <c r="A1528" s="1">
        <v>44960</v>
      </c>
      <c r="B1528" s="5" t="s">
        <v>5</v>
      </c>
      <c r="C1528" s="2">
        <v>1184</v>
      </c>
      <c r="D1528" s="2">
        <v>224</v>
      </c>
      <c r="E1528" s="3">
        <v>3383.77</v>
      </c>
      <c r="F1528" s="4" t="str">
        <f>IF(campaignData[[#This Row],[Campaign]]="Old_Campaign", "A", "B")</f>
        <v>A</v>
      </c>
    </row>
    <row r="1529" spans="1:6" x14ac:dyDescent="0.2">
      <c r="A1529" s="1">
        <v>44960</v>
      </c>
      <c r="B1529" s="5" t="s">
        <v>6</v>
      </c>
      <c r="C1529" s="2">
        <v>1173</v>
      </c>
      <c r="D1529" s="2">
        <v>288</v>
      </c>
      <c r="E1529" s="3">
        <v>5106.41</v>
      </c>
      <c r="F1529" s="4" t="str">
        <f>IF(campaignData[[#This Row],[Campaign]]="Old_Campaign", "A", "B")</f>
        <v>B</v>
      </c>
    </row>
    <row r="1530" spans="1:6" x14ac:dyDescent="0.2">
      <c r="A1530" s="1">
        <v>44961</v>
      </c>
      <c r="B1530" s="5" t="s">
        <v>5</v>
      </c>
      <c r="C1530" s="2">
        <v>1179</v>
      </c>
      <c r="D1530" s="2">
        <v>229</v>
      </c>
      <c r="E1530" s="3">
        <v>3033.11</v>
      </c>
      <c r="F1530" s="4" t="str">
        <f>IF(campaignData[[#This Row],[Campaign]]="Old_Campaign", "A", "B")</f>
        <v>A</v>
      </c>
    </row>
    <row r="1531" spans="1:6" x14ac:dyDescent="0.2">
      <c r="A1531" s="1">
        <v>44961</v>
      </c>
      <c r="B1531" s="5" t="s">
        <v>6</v>
      </c>
      <c r="C1531" s="2">
        <v>1093</v>
      </c>
      <c r="D1531" s="2">
        <v>259</v>
      </c>
      <c r="E1531" s="3">
        <v>3415.13</v>
      </c>
      <c r="F1531" s="4" t="str">
        <f>IF(campaignData[[#This Row],[Campaign]]="Old_Campaign", "A", "B")</f>
        <v>B</v>
      </c>
    </row>
    <row r="1532" spans="1:6" x14ac:dyDescent="0.2">
      <c r="A1532" s="1">
        <v>44962</v>
      </c>
      <c r="B1532" s="5" t="s">
        <v>5</v>
      </c>
      <c r="C1532" s="2">
        <v>1148</v>
      </c>
      <c r="D1532" s="2">
        <v>203</v>
      </c>
      <c r="E1532" s="3">
        <v>3302.09</v>
      </c>
      <c r="F1532" s="4" t="str">
        <f>IF(campaignData[[#This Row],[Campaign]]="Old_Campaign", "A", "B")</f>
        <v>A</v>
      </c>
    </row>
    <row r="1533" spans="1:6" x14ac:dyDescent="0.2">
      <c r="A1533" s="1">
        <v>44962</v>
      </c>
      <c r="B1533" s="5" t="s">
        <v>6</v>
      </c>
      <c r="C1533" s="2">
        <v>1148</v>
      </c>
      <c r="D1533" s="2">
        <v>275</v>
      </c>
      <c r="E1533" s="3">
        <v>4186.8</v>
      </c>
      <c r="F1533" s="4" t="str">
        <f>IF(campaignData[[#This Row],[Campaign]]="Old_Campaign", "A", "B")</f>
        <v>B</v>
      </c>
    </row>
    <row r="1534" spans="1:6" x14ac:dyDescent="0.2">
      <c r="A1534" s="1">
        <v>44963</v>
      </c>
      <c r="B1534" s="5" t="s">
        <v>5</v>
      </c>
      <c r="C1534" s="2">
        <v>1206</v>
      </c>
      <c r="D1534" s="2">
        <v>224</v>
      </c>
      <c r="E1534" s="3">
        <v>3835.44</v>
      </c>
      <c r="F1534" s="4" t="str">
        <f>IF(campaignData[[#This Row],[Campaign]]="Old_Campaign", "A", "B")</f>
        <v>A</v>
      </c>
    </row>
    <row r="1535" spans="1:6" x14ac:dyDescent="0.2">
      <c r="A1535" s="1">
        <v>44963</v>
      </c>
      <c r="B1535" s="5" t="s">
        <v>6</v>
      </c>
      <c r="C1535" s="2">
        <v>1146</v>
      </c>
      <c r="D1535" s="2">
        <v>244</v>
      </c>
      <c r="E1535" s="3">
        <v>3692.51</v>
      </c>
      <c r="F1535" s="4" t="str">
        <f>IF(campaignData[[#This Row],[Campaign]]="Old_Campaign", "A", "B")</f>
        <v>B</v>
      </c>
    </row>
    <row r="1536" spans="1:6" x14ac:dyDescent="0.2">
      <c r="A1536" s="1">
        <v>44964</v>
      </c>
      <c r="B1536" s="5" t="s">
        <v>5</v>
      </c>
      <c r="C1536" s="2">
        <v>1225</v>
      </c>
      <c r="D1536" s="2">
        <v>230</v>
      </c>
      <c r="E1536" s="3">
        <v>3230.19</v>
      </c>
      <c r="F1536" s="4" t="str">
        <f>IF(campaignData[[#This Row],[Campaign]]="Old_Campaign", "A", "B")</f>
        <v>A</v>
      </c>
    </row>
    <row r="1537" spans="1:6" x14ac:dyDescent="0.2">
      <c r="A1537" s="1">
        <v>44964</v>
      </c>
      <c r="B1537" s="5" t="s">
        <v>6</v>
      </c>
      <c r="C1537" s="2">
        <v>1140</v>
      </c>
      <c r="D1537" s="2">
        <v>268</v>
      </c>
      <c r="E1537" s="3">
        <v>4264.09</v>
      </c>
      <c r="F1537" s="4" t="str">
        <f>IF(campaignData[[#This Row],[Campaign]]="Old_Campaign", "A", "B")</f>
        <v>B</v>
      </c>
    </row>
    <row r="1538" spans="1:6" x14ac:dyDescent="0.2">
      <c r="A1538" s="1">
        <v>44965</v>
      </c>
      <c r="B1538" s="5" t="s">
        <v>5</v>
      </c>
      <c r="C1538" s="2">
        <v>1111</v>
      </c>
      <c r="D1538" s="2">
        <v>210</v>
      </c>
      <c r="E1538" s="3">
        <v>2986.03</v>
      </c>
      <c r="F1538" s="4" t="str">
        <f>IF(campaignData[[#This Row],[Campaign]]="Old_Campaign", "A", "B")</f>
        <v>A</v>
      </c>
    </row>
    <row r="1539" spans="1:6" x14ac:dyDescent="0.2">
      <c r="A1539" s="1">
        <v>44965</v>
      </c>
      <c r="B1539" s="5" t="s">
        <v>6</v>
      </c>
      <c r="C1539" s="2">
        <v>1120</v>
      </c>
      <c r="D1539" s="2">
        <v>254</v>
      </c>
      <c r="E1539" s="3">
        <v>4326.2</v>
      </c>
      <c r="F1539" s="4" t="str">
        <f>IF(campaignData[[#This Row],[Campaign]]="Old_Campaign", "A", "B")</f>
        <v>B</v>
      </c>
    </row>
    <row r="1540" spans="1:6" x14ac:dyDescent="0.2">
      <c r="A1540" s="1">
        <v>44966</v>
      </c>
      <c r="B1540" s="5" t="s">
        <v>5</v>
      </c>
      <c r="C1540" s="2">
        <v>1200</v>
      </c>
      <c r="D1540" s="2">
        <v>225</v>
      </c>
      <c r="E1540" s="3">
        <v>3514.38</v>
      </c>
      <c r="F1540" s="4" t="str">
        <f>IF(campaignData[[#This Row],[Campaign]]="Old_Campaign", "A", "B")</f>
        <v>A</v>
      </c>
    </row>
    <row r="1541" spans="1:6" x14ac:dyDescent="0.2">
      <c r="A1541" s="1">
        <v>44966</v>
      </c>
      <c r="B1541" s="5" t="s">
        <v>6</v>
      </c>
      <c r="C1541" s="2">
        <v>1142</v>
      </c>
      <c r="D1541" s="2">
        <v>257</v>
      </c>
      <c r="E1541" s="3">
        <v>4356.54</v>
      </c>
      <c r="F1541" s="4" t="str">
        <f>IF(campaignData[[#This Row],[Campaign]]="Old_Campaign", "A", "B")</f>
        <v>B</v>
      </c>
    </row>
    <row r="1542" spans="1:6" x14ac:dyDescent="0.2">
      <c r="A1542" s="1">
        <v>44967</v>
      </c>
      <c r="B1542" s="5" t="s">
        <v>5</v>
      </c>
      <c r="C1542" s="2">
        <v>1231</v>
      </c>
      <c r="D1542" s="2">
        <v>222</v>
      </c>
      <c r="E1542" s="3">
        <v>3158.84</v>
      </c>
      <c r="F1542" s="4" t="str">
        <f>IF(campaignData[[#This Row],[Campaign]]="Old_Campaign", "A", "B")</f>
        <v>A</v>
      </c>
    </row>
    <row r="1543" spans="1:6" x14ac:dyDescent="0.2">
      <c r="A1543" s="1">
        <v>44967</v>
      </c>
      <c r="B1543" s="5" t="s">
        <v>6</v>
      </c>
      <c r="C1543" s="2">
        <v>1133</v>
      </c>
      <c r="D1543" s="2">
        <v>270</v>
      </c>
      <c r="E1543" s="3">
        <v>3201.46</v>
      </c>
      <c r="F1543" s="4" t="str">
        <f>IF(campaignData[[#This Row],[Campaign]]="Old_Campaign", "A", "B")</f>
        <v>B</v>
      </c>
    </row>
    <row r="1544" spans="1:6" x14ac:dyDescent="0.2">
      <c r="A1544" s="1">
        <v>44968</v>
      </c>
      <c r="B1544" s="5" t="s">
        <v>5</v>
      </c>
      <c r="C1544" s="2">
        <v>1190</v>
      </c>
      <c r="D1544" s="2">
        <v>219</v>
      </c>
      <c r="E1544" s="3">
        <v>2959.83</v>
      </c>
      <c r="F1544" s="4" t="str">
        <f>IF(campaignData[[#This Row],[Campaign]]="Old_Campaign", "A", "B")</f>
        <v>A</v>
      </c>
    </row>
    <row r="1545" spans="1:6" x14ac:dyDescent="0.2">
      <c r="A1545" s="1">
        <v>44968</v>
      </c>
      <c r="B1545" s="5" t="s">
        <v>6</v>
      </c>
      <c r="C1545" s="2">
        <v>1149</v>
      </c>
      <c r="D1545" s="2">
        <v>262</v>
      </c>
      <c r="E1545" s="3">
        <v>4131.22</v>
      </c>
      <c r="F1545" s="4" t="str">
        <f>IF(campaignData[[#This Row],[Campaign]]="Old_Campaign", "A", "B")</f>
        <v>B</v>
      </c>
    </row>
    <row r="1546" spans="1:6" x14ac:dyDescent="0.2">
      <c r="A1546" s="1">
        <v>44969</v>
      </c>
      <c r="B1546" s="5" t="s">
        <v>5</v>
      </c>
      <c r="C1546" s="2">
        <v>1178</v>
      </c>
      <c r="D1546" s="2">
        <v>192</v>
      </c>
      <c r="E1546" s="3">
        <v>3407.85</v>
      </c>
      <c r="F1546" s="4" t="str">
        <f>IF(campaignData[[#This Row],[Campaign]]="Old_Campaign", "A", "B")</f>
        <v>A</v>
      </c>
    </row>
    <row r="1547" spans="1:6" x14ac:dyDescent="0.2">
      <c r="A1547" s="1">
        <v>44969</v>
      </c>
      <c r="B1547" s="5" t="s">
        <v>6</v>
      </c>
      <c r="C1547" s="2">
        <v>1132</v>
      </c>
      <c r="D1547" s="2">
        <v>258</v>
      </c>
      <c r="E1547" s="3">
        <v>4313.6000000000004</v>
      </c>
      <c r="F1547" s="4" t="str">
        <f>IF(campaignData[[#This Row],[Campaign]]="Old_Campaign", "A", "B")</f>
        <v>B</v>
      </c>
    </row>
    <row r="1548" spans="1:6" x14ac:dyDescent="0.2">
      <c r="A1548" s="1">
        <v>44970</v>
      </c>
      <c r="B1548" s="5" t="s">
        <v>5</v>
      </c>
      <c r="C1548" s="2">
        <v>1158</v>
      </c>
      <c r="D1548" s="2">
        <v>211</v>
      </c>
      <c r="E1548" s="3">
        <v>3183.16</v>
      </c>
      <c r="F1548" s="4" t="str">
        <f>IF(campaignData[[#This Row],[Campaign]]="Old_Campaign", "A", "B")</f>
        <v>A</v>
      </c>
    </row>
    <row r="1549" spans="1:6" x14ac:dyDescent="0.2">
      <c r="A1549" s="1">
        <v>44970</v>
      </c>
      <c r="B1549" s="5" t="s">
        <v>6</v>
      </c>
      <c r="C1549" s="2">
        <v>1154</v>
      </c>
      <c r="D1549" s="2">
        <v>266</v>
      </c>
      <c r="E1549" s="3">
        <v>4621.41</v>
      </c>
      <c r="F1549" s="4" t="str">
        <f>IF(campaignData[[#This Row],[Campaign]]="Old_Campaign", "A", "B")</f>
        <v>B</v>
      </c>
    </row>
    <row r="1550" spans="1:6" x14ac:dyDescent="0.2">
      <c r="A1550" s="1">
        <v>44971</v>
      </c>
      <c r="B1550" s="5" t="s">
        <v>5</v>
      </c>
      <c r="C1550" s="2">
        <v>1210</v>
      </c>
      <c r="D1550" s="2">
        <v>202</v>
      </c>
      <c r="E1550" s="3">
        <v>2996.91</v>
      </c>
      <c r="F1550" s="4" t="str">
        <f>IF(campaignData[[#This Row],[Campaign]]="Old_Campaign", "A", "B")</f>
        <v>A</v>
      </c>
    </row>
    <row r="1551" spans="1:6" x14ac:dyDescent="0.2">
      <c r="A1551" s="1">
        <v>44971</v>
      </c>
      <c r="B1551" s="5" t="s">
        <v>6</v>
      </c>
      <c r="C1551" s="2">
        <v>1166</v>
      </c>
      <c r="D1551" s="2">
        <v>258</v>
      </c>
      <c r="E1551" s="3">
        <v>4639.45</v>
      </c>
      <c r="F1551" s="4" t="str">
        <f>IF(campaignData[[#This Row],[Campaign]]="Old_Campaign", "A", "B")</f>
        <v>B</v>
      </c>
    </row>
    <row r="1552" spans="1:6" x14ac:dyDescent="0.2">
      <c r="A1552" s="1">
        <v>44972</v>
      </c>
      <c r="B1552" s="5" t="s">
        <v>5</v>
      </c>
      <c r="C1552" s="2">
        <v>1192</v>
      </c>
      <c r="D1552" s="2">
        <v>216</v>
      </c>
      <c r="E1552" s="3">
        <v>2486.73</v>
      </c>
      <c r="F1552" s="4" t="str">
        <f>IF(campaignData[[#This Row],[Campaign]]="Old_Campaign", "A", "B")</f>
        <v>A</v>
      </c>
    </row>
    <row r="1553" spans="1:6" x14ac:dyDescent="0.2">
      <c r="A1553" s="1">
        <v>44972</v>
      </c>
      <c r="B1553" s="5" t="s">
        <v>6</v>
      </c>
      <c r="C1553" s="2">
        <v>1179</v>
      </c>
      <c r="D1553" s="2">
        <v>243</v>
      </c>
      <c r="E1553" s="3">
        <v>3964.22</v>
      </c>
      <c r="F1553" s="4" t="str">
        <f>IF(campaignData[[#This Row],[Campaign]]="Old_Campaign", "A", "B")</f>
        <v>B</v>
      </c>
    </row>
    <row r="1554" spans="1:6" x14ac:dyDescent="0.2">
      <c r="A1554" s="1">
        <v>44973</v>
      </c>
      <c r="B1554" s="5" t="s">
        <v>5</v>
      </c>
      <c r="C1554" s="2">
        <v>1198</v>
      </c>
      <c r="D1554" s="2">
        <v>238</v>
      </c>
      <c r="E1554" s="3">
        <v>3576.67</v>
      </c>
      <c r="F1554" s="4" t="str">
        <f>IF(campaignData[[#This Row],[Campaign]]="Old_Campaign", "A", "B")</f>
        <v>A</v>
      </c>
    </row>
    <row r="1555" spans="1:6" x14ac:dyDescent="0.2">
      <c r="A1555" s="1">
        <v>44973</v>
      </c>
      <c r="B1555" s="5" t="s">
        <v>6</v>
      </c>
      <c r="C1555" s="2">
        <v>1174</v>
      </c>
      <c r="D1555" s="2">
        <v>274</v>
      </c>
      <c r="E1555" s="3">
        <v>4692.96</v>
      </c>
      <c r="F1555" s="4" t="str">
        <f>IF(campaignData[[#This Row],[Campaign]]="Old_Campaign", "A", "B")</f>
        <v>B</v>
      </c>
    </row>
    <row r="1556" spans="1:6" x14ac:dyDescent="0.2">
      <c r="A1556" s="1">
        <v>44974</v>
      </c>
      <c r="B1556" s="5" t="s">
        <v>5</v>
      </c>
      <c r="C1556" s="2">
        <v>1191</v>
      </c>
      <c r="D1556" s="2">
        <v>235</v>
      </c>
      <c r="E1556" s="3">
        <v>3519.34</v>
      </c>
      <c r="F1556" s="4" t="str">
        <f>IF(campaignData[[#This Row],[Campaign]]="Old_Campaign", "A", "B")</f>
        <v>A</v>
      </c>
    </row>
    <row r="1557" spans="1:6" x14ac:dyDescent="0.2">
      <c r="A1557" s="1">
        <v>44974</v>
      </c>
      <c r="B1557" s="5" t="s">
        <v>6</v>
      </c>
      <c r="C1557" s="2">
        <v>1113</v>
      </c>
      <c r="D1557" s="2">
        <v>225</v>
      </c>
      <c r="E1557" s="3">
        <v>3095.65</v>
      </c>
      <c r="F1557" s="4" t="str">
        <f>IF(campaignData[[#This Row],[Campaign]]="Old_Campaign", "A", "B")</f>
        <v>B</v>
      </c>
    </row>
    <row r="1558" spans="1:6" x14ac:dyDescent="0.2">
      <c r="A1558" s="1">
        <v>44975</v>
      </c>
      <c r="B1558" s="5" t="s">
        <v>5</v>
      </c>
      <c r="C1558" s="2">
        <v>1216</v>
      </c>
      <c r="D1558" s="2">
        <v>228</v>
      </c>
      <c r="E1558" s="3">
        <v>3302.78</v>
      </c>
      <c r="F1558" s="4" t="str">
        <f>IF(campaignData[[#This Row],[Campaign]]="Old_Campaign", "A", "B")</f>
        <v>A</v>
      </c>
    </row>
    <row r="1559" spans="1:6" x14ac:dyDescent="0.2">
      <c r="A1559" s="1">
        <v>44975</v>
      </c>
      <c r="B1559" s="5" t="s">
        <v>6</v>
      </c>
      <c r="C1559" s="2">
        <v>1127</v>
      </c>
      <c r="D1559" s="2">
        <v>247</v>
      </c>
      <c r="E1559" s="3">
        <v>4089.11</v>
      </c>
      <c r="F1559" s="4" t="str">
        <f>IF(campaignData[[#This Row],[Campaign]]="Old_Campaign", "A", "B")</f>
        <v>B</v>
      </c>
    </row>
    <row r="1560" spans="1:6" x14ac:dyDescent="0.2">
      <c r="A1560" s="1">
        <v>44976</v>
      </c>
      <c r="B1560" s="5" t="s">
        <v>5</v>
      </c>
      <c r="C1560" s="2">
        <v>1096</v>
      </c>
      <c r="D1560" s="2">
        <v>214</v>
      </c>
      <c r="E1560" s="3">
        <v>3509.15</v>
      </c>
      <c r="F1560" s="4" t="str">
        <f>IF(campaignData[[#This Row],[Campaign]]="Old_Campaign", "A", "B")</f>
        <v>A</v>
      </c>
    </row>
    <row r="1561" spans="1:6" x14ac:dyDescent="0.2">
      <c r="A1561" s="1">
        <v>44976</v>
      </c>
      <c r="B1561" s="5" t="s">
        <v>6</v>
      </c>
      <c r="C1561" s="2">
        <v>1156</v>
      </c>
      <c r="D1561" s="2">
        <v>273</v>
      </c>
      <c r="E1561" s="3">
        <v>4024.55</v>
      </c>
      <c r="F1561" s="4" t="str">
        <f>IF(campaignData[[#This Row],[Campaign]]="Old_Campaign", "A", "B")</f>
        <v>B</v>
      </c>
    </row>
    <row r="1562" spans="1:6" x14ac:dyDescent="0.2">
      <c r="A1562" s="1">
        <v>44977</v>
      </c>
      <c r="B1562" s="5" t="s">
        <v>5</v>
      </c>
      <c r="C1562" s="2">
        <v>1151</v>
      </c>
      <c r="D1562" s="2">
        <v>209</v>
      </c>
      <c r="E1562" s="3">
        <v>3435.61</v>
      </c>
      <c r="F1562" s="4" t="str">
        <f>IF(campaignData[[#This Row],[Campaign]]="Old_Campaign", "A", "B")</f>
        <v>A</v>
      </c>
    </row>
    <row r="1563" spans="1:6" x14ac:dyDescent="0.2">
      <c r="A1563" s="1">
        <v>44977</v>
      </c>
      <c r="B1563" s="5" t="s">
        <v>6</v>
      </c>
      <c r="C1563" s="2">
        <v>1223</v>
      </c>
      <c r="D1563" s="2">
        <v>293</v>
      </c>
      <c r="E1563" s="3">
        <v>5754.39</v>
      </c>
      <c r="F1563" s="4" t="str">
        <f>IF(campaignData[[#This Row],[Campaign]]="Old_Campaign", "A", "B")</f>
        <v>B</v>
      </c>
    </row>
    <row r="1564" spans="1:6" x14ac:dyDescent="0.2">
      <c r="A1564" s="1">
        <v>44978</v>
      </c>
      <c r="B1564" s="5" t="s">
        <v>5</v>
      </c>
      <c r="C1564" s="2">
        <v>1266</v>
      </c>
      <c r="D1564" s="2">
        <v>242</v>
      </c>
      <c r="E1564" s="3">
        <v>3817.11</v>
      </c>
      <c r="F1564" s="4" t="str">
        <f>IF(campaignData[[#This Row],[Campaign]]="Old_Campaign", "A", "B")</f>
        <v>A</v>
      </c>
    </row>
    <row r="1565" spans="1:6" x14ac:dyDescent="0.2">
      <c r="A1565" s="1">
        <v>44978</v>
      </c>
      <c r="B1565" s="5" t="s">
        <v>6</v>
      </c>
      <c r="C1565" s="2">
        <v>1204</v>
      </c>
      <c r="D1565" s="2">
        <v>268</v>
      </c>
      <c r="E1565" s="3">
        <v>5016.58</v>
      </c>
      <c r="F1565" s="4" t="str">
        <f>IF(campaignData[[#This Row],[Campaign]]="Old_Campaign", "A", "B")</f>
        <v>B</v>
      </c>
    </row>
    <row r="1566" spans="1:6" x14ac:dyDescent="0.2">
      <c r="A1566" s="1">
        <v>44979</v>
      </c>
      <c r="B1566" s="5" t="s">
        <v>5</v>
      </c>
      <c r="C1566" s="2">
        <v>1204</v>
      </c>
      <c r="D1566" s="2">
        <v>240</v>
      </c>
      <c r="E1566" s="3">
        <v>3687.84</v>
      </c>
      <c r="F1566" s="4" t="str">
        <f>IF(campaignData[[#This Row],[Campaign]]="Old_Campaign", "A", "B")</f>
        <v>A</v>
      </c>
    </row>
    <row r="1567" spans="1:6" x14ac:dyDescent="0.2">
      <c r="A1567" s="1">
        <v>44979</v>
      </c>
      <c r="B1567" s="5" t="s">
        <v>6</v>
      </c>
      <c r="C1567" s="2">
        <v>1153</v>
      </c>
      <c r="D1567" s="2">
        <v>257</v>
      </c>
      <c r="E1567" s="3">
        <v>3683.18</v>
      </c>
      <c r="F1567" s="4" t="str">
        <f>IF(campaignData[[#This Row],[Campaign]]="Old_Campaign", "A", "B")</f>
        <v>B</v>
      </c>
    </row>
    <row r="1568" spans="1:6" x14ac:dyDescent="0.2">
      <c r="A1568" s="1">
        <v>44980</v>
      </c>
      <c r="B1568" s="5" t="s">
        <v>5</v>
      </c>
      <c r="C1568" s="2">
        <v>1188</v>
      </c>
      <c r="D1568" s="2">
        <v>241</v>
      </c>
      <c r="E1568" s="3">
        <v>3575.19</v>
      </c>
      <c r="F1568" s="4" t="str">
        <f>IF(campaignData[[#This Row],[Campaign]]="Old_Campaign", "A", "B")</f>
        <v>A</v>
      </c>
    </row>
    <row r="1569" spans="1:6" x14ac:dyDescent="0.2">
      <c r="A1569" s="1">
        <v>44980</v>
      </c>
      <c r="B1569" s="5" t="s">
        <v>6</v>
      </c>
      <c r="C1569" s="2">
        <v>1174</v>
      </c>
      <c r="D1569" s="2">
        <v>268</v>
      </c>
      <c r="E1569" s="3">
        <v>4700.7</v>
      </c>
      <c r="F1569" s="4" t="str">
        <f>IF(campaignData[[#This Row],[Campaign]]="Old_Campaign", "A", "B")</f>
        <v>B</v>
      </c>
    </row>
    <row r="1570" spans="1:6" x14ac:dyDescent="0.2">
      <c r="A1570" s="1">
        <v>44981</v>
      </c>
      <c r="B1570" s="5" t="s">
        <v>5</v>
      </c>
      <c r="C1570" s="2">
        <v>1200</v>
      </c>
      <c r="D1570" s="2">
        <v>223</v>
      </c>
      <c r="E1570" s="3">
        <v>3824.55</v>
      </c>
      <c r="F1570" s="4" t="str">
        <f>IF(campaignData[[#This Row],[Campaign]]="Old_Campaign", "A", "B")</f>
        <v>A</v>
      </c>
    </row>
    <row r="1571" spans="1:6" x14ac:dyDescent="0.2">
      <c r="A1571" s="1">
        <v>44981</v>
      </c>
      <c r="B1571" s="5" t="s">
        <v>6</v>
      </c>
      <c r="C1571" s="2">
        <v>1149</v>
      </c>
      <c r="D1571" s="2">
        <v>272</v>
      </c>
      <c r="E1571" s="3">
        <v>4921.72</v>
      </c>
      <c r="F1571" s="4" t="str">
        <f>IF(campaignData[[#This Row],[Campaign]]="Old_Campaign", "A", "B")</f>
        <v>B</v>
      </c>
    </row>
    <row r="1572" spans="1:6" x14ac:dyDescent="0.2">
      <c r="A1572" s="1">
        <v>44982</v>
      </c>
      <c r="B1572" s="5" t="s">
        <v>5</v>
      </c>
      <c r="C1572" s="2">
        <v>1167</v>
      </c>
      <c r="D1572" s="2">
        <v>207</v>
      </c>
      <c r="E1572" s="3">
        <v>2763.61</v>
      </c>
      <c r="F1572" s="4" t="str">
        <f>IF(campaignData[[#This Row],[Campaign]]="Old_Campaign", "A", "B")</f>
        <v>A</v>
      </c>
    </row>
    <row r="1573" spans="1:6" x14ac:dyDescent="0.2">
      <c r="A1573" s="1">
        <v>44982</v>
      </c>
      <c r="B1573" s="5" t="s">
        <v>6</v>
      </c>
      <c r="C1573" s="2">
        <v>1178</v>
      </c>
      <c r="D1573" s="2">
        <v>277</v>
      </c>
      <c r="E1573" s="3">
        <v>3845.42</v>
      </c>
      <c r="F1573" s="4" t="str">
        <f>IF(campaignData[[#This Row],[Campaign]]="Old_Campaign", "A", "B")</f>
        <v>B</v>
      </c>
    </row>
    <row r="1574" spans="1:6" x14ac:dyDescent="0.2">
      <c r="A1574" s="1">
        <v>44983</v>
      </c>
      <c r="B1574" s="5" t="s">
        <v>5</v>
      </c>
      <c r="C1574" s="2">
        <v>1230</v>
      </c>
      <c r="D1574" s="2">
        <v>238</v>
      </c>
      <c r="E1574" s="3">
        <v>4056.3</v>
      </c>
      <c r="F1574" s="4" t="str">
        <f>IF(campaignData[[#This Row],[Campaign]]="Old_Campaign", "A", "B")</f>
        <v>A</v>
      </c>
    </row>
    <row r="1575" spans="1:6" x14ac:dyDescent="0.2">
      <c r="A1575" s="1">
        <v>44983</v>
      </c>
      <c r="B1575" s="5" t="s">
        <v>6</v>
      </c>
      <c r="C1575" s="2">
        <v>1184</v>
      </c>
      <c r="D1575" s="2">
        <v>277</v>
      </c>
      <c r="E1575" s="3">
        <v>5227.75</v>
      </c>
      <c r="F1575" s="4" t="str">
        <f>IF(campaignData[[#This Row],[Campaign]]="Old_Campaign", "A", "B")</f>
        <v>B</v>
      </c>
    </row>
    <row r="1576" spans="1:6" x14ac:dyDescent="0.2">
      <c r="A1576" s="1">
        <v>44984</v>
      </c>
      <c r="B1576" s="5" t="s">
        <v>5</v>
      </c>
      <c r="C1576" s="2">
        <v>1158</v>
      </c>
      <c r="D1576" s="2">
        <v>219</v>
      </c>
      <c r="E1576" s="3">
        <v>2795.35</v>
      </c>
      <c r="F1576" s="4" t="str">
        <f>IF(campaignData[[#This Row],[Campaign]]="Old_Campaign", "A", "B")</f>
        <v>A</v>
      </c>
    </row>
    <row r="1577" spans="1:6" x14ac:dyDescent="0.2">
      <c r="A1577" s="1">
        <v>44984</v>
      </c>
      <c r="B1577" s="5" t="s">
        <v>6</v>
      </c>
      <c r="C1577" s="2">
        <v>1172</v>
      </c>
      <c r="D1577" s="2">
        <v>266</v>
      </c>
      <c r="E1577" s="3">
        <v>5074.8500000000004</v>
      </c>
      <c r="F1577" s="4" t="str">
        <f>IF(campaignData[[#This Row],[Campaign]]="Old_Campaign", "A", "B")</f>
        <v>B</v>
      </c>
    </row>
    <row r="1578" spans="1:6" x14ac:dyDescent="0.2">
      <c r="A1578" s="1">
        <v>44985</v>
      </c>
      <c r="B1578" s="5" t="s">
        <v>5</v>
      </c>
      <c r="C1578" s="2">
        <v>1192</v>
      </c>
      <c r="D1578" s="2">
        <v>214</v>
      </c>
      <c r="E1578" s="3">
        <v>3413.14</v>
      </c>
      <c r="F1578" s="4" t="str">
        <f>IF(campaignData[[#This Row],[Campaign]]="Old_Campaign", "A", "B")</f>
        <v>A</v>
      </c>
    </row>
    <row r="1579" spans="1:6" x14ac:dyDescent="0.2">
      <c r="A1579" s="1">
        <v>44985</v>
      </c>
      <c r="B1579" s="5" t="s">
        <v>6</v>
      </c>
      <c r="C1579" s="2">
        <v>1161</v>
      </c>
      <c r="D1579" s="2">
        <v>278</v>
      </c>
      <c r="E1579" s="3">
        <v>4841.42</v>
      </c>
      <c r="F1579" s="4" t="str">
        <f>IF(campaignData[[#This Row],[Campaign]]="Old_Campaign", "A", "B")</f>
        <v>B</v>
      </c>
    </row>
    <row r="1580" spans="1:6" x14ac:dyDescent="0.2">
      <c r="A1580" s="1">
        <v>44986</v>
      </c>
      <c r="B1580" s="5" t="s">
        <v>5</v>
      </c>
      <c r="C1580" s="2">
        <v>1201</v>
      </c>
      <c r="D1580" s="2">
        <v>235</v>
      </c>
      <c r="E1580" s="3">
        <v>3638.65</v>
      </c>
      <c r="F1580" s="4" t="str">
        <f>IF(campaignData[[#This Row],[Campaign]]="Old_Campaign", "A", "B")</f>
        <v>A</v>
      </c>
    </row>
    <row r="1581" spans="1:6" x14ac:dyDescent="0.2">
      <c r="A1581" s="1">
        <v>44986</v>
      </c>
      <c r="B1581" s="5" t="s">
        <v>6</v>
      </c>
      <c r="C1581" s="2">
        <v>1221</v>
      </c>
      <c r="D1581" s="2">
        <v>278</v>
      </c>
      <c r="E1581" s="3">
        <v>4615.58</v>
      </c>
      <c r="F1581" s="4" t="str">
        <f>IF(campaignData[[#This Row],[Campaign]]="Old_Campaign", "A", "B")</f>
        <v>B</v>
      </c>
    </row>
    <row r="1582" spans="1:6" x14ac:dyDescent="0.2">
      <c r="A1582" s="1">
        <v>44987</v>
      </c>
      <c r="B1582" s="5" t="s">
        <v>5</v>
      </c>
      <c r="C1582" s="2">
        <v>1240</v>
      </c>
      <c r="D1582" s="2">
        <v>228</v>
      </c>
      <c r="E1582" s="3">
        <v>3808.33</v>
      </c>
      <c r="F1582" s="4" t="str">
        <f>IF(campaignData[[#This Row],[Campaign]]="Old_Campaign", "A", "B")</f>
        <v>A</v>
      </c>
    </row>
    <row r="1583" spans="1:6" x14ac:dyDescent="0.2">
      <c r="A1583" s="1">
        <v>44987</v>
      </c>
      <c r="B1583" s="5" t="s">
        <v>6</v>
      </c>
      <c r="C1583" s="2">
        <v>1112</v>
      </c>
      <c r="D1583" s="2">
        <v>257</v>
      </c>
      <c r="E1583" s="3">
        <v>3644.42</v>
      </c>
      <c r="F1583" s="4" t="str">
        <f>IF(campaignData[[#This Row],[Campaign]]="Old_Campaign", "A", "B")</f>
        <v>B</v>
      </c>
    </row>
    <row r="1584" spans="1:6" x14ac:dyDescent="0.2">
      <c r="A1584" s="1">
        <v>44988</v>
      </c>
      <c r="B1584" s="5" t="s">
        <v>5</v>
      </c>
      <c r="C1584" s="2">
        <v>1221</v>
      </c>
      <c r="D1584" s="2">
        <v>252</v>
      </c>
      <c r="E1584" s="3">
        <v>3526.55</v>
      </c>
      <c r="F1584" s="4" t="str">
        <f>IF(campaignData[[#This Row],[Campaign]]="Old_Campaign", "A", "B")</f>
        <v>A</v>
      </c>
    </row>
    <row r="1585" spans="1:6" x14ac:dyDescent="0.2">
      <c r="A1585" s="1">
        <v>44988</v>
      </c>
      <c r="B1585" s="5" t="s">
        <v>6</v>
      </c>
      <c r="C1585" s="2">
        <v>1165</v>
      </c>
      <c r="D1585" s="2">
        <v>252</v>
      </c>
      <c r="E1585" s="3">
        <v>4626.1499999999996</v>
      </c>
      <c r="F1585" s="4" t="str">
        <f>IF(campaignData[[#This Row],[Campaign]]="Old_Campaign", "A", "B")</f>
        <v>B</v>
      </c>
    </row>
    <row r="1586" spans="1:6" x14ac:dyDescent="0.2">
      <c r="A1586" s="1">
        <v>44989</v>
      </c>
      <c r="B1586" s="5" t="s">
        <v>5</v>
      </c>
      <c r="C1586" s="2">
        <v>1212</v>
      </c>
      <c r="D1586" s="2">
        <v>213</v>
      </c>
      <c r="E1586" s="3">
        <v>2871.38</v>
      </c>
      <c r="F1586" s="4" t="str">
        <f>IF(campaignData[[#This Row],[Campaign]]="Old_Campaign", "A", "B")</f>
        <v>A</v>
      </c>
    </row>
    <row r="1587" spans="1:6" x14ac:dyDescent="0.2">
      <c r="A1587" s="1">
        <v>44989</v>
      </c>
      <c r="B1587" s="5" t="s">
        <v>6</v>
      </c>
      <c r="C1587" s="2">
        <v>1134</v>
      </c>
      <c r="D1587" s="2">
        <v>260</v>
      </c>
      <c r="E1587" s="3">
        <v>4505.1000000000004</v>
      </c>
      <c r="F1587" s="4" t="str">
        <f>IF(campaignData[[#This Row],[Campaign]]="Old_Campaign", "A", "B")</f>
        <v>B</v>
      </c>
    </row>
    <row r="1588" spans="1:6" x14ac:dyDescent="0.2">
      <c r="A1588" s="1">
        <v>44990</v>
      </c>
      <c r="B1588" s="5" t="s">
        <v>5</v>
      </c>
      <c r="C1588" s="2">
        <v>1189</v>
      </c>
      <c r="D1588" s="2">
        <v>226</v>
      </c>
      <c r="E1588" s="3">
        <v>3212.17</v>
      </c>
      <c r="F1588" s="4" t="str">
        <f>IF(campaignData[[#This Row],[Campaign]]="Old_Campaign", "A", "B")</f>
        <v>A</v>
      </c>
    </row>
    <row r="1589" spans="1:6" x14ac:dyDescent="0.2">
      <c r="A1589" s="1">
        <v>44990</v>
      </c>
      <c r="B1589" s="5" t="s">
        <v>6</v>
      </c>
      <c r="C1589" s="2">
        <v>1167</v>
      </c>
      <c r="D1589" s="2">
        <v>242</v>
      </c>
      <c r="E1589" s="3">
        <v>2947.95</v>
      </c>
      <c r="F1589" s="4" t="str">
        <f>IF(campaignData[[#This Row],[Campaign]]="Old_Campaign", "A", "B")</f>
        <v>B</v>
      </c>
    </row>
    <row r="1590" spans="1:6" x14ac:dyDescent="0.2">
      <c r="A1590" s="1">
        <v>44991</v>
      </c>
      <c r="B1590" s="5" t="s">
        <v>5</v>
      </c>
      <c r="C1590" s="2">
        <v>1227</v>
      </c>
      <c r="D1590" s="2">
        <v>228</v>
      </c>
      <c r="E1590" s="3">
        <v>3306.47</v>
      </c>
      <c r="F1590" s="4" t="str">
        <f>IF(campaignData[[#This Row],[Campaign]]="Old_Campaign", "A", "B")</f>
        <v>A</v>
      </c>
    </row>
    <row r="1591" spans="1:6" x14ac:dyDescent="0.2">
      <c r="A1591" s="1">
        <v>44991</v>
      </c>
      <c r="B1591" s="5" t="s">
        <v>6</v>
      </c>
      <c r="C1591" s="2">
        <v>1091</v>
      </c>
      <c r="D1591" s="2">
        <v>260</v>
      </c>
      <c r="E1591" s="3">
        <v>4323.3500000000004</v>
      </c>
      <c r="F1591" s="4" t="str">
        <f>IF(campaignData[[#This Row],[Campaign]]="Old_Campaign", "A", "B")</f>
        <v>B</v>
      </c>
    </row>
    <row r="1592" spans="1:6" x14ac:dyDescent="0.2">
      <c r="A1592" s="1">
        <v>44992</v>
      </c>
      <c r="B1592" s="5" t="s">
        <v>5</v>
      </c>
      <c r="C1592" s="2">
        <v>1242</v>
      </c>
      <c r="D1592" s="2">
        <v>235</v>
      </c>
      <c r="E1592" s="3">
        <v>2910.35</v>
      </c>
      <c r="F1592" s="4" t="str">
        <f>IF(campaignData[[#This Row],[Campaign]]="Old_Campaign", "A", "B")</f>
        <v>A</v>
      </c>
    </row>
    <row r="1593" spans="1:6" x14ac:dyDescent="0.2">
      <c r="A1593" s="1">
        <v>44992</v>
      </c>
      <c r="B1593" s="5" t="s">
        <v>6</v>
      </c>
      <c r="C1593" s="2">
        <v>1128</v>
      </c>
      <c r="D1593" s="2">
        <v>259</v>
      </c>
      <c r="E1593" s="3">
        <v>3965.24</v>
      </c>
      <c r="F1593" s="4" t="str">
        <f>IF(campaignData[[#This Row],[Campaign]]="Old_Campaign", "A", "B")</f>
        <v>B</v>
      </c>
    </row>
    <row r="1594" spans="1:6" x14ac:dyDescent="0.2">
      <c r="A1594" s="1">
        <v>44993</v>
      </c>
      <c r="B1594" s="5" t="s">
        <v>5</v>
      </c>
      <c r="C1594" s="2">
        <v>1232</v>
      </c>
      <c r="D1594" s="2">
        <v>213</v>
      </c>
      <c r="E1594" s="3">
        <v>3148.2</v>
      </c>
      <c r="F1594" s="4" t="str">
        <f>IF(campaignData[[#This Row],[Campaign]]="Old_Campaign", "A", "B")</f>
        <v>A</v>
      </c>
    </row>
    <row r="1595" spans="1:6" x14ac:dyDescent="0.2">
      <c r="A1595" s="1">
        <v>44993</v>
      </c>
      <c r="B1595" s="5" t="s">
        <v>6</v>
      </c>
      <c r="C1595" s="2">
        <v>1170</v>
      </c>
      <c r="D1595" s="2">
        <v>286</v>
      </c>
      <c r="E1595" s="3">
        <v>4470.7</v>
      </c>
      <c r="F1595" s="4" t="str">
        <f>IF(campaignData[[#This Row],[Campaign]]="Old_Campaign", "A", "B")</f>
        <v>B</v>
      </c>
    </row>
    <row r="1596" spans="1:6" x14ac:dyDescent="0.2">
      <c r="A1596" s="1">
        <v>44994</v>
      </c>
      <c r="B1596" s="5" t="s">
        <v>5</v>
      </c>
      <c r="C1596" s="2">
        <v>1208</v>
      </c>
      <c r="D1596" s="2">
        <v>228</v>
      </c>
      <c r="E1596" s="3">
        <v>3316.51</v>
      </c>
      <c r="F1596" s="4" t="str">
        <f>IF(campaignData[[#This Row],[Campaign]]="Old_Campaign", "A", "B")</f>
        <v>A</v>
      </c>
    </row>
    <row r="1597" spans="1:6" x14ac:dyDescent="0.2">
      <c r="A1597" s="1">
        <v>44994</v>
      </c>
      <c r="B1597" s="5" t="s">
        <v>6</v>
      </c>
      <c r="C1597" s="2">
        <v>1146</v>
      </c>
      <c r="D1597" s="2">
        <v>253</v>
      </c>
      <c r="E1597" s="3">
        <v>4250.3999999999996</v>
      </c>
      <c r="F1597" s="4" t="str">
        <f>IF(campaignData[[#This Row],[Campaign]]="Old_Campaign", "A", "B")</f>
        <v>B</v>
      </c>
    </row>
    <row r="1598" spans="1:6" x14ac:dyDescent="0.2">
      <c r="A1598" s="1">
        <v>44995</v>
      </c>
      <c r="B1598" s="5" t="s">
        <v>5</v>
      </c>
      <c r="C1598" s="2">
        <v>1188</v>
      </c>
      <c r="D1598" s="2">
        <v>214</v>
      </c>
      <c r="E1598" s="3">
        <v>3026.68</v>
      </c>
      <c r="F1598" s="4" t="str">
        <f>IF(campaignData[[#This Row],[Campaign]]="Old_Campaign", "A", "B")</f>
        <v>A</v>
      </c>
    </row>
    <row r="1599" spans="1:6" x14ac:dyDescent="0.2">
      <c r="A1599" s="1">
        <v>44995</v>
      </c>
      <c r="B1599" s="5" t="s">
        <v>6</v>
      </c>
      <c r="C1599" s="2">
        <v>1169</v>
      </c>
      <c r="D1599" s="2">
        <v>285</v>
      </c>
      <c r="E1599" s="3">
        <v>4554.03</v>
      </c>
      <c r="F1599" s="4" t="str">
        <f>IF(campaignData[[#This Row],[Campaign]]="Old_Campaign", "A", "B")</f>
        <v>B</v>
      </c>
    </row>
    <row r="1600" spans="1:6" x14ac:dyDescent="0.2">
      <c r="A1600" s="1">
        <v>44996</v>
      </c>
      <c r="B1600" s="5" t="s">
        <v>5</v>
      </c>
      <c r="C1600" s="2">
        <v>1162</v>
      </c>
      <c r="D1600" s="2">
        <v>216</v>
      </c>
      <c r="E1600" s="3">
        <v>3257.16</v>
      </c>
      <c r="F1600" s="4" t="str">
        <f>IF(campaignData[[#This Row],[Campaign]]="Old_Campaign", "A", "B")</f>
        <v>A</v>
      </c>
    </row>
    <row r="1601" spans="1:6" x14ac:dyDescent="0.2">
      <c r="A1601" s="1">
        <v>44996</v>
      </c>
      <c r="B1601" s="5" t="s">
        <v>6</v>
      </c>
      <c r="C1601" s="2">
        <v>1111</v>
      </c>
      <c r="D1601" s="2">
        <v>248</v>
      </c>
      <c r="E1601" s="3">
        <v>3262.25</v>
      </c>
      <c r="F1601" s="4" t="str">
        <f>IF(campaignData[[#This Row],[Campaign]]="Old_Campaign", "A", "B")</f>
        <v>B</v>
      </c>
    </row>
    <row r="1602" spans="1:6" x14ac:dyDescent="0.2">
      <c r="A1602" s="1">
        <v>44997</v>
      </c>
      <c r="B1602" s="5" t="s">
        <v>5</v>
      </c>
      <c r="C1602" s="2">
        <v>1197</v>
      </c>
      <c r="D1602" s="2">
        <v>245</v>
      </c>
      <c r="E1602" s="3">
        <v>4539.8100000000004</v>
      </c>
      <c r="F1602" s="4" t="str">
        <f>IF(campaignData[[#This Row],[Campaign]]="Old_Campaign", "A", "B")</f>
        <v>A</v>
      </c>
    </row>
    <row r="1603" spans="1:6" x14ac:dyDescent="0.2">
      <c r="A1603" s="1">
        <v>44997</v>
      </c>
      <c r="B1603" s="5" t="s">
        <v>6</v>
      </c>
      <c r="C1603" s="2">
        <v>1210</v>
      </c>
      <c r="D1603" s="2">
        <v>292</v>
      </c>
      <c r="E1603" s="3">
        <v>6302.65</v>
      </c>
      <c r="F1603" s="4" t="str">
        <f>IF(campaignData[[#This Row],[Campaign]]="Old_Campaign", "A", "B")</f>
        <v>B</v>
      </c>
    </row>
    <row r="1604" spans="1:6" x14ac:dyDescent="0.2">
      <c r="A1604" s="1">
        <v>44998</v>
      </c>
      <c r="B1604" s="5" t="s">
        <v>5</v>
      </c>
      <c r="C1604" s="2">
        <v>1277</v>
      </c>
      <c r="D1604" s="2">
        <v>231</v>
      </c>
      <c r="E1604" s="3">
        <v>4036.58</v>
      </c>
      <c r="F1604" s="4" t="str">
        <f>IF(campaignData[[#This Row],[Campaign]]="Old_Campaign", "A", "B")</f>
        <v>A</v>
      </c>
    </row>
    <row r="1605" spans="1:6" x14ac:dyDescent="0.2">
      <c r="A1605" s="1">
        <v>44998</v>
      </c>
      <c r="B1605" s="5" t="s">
        <v>6</v>
      </c>
      <c r="C1605" s="2">
        <v>1186</v>
      </c>
      <c r="D1605" s="2">
        <v>253</v>
      </c>
      <c r="E1605" s="3">
        <v>3919.24</v>
      </c>
      <c r="F1605" s="4" t="str">
        <f>IF(campaignData[[#This Row],[Campaign]]="Old_Campaign", "A", "B")</f>
        <v>B</v>
      </c>
    </row>
    <row r="1606" spans="1:6" x14ac:dyDescent="0.2">
      <c r="A1606" s="1">
        <v>44999</v>
      </c>
      <c r="B1606" s="5" t="s">
        <v>5</v>
      </c>
      <c r="C1606" s="2">
        <v>1179</v>
      </c>
      <c r="D1606" s="2">
        <v>214</v>
      </c>
      <c r="E1606" s="3">
        <v>2946.02</v>
      </c>
      <c r="F1606" s="4" t="str">
        <f>IF(campaignData[[#This Row],[Campaign]]="Old_Campaign", "A", "B")</f>
        <v>A</v>
      </c>
    </row>
    <row r="1607" spans="1:6" x14ac:dyDescent="0.2">
      <c r="A1607" s="1">
        <v>44999</v>
      </c>
      <c r="B1607" s="5" t="s">
        <v>6</v>
      </c>
      <c r="C1607" s="2">
        <v>1148</v>
      </c>
      <c r="D1607" s="2">
        <v>294</v>
      </c>
      <c r="E1607" s="3">
        <v>3911.38</v>
      </c>
      <c r="F1607" s="4" t="str">
        <f>IF(campaignData[[#This Row],[Campaign]]="Old_Campaign", "A", "B")</f>
        <v>B</v>
      </c>
    </row>
    <row r="1608" spans="1:6" x14ac:dyDescent="0.2">
      <c r="A1608" s="1">
        <v>45000</v>
      </c>
      <c r="B1608" s="5" t="s">
        <v>5</v>
      </c>
      <c r="C1608" s="2">
        <v>1182</v>
      </c>
      <c r="D1608" s="2">
        <v>226</v>
      </c>
      <c r="E1608" s="3">
        <v>3243.98</v>
      </c>
      <c r="F1608" s="4" t="str">
        <f>IF(campaignData[[#This Row],[Campaign]]="Old_Campaign", "A", "B")</f>
        <v>A</v>
      </c>
    </row>
    <row r="1609" spans="1:6" x14ac:dyDescent="0.2">
      <c r="A1609" s="1">
        <v>45000</v>
      </c>
      <c r="B1609" s="5" t="s">
        <v>6</v>
      </c>
      <c r="C1609" s="2">
        <v>1192</v>
      </c>
      <c r="D1609" s="2">
        <v>266</v>
      </c>
      <c r="E1609" s="3">
        <v>4060.63</v>
      </c>
      <c r="F1609" s="4" t="str">
        <f>IF(campaignData[[#This Row],[Campaign]]="Old_Campaign", "A", "B")</f>
        <v>B</v>
      </c>
    </row>
    <row r="1610" spans="1:6" x14ac:dyDescent="0.2">
      <c r="A1610" s="1">
        <v>45001</v>
      </c>
      <c r="B1610" s="5" t="s">
        <v>5</v>
      </c>
      <c r="C1610" s="2">
        <v>1216</v>
      </c>
      <c r="D1610" s="2">
        <v>212</v>
      </c>
      <c r="E1610" s="3">
        <v>3139.58</v>
      </c>
      <c r="F1610" s="4" t="str">
        <f>IF(campaignData[[#This Row],[Campaign]]="Old_Campaign", "A", "B")</f>
        <v>A</v>
      </c>
    </row>
    <row r="1611" spans="1:6" x14ac:dyDescent="0.2">
      <c r="A1611" s="1">
        <v>45001</v>
      </c>
      <c r="B1611" s="5" t="s">
        <v>6</v>
      </c>
      <c r="C1611" s="2">
        <v>1211</v>
      </c>
      <c r="D1611" s="2">
        <v>290</v>
      </c>
      <c r="E1611" s="3">
        <v>5643.59</v>
      </c>
      <c r="F1611" s="4" t="str">
        <f>IF(campaignData[[#This Row],[Campaign]]="Old_Campaign", "A", "B")</f>
        <v>B</v>
      </c>
    </row>
    <row r="1612" spans="1:6" x14ac:dyDescent="0.2">
      <c r="A1612" s="1">
        <v>45002</v>
      </c>
      <c r="B1612" s="5" t="s">
        <v>5</v>
      </c>
      <c r="C1612" s="2">
        <v>1197</v>
      </c>
      <c r="D1612" s="2">
        <v>246</v>
      </c>
      <c r="E1612" s="3">
        <v>3415.07</v>
      </c>
      <c r="F1612" s="4" t="str">
        <f>IF(campaignData[[#This Row],[Campaign]]="Old_Campaign", "A", "B")</f>
        <v>A</v>
      </c>
    </row>
    <row r="1613" spans="1:6" x14ac:dyDescent="0.2">
      <c r="A1613" s="1">
        <v>45002</v>
      </c>
      <c r="B1613" s="5" t="s">
        <v>6</v>
      </c>
      <c r="C1613" s="2">
        <v>1102</v>
      </c>
      <c r="D1613" s="2">
        <v>257</v>
      </c>
      <c r="E1613" s="3">
        <v>3951.6</v>
      </c>
      <c r="F1613" s="4" t="str">
        <f>IF(campaignData[[#This Row],[Campaign]]="Old_Campaign", "A", "B")</f>
        <v>B</v>
      </c>
    </row>
    <row r="1614" spans="1:6" x14ac:dyDescent="0.2">
      <c r="A1614" s="1">
        <v>45003</v>
      </c>
      <c r="B1614" s="5" t="s">
        <v>5</v>
      </c>
      <c r="C1614" s="2">
        <v>1252</v>
      </c>
      <c r="D1614" s="2">
        <v>233</v>
      </c>
      <c r="E1614" s="3">
        <v>3371.81</v>
      </c>
      <c r="F1614" s="4" t="str">
        <f>IF(campaignData[[#This Row],[Campaign]]="Old_Campaign", "A", "B")</f>
        <v>A</v>
      </c>
    </row>
    <row r="1615" spans="1:6" x14ac:dyDescent="0.2">
      <c r="A1615" s="1">
        <v>45003</v>
      </c>
      <c r="B1615" s="5" t="s">
        <v>6</v>
      </c>
      <c r="C1615" s="2">
        <v>1150</v>
      </c>
      <c r="D1615" s="2">
        <v>274</v>
      </c>
      <c r="E1615" s="3">
        <v>3959.74</v>
      </c>
      <c r="F1615" s="4" t="str">
        <f>IF(campaignData[[#This Row],[Campaign]]="Old_Campaign", "A", "B")</f>
        <v>B</v>
      </c>
    </row>
    <row r="1616" spans="1:6" x14ac:dyDescent="0.2">
      <c r="A1616" s="1">
        <v>45004</v>
      </c>
      <c r="B1616" s="5" t="s">
        <v>5</v>
      </c>
      <c r="C1616" s="2">
        <v>1215</v>
      </c>
      <c r="D1616" s="2">
        <v>240</v>
      </c>
      <c r="E1616" s="3">
        <v>4428.33</v>
      </c>
      <c r="F1616" s="4" t="str">
        <f>IF(campaignData[[#This Row],[Campaign]]="Old_Campaign", "A", "B")</f>
        <v>A</v>
      </c>
    </row>
    <row r="1617" spans="1:6" x14ac:dyDescent="0.2">
      <c r="A1617" s="1">
        <v>45004</v>
      </c>
      <c r="B1617" s="5" t="s">
        <v>6</v>
      </c>
      <c r="C1617" s="2">
        <v>1155</v>
      </c>
      <c r="D1617" s="2">
        <v>268</v>
      </c>
      <c r="E1617" s="3">
        <v>4353.3100000000004</v>
      </c>
      <c r="F1617" s="4" t="str">
        <f>IF(campaignData[[#This Row],[Campaign]]="Old_Campaign", "A", "B")</f>
        <v>B</v>
      </c>
    </row>
    <row r="1618" spans="1:6" x14ac:dyDescent="0.2">
      <c r="A1618" s="1">
        <v>45005</v>
      </c>
      <c r="B1618" s="5" t="s">
        <v>5</v>
      </c>
      <c r="C1618" s="2">
        <v>1144</v>
      </c>
      <c r="D1618" s="2">
        <v>224</v>
      </c>
      <c r="E1618" s="3">
        <v>4141.7</v>
      </c>
      <c r="F1618" s="4" t="str">
        <f>IF(campaignData[[#This Row],[Campaign]]="Old_Campaign", "A", "B")</f>
        <v>A</v>
      </c>
    </row>
    <row r="1619" spans="1:6" x14ac:dyDescent="0.2">
      <c r="A1619" s="1">
        <v>45005</v>
      </c>
      <c r="B1619" s="5" t="s">
        <v>6</v>
      </c>
      <c r="C1619" s="2">
        <v>1090</v>
      </c>
      <c r="D1619" s="2">
        <v>270</v>
      </c>
      <c r="E1619" s="3">
        <v>5618.61</v>
      </c>
      <c r="F1619" s="4" t="str">
        <f>IF(campaignData[[#This Row],[Campaign]]="Old_Campaign", "A", "B")</f>
        <v>B</v>
      </c>
    </row>
    <row r="1620" spans="1:6" x14ac:dyDescent="0.2">
      <c r="A1620" s="1">
        <v>45006</v>
      </c>
      <c r="B1620" s="5" t="s">
        <v>5</v>
      </c>
      <c r="C1620" s="2">
        <v>1197</v>
      </c>
      <c r="D1620" s="2">
        <v>238</v>
      </c>
      <c r="E1620" s="3">
        <v>4039.05</v>
      </c>
      <c r="F1620" s="4" t="str">
        <f>IF(campaignData[[#This Row],[Campaign]]="Old_Campaign", "A", "B")</f>
        <v>A</v>
      </c>
    </row>
    <row r="1621" spans="1:6" x14ac:dyDescent="0.2">
      <c r="A1621" s="1">
        <v>45006</v>
      </c>
      <c r="B1621" s="5" t="s">
        <v>6</v>
      </c>
      <c r="C1621" s="2">
        <v>1218</v>
      </c>
      <c r="D1621" s="2">
        <v>270</v>
      </c>
      <c r="E1621" s="3">
        <v>3463.64</v>
      </c>
      <c r="F1621" s="4" t="str">
        <f>IF(campaignData[[#This Row],[Campaign]]="Old_Campaign", "A", "B")</f>
        <v>B</v>
      </c>
    </row>
    <row r="1622" spans="1:6" x14ac:dyDescent="0.2">
      <c r="A1622" s="1">
        <v>45007</v>
      </c>
      <c r="B1622" s="5" t="s">
        <v>5</v>
      </c>
      <c r="C1622" s="2">
        <v>1250</v>
      </c>
      <c r="D1622" s="2">
        <v>264</v>
      </c>
      <c r="E1622" s="3">
        <v>4496.41</v>
      </c>
      <c r="F1622" s="4" t="str">
        <f>IF(campaignData[[#This Row],[Campaign]]="Old_Campaign", "A", "B")</f>
        <v>A</v>
      </c>
    </row>
    <row r="1623" spans="1:6" x14ac:dyDescent="0.2">
      <c r="A1623" s="1">
        <v>45007</v>
      </c>
      <c r="B1623" s="5" t="s">
        <v>6</v>
      </c>
      <c r="C1623" s="2">
        <v>1142</v>
      </c>
      <c r="D1623" s="2">
        <v>267</v>
      </c>
      <c r="E1623" s="3">
        <v>4056.6</v>
      </c>
      <c r="F1623" s="4" t="str">
        <f>IF(campaignData[[#This Row],[Campaign]]="Old_Campaign", "A", "B")</f>
        <v>B</v>
      </c>
    </row>
    <row r="1624" spans="1:6" x14ac:dyDescent="0.2">
      <c r="A1624" s="1">
        <v>45008</v>
      </c>
      <c r="B1624" s="5" t="s">
        <v>5</v>
      </c>
      <c r="C1624" s="2">
        <v>1165</v>
      </c>
      <c r="D1624" s="2">
        <v>223</v>
      </c>
      <c r="E1624" s="3">
        <v>3016.72</v>
      </c>
      <c r="F1624" s="4" t="str">
        <f>IF(campaignData[[#This Row],[Campaign]]="Old_Campaign", "A", "B")</f>
        <v>A</v>
      </c>
    </row>
    <row r="1625" spans="1:6" x14ac:dyDescent="0.2">
      <c r="A1625" s="1">
        <v>45008</v>
      </c>
      <c r="B1625" s="5" t="s">
        <v>6</v>
      </c>
      <c r="C1625" s="2">
        <v>1109</v>
      </c>
      <c r="D1625" s="2">
        <v>249</v>
      </c>
      <c r="E1625" s="3">
        <v>3829.15</v>
      </c>
      <c r="F1625" s="4" t="str">
        <f>IF(campaignData[[#This Row],[Campaign]]="Old_Campaign", "A", "B")</f>
        <v>B</v>
      </c>
    </row>
    <row r="1626" spans="1:6" x14ac:dyDescent="0.2">
      <c r="A1626" s="1">
        <v>45009</v>
      </c>
      <c r="B1626" s="5" t="s">
        <v>5</v>
      </c>
      <c r="C1626" s="2">
        <v>1152</v>
      </c>
      <c r="D1626" s="2">
        <v>210</v>
      </c>
      <c r="E1626" s="3">
        <v>3594.43</v>
      </c>
      <c r="F1626" s="4" t="str">
        <f>IF(campaignData[[#This Row],[Campaign]]="Old_Campaign", "A", "B")</f>
        <v>A</v>
      </c>
    </row>
    <row r="1627" spans="1:6" x14ac:dyDescent="0.2">
      <c r="A1627" s="1">
        <v>45009</v>
      </c>
      <c r="B1627" s="5" t="s">
        <v>6</v>
      </c>
      <c r="C1627" s="2">
        <v>1100</v>
      </c>
      <c r="D1627" s="2">
        <v>261</v>
      </c>
      <c r="E1627" s="3">
        <v>4421.6099999999997</v>
      </c>
      <c r="F1627" s="4" t="str">
        <f>IF(campaignData[[#This Row],[Campaign]]="Old_Campaign", "A", "B")</f>
        <v>B</v>
      </c>
    </row>
    <row r="1628" spans="1:6" x14ac:dyDescent="0.2">
      <c r="A1628" s="1">
        <v>45010</v>
      </c>
      <c r="B1628" s="5" t="s">
        <v>5</v>
      </c>
      <c r="C1628" s="2">
        <v>1219</v>
      </c>
      <c r="D1628" s="2">
        <v>238</v>
      </c>
      <c r="E1628" s="3">
        <v>3977.08</v>
      </c>
      <c r="F1628" s="4" t="str">
        <f>IF(campaignData[[#This Row],[Campaign]]="Old_Campaign", "A", "B")</f>
        <v>A</v>
      </c>
    </row>
    <row r="1629" spans="1:6" x14ac:dyDescent="0.2">
      <c r="A1629" s="1">
        <v>45010</v>
      </c>
      <c r="B1629" s="5" t="s">
        <v>6</v>
      </c>
      <c r="C1629" s="2">
        <v>1150</v>
      </c>
      <c r="D1629" s="2">
        <v>278</v>
      </c>
      <c r="E1629" s="3">
        <v>4594.95</v>
      </c>
      <c r="F1629" s="4" t="str">
        <f>IF(campaignData[[#This Row],[Campaign]]="Old_Campaign", "A", "B")</f>
        <v>B</v>
      </c>
    </row>
    <row r="1630" spans="1:6" x14ac:dyDescent="0.2">
      <c r="A1630" s="1">
        <v>45011</v>
      </c>
      <c r="B1630" s="5" t="s">
        <v>5</v>
      </c>
      <c r="C1630" s="2">
        <v>1131</v>
      </c>
      <c r="D1630" s="2">
        <v>222</v>
      </c>
      <c r="E1630" s="3">
        <v>3761.77</v>
      </c>
      <c r="F1630" s="4" t="str">
        <f>IF(campaignData[[#This Row],[Campaign]]="Old_Campaign", "A", "B")</f>
        <v>A</v>
      </c>
    </row>
    <row r="1631" spans="1:6" x14ac:dyDescent="0.2">
      <c r="A1631" s="1">
        <v>45011</v>
      </c>
      <c r="B1631" s="5" t="s">
        <v>6</v>
      </c>
      <c r="C1631" s="2">
        <v>1074</v>
      </c>
      <c r="D1631" s="2">
        <v>244</v>
      </c>
      <c r="E1631" s="3">
        <v>4329.92</v>
      </c>
      <c r="F1631" s="4" t="str">
        <f>IF(campaignData[[#This Row],[Campaign]]="Old_Campaign", "A", "B")</f>
        <v>B</v>
      </c>
    </row>
    <row r="1632" spans="1:6" x14ac:dyDescent="0.2">
      <c r="A1632" s="1">
        <v>45012</v>
      </c>
      <c r="B1632" s="5" t="s">
        <v>5</v>
      </c>
      <c r="C1632" s="2">
        <v>1158</v>
      </c>
      <c r="D1632" s="2">
        <v>193</v>
      </c>
      <c r="E1632" s="3">
        <v>2756.66</v>
      </c>
      <c r="F1632" s="4" t="str">
        <f>IF(campaignData[[#This Row],[Campaign]]="Old_Campaign", "A", "B")</f>
        <v>A</v>
      </c>
    </row>
    <row r="1633" spans="1:6" x14ac:dyDescent="0.2">
      <c r="A1633" s="1">
        <v>45012</v>
      </c>
      <c r="B1633" s="5" t="s">
        <v>6</v>
      </c>
      <c r="C1633" s="2">
        <v>1136</v>
      </c>
      <c r="D1633" s="2">
        <v>279</v>
      </c>
      <c r="E1633" s="3">
        <v>3780.45</v>
      </c>
      <c r="F1633" s="4" t="str">
        <f>IF(campaignData[[#This Row],[Campaign]]="Old_Campaign", "A", "B")</f>
        <v>B</v>
      </c>
    </row>
    <row r="1634" spans="1:6" x14ac:dyDescent="0.2">
      <c r="A1634" s="1">
        <v>45013</v>
      </c>
      <c r="B1634" s="5" t="s">
        <v>5</v>
      </c>
      <c r="C1634" s="2">
        <v>1225</v>
      </c>
      <c r="D1634" s="2">
        <v>233</v>
      </c>
      <c r="E1634" s="3">
        <v>2491.7399999999998</v>
      </c>
      <c r="F1634" s="4" t="str">
        <f>IF(campaignData[[#This Row],[Campaign]]="Old_Campaign", "A", "B")</f>
        <v>A</v>
      </c>
    </row>
    <row r="1635" spans="1:6" x14ac:dyDescent="0.2">
      <c r="A1635" s="1">
        <v>45013</v>
      </c>
      <c r="B1635" s="5" t="s">
        <v>6</v>
      </c>
      <c r="C1635" s="2">
        <v>1123</v>
      </c>
      <c r="D1635" s="2">
        <v>238</v>
      </c>
      <c r="E1635" s="3">
        <v>3793.35</v>
      </c>
      <c r="F1635" s="4" t="str">
        <f>IF(campaignData[[#This Row],[Campaign]]="Old_Campaign", "A", "B")</f>
        <v>B</v>
      </c>
    </row>
    <row r="1636" spans="1:6" x14ac:dyDescent="0.2">
      <c r="A1636" s="1">
        <v>45014</v>
      </c>
      <c r="B1636" s="5" t="s">
        <v>5</v>
      </c>
      <c r="C1636" s="2">
        <v>1163</v>
      </c>
      <c r="D1636" s="2">
        <v>227</v>
      </c>
      <c r="E1636" s="3">
        <v>3705.79</v>
      </c>
      <c r="F1636" s="4" t="str">
        <f>IF(campaignData[[#This Row],[Campaign]]="Old_Campaign", "A", "B")</f>
        <v>A</v>
      </c>
    </row>
    <row r="1637" spans="1:6" x14ac:dyDescent="0.2">
      <c r="A1637" s="1">
        <v>45014</v>
      </c>
      <c r="B1637" s="5" t="s">
        <v>6</v>
      </c>
      <c r="C1637" s="2">
        <v>1170</v>
      </c>
      <c r="D1637" s="2">
        <v>292</v>
      </c>
      <c r="E1637" s="3">
        <v>4191.45</v>
      </c>
      <c r="F1637" s="4" t="str">
        <f>IF(campaignData[[#This Row],[Campaign]]="Old_Campaign", "A", "B")</f>
        <v>B</v>
      </c>
    </row>
    <row r="1638" spans="1:6" x14ac:dyDescent="0.2">
      <c r="A1638" s="1">
        <v>45015</v>
      </c>
      <c r="B1638" s="5" t="s">
        <v>5</v>
      </c>
      <c r="C1638" s="2">
        <v>1219</v>
      </c>
      <c r="D1638" s="2">
        <v>219</v>
      </c>
      <c r="E1638" s="3">
        <v>2954.09</v>
      </c>
      <c r="F1638" s="4" t="str">
        <f>IF(campaignData[[#This Row],[Campaign]]="Old_Campaign", "A", "B")</f>
        <v>A</v>
      </c>
    </row>
    <row r="1639" spans="1:6" x14ac:dyDescent="0.2">
      <c r="A1639" s="1">
        <v>45015</v>
      </c>
      <c r="B1639" s="5" t="s">
        <v>6</v>
      </c>
      <c r="C1639" s="2">
        <v>1139</v>
      </c>
      <c r="D1639" s="2">
        <v>269</v>
      </c>
      <c r="E1639" s="3">
        <v>4249.13</v>
      </c>
      <c r="F1639" s="4" t="str">
        <f>IF(campaignData[[#This Row],[Campaign]]="Old_Campaign", "A", "B")</f>
        <v>B</v>
      </c>
    </row>
    <row r="1640" spans="1:6" x14ac:dyDescent="0.2">
      <c r="A1640" s="1">
        <v>45016</v>
      </c>
      <c r="B1640" s="5" t="s">
        <v>5</v>
      </c>
      <c r="C1640" s="2">
        <v>1209</v>
      </c>
      <c r="D1640" s="2">
        <v>221</v>
      </c>
      <c r="E1640" s="3">
        <v>3529.53</v>
      </c>
      <c r="F1640" s="4" t="str">
        <f>IF(campaignData[[#This Row],[Campaign]]="Old_Campaign", "A", "B")</f>
        <v>A</v>
      </c>
    </row>
    <row r="1641" spans="1:6" x14ac:dyDescent="0.2">
      <c r="A1641" s="1">
        <v>45016</v>
      </c>
      <c r="B1641" s="5" t="s">
        <v>6</v>
      </c>
      <c r="C1641" s="2">
        <v>1100</v>
      </c>
      <c r="D1641" s="2">
        <v>260</v>
      </c>
      <c r="E1641" s="3">
        <v>3718.47</v>
      </c>
      <c r="F1641" s="4" t="str">
        <f>IF(campaignData[[#This Row],[Campaign]]="Old_Campaign", "A", "B")</f>
        <v>B</v>
      </c>
    </row>
    <row r="1642" spans="1:6" x14ac:dyDescent="0.2">
      <c r="A1642" s="1">
        <v>45017</v>
      </c>
      <c r="B1642" s="5" t="s">
        <v>5</v>
      </c>
      <c r="C1642" s="2">
        <v>1268</v>
      </c>
      <c r="D1642" s="2">
        <v>258</v>
      </c>
      <c r="E1642" s="3">
        <v>3991.5</v>
      </c>
      <c r="F1642" s="4" t="str">
        <f>IF(campaignData[[#This Row],[Campaign]]="Old_Campaign", "A", "B")</f>
        <v>A</v>
      </c>
    </row>
    <row r="1643" spans="1:6" x14ac:dyDescent="0.2">
      <c r="A1643" s="1">
        <v>45017</v>
      </c>
      <c r="B1643" s="5" t="s">
        <v>6</v>
      </c>
      <c r="C1643" s="2">
        <v>1132</v>
      </c>
      <c r="D1643" s="2">
        <v>257</v>
      </c>
      <c r="E1643" s="3">
        <v>2216.1799999999998</v>
      </c>
      <c r="F1643" s="4" t="str">
        <f>IF(campaignData[[#This Row],[Campaign]]="Old_Campaign", "A", "B")</f>
        <v>B</v>
      </c>
    </row>
    <row r="1644" spans="1:6" x14ac:dyDescent="0.2">
      <c r="A1644" s="1">
        <v>45018</v>
      </c>
      <c r="B1644" s="5" t="s">
        <v>5</v>
      </c>
      <c r="C1644" s="2">
        <v>1230</v>
      </c>
      <c r="D1644" s="2">
        <v>252</v>
      </c>
      <c r="E1644" s="3">
        <v>3375.65</v>
      </c>
      <c r="F1644" s="4" t="str">
        <f>IF(campaignData[[#This Row],[Campaign]]="Old_Campaign", "A", "B")</f>
        <v>A</v>
      </c>
    </row>
    <row r="1645" spans="1:6" x14ac:dyDescent="0.2">
      <c r="A1645" s="1">
        <v>45018</v>
      </c>
      <c r="B1645" s="5" t="s">
        <v>6</v>
      </c>
      <c r="C1645" s="2">
        <v>1124</v>
      </c>
      <c r="D1645" s="2">
        <v>264</v>
      </c>
      <c r="E1645" s="3">
        <v>3957.55</v>
      </c>
      <c r="F1645" s="4" t="str">
        <f>IF(campaignData[[#This Row],[Campaign]]="Old_Campaign", "A", "B")</f>
        <v>B</v>
      </c>
    </row>
    <row r="1646" spans="1:6" x14ac:dyDescent="0.2">
      <c r="A1646" s="1">
        <v>45019</v>
      </c>
      <c r="B1646" s="5" t="s">
        <v>5</v>
      </c>
      <c r="C1646" s="2">
        <v>1274</v>
      </c>
      <c r="D1646" s="2">
        <v>247</v>
      </c>
      <c r="E1646" s="3">
        <v>2911.51</v>
      </c>
      <c r="F1646" s="4" t="str">
        <f>IF(campaignData[[#This Row],[Campaign]]="Old_Campaign", "A", "B")</f>
        <v>A</v>
      </c>
    </row>
    <row r="1647" spans="1:6" x14ac:dyDescent="0.2">
      <c r="A1647" s="1">
        <v>45019</v>
      </c>
      <c r="B1647" s="5" t="s">
        <v>6</v>
      </c>
      <c r="C1647" s="2">
        <v>1126</v>
      </c>
      <c r="D1647" s="2">
        <v>251</v>
      </c>
      <c r="E1647" s="3">
        <v>4214.2700000000004</v>
      </c>
      <c r="F1647" s="4" t="str">
        <f>IF(campaignData[[#This Row],[Campaign]]="Old_Campaign", "A", "B")</f>
        <v>B</v>
      </c>
    </row>
    <row r="1648" spans="1:6" x14ac:dyDescent="0.2">
      <c r="A1648" s="1">
        <v>45020</v>
      </c>
      <c r="B1648" s="5" t="s">
        <v>5</v>
      </c>
      <c r="C1648" s="2">
        <v>1119</v>
      </c>
      <c r="D1648" s="2">
        <v>212</v>
      </c>
      <c r="E1648" s="3">
        <v>2714.61</v>
      </c>
      <c r="F1648" s="4" t="str">
        <f>IF(campaignData[[#This Row],[Campaign]]="Old_Campaign", "A", "B")</f>
        <v>A</v>
      </c>
    </row>
    <row r="1649" spans="1:6" x14ac:dyDescent="0.2">
      <c r="A1649" s="1">
        <v>45020</v>
      </c>
      <c r="B1649" s="5" t="s">
        <v>6</v>
      </c>
      <c r="C1649" s="2">
        <v>1140</v>
      </c>
      <c r="D1649" s="2">
        <v>274</v>
      </c>
      <c r="E1649" s="3">
        <v>4185.83</v>
      </c>
      <c r="F1649" s="4" t="str">
        <f>IF(campaignData[[#This Row],[Campaign]]="Old_Campaign", "A", "B")</f>
        <v>B</v>
      </c>
    </row>
    <row r="1650" spans="1:6" x14ac:dyDescent="0.2">
      <c r="A1650" s="1">
        <v>45021</v>
      </c>
      <c r="B1650" s="5" t="s">
        <v>5</v>
      </c>
      <c r="C1650" s="2">
        <v>1201</v>
      </c>
      <c r="D1650" s="2">
        <v>219</v>
      </c>
      <c r="E1650" s="3">
        <v>2464.62</v>
      </c>
      <c r="F1650" s="4" t="str">
        <f>IF(campaignData[[#This Row],[Campaign]]="Old_Campaign", "A", "B")</f>
        <v>A</v>
      </c>
    </row>
    <row r="1651" spans="1:6" x14ac:dyDescent="0.2">
      <c r="A1651" s="1">
        <v>45021</v>
      </c>
      <c r="B1651" s="5" t="s">
        <v>6</v>
      </c>
      <c r="C1651" s="2">
        <v>1128</v>
      </c>
      <c r="D1651" s="2">
        <v>252</v>
      </c>
      <c r="E1651" s="3">
        <v>5062.42</v>
      </c>
      <c r="F1651" s="4" t="str">
        <f>IF(campaignData[[#This Row],[Campaign]]="Old_Campaign", "A", "B")</f>
        <v>B</v>
      </c>
    </row>
    <row r="1652" spans="1:6" x14ac:dyDescent="0.2">
      <c r="A1652" s="1">
        <v>45022</v>
      </c>
      <c r="B1652" s="5" t="s">
        <v>5</v>
      </c>
      <c r="C1652" s="2">
        <v>1189</v>
      </c>
      <c r="D1652" s="2">
        <v>229</v>
      </c>
      <c r="E1652" s="3">
        <v>3782.98</v>
      </c>
      <c r="F1652" s="4" t="str">
        <f>IF(campaignData[[#This Row],[Campaign]]="Old_Campaign", "A", "B")</f>
        <v>A</v>
      </c>
    </row>
    <row r="1653" spans="1:6" x14ac:dyDescent="0.2">
      <c r="A1653" s="1">
        <v>45022</v>
      </c>
      <c r="B1653" s="5" t="s">
        <v>6</v>
      </c>
      <c r="C1653" s="2">
        <v>1153</v>
      </c>
      <c r="D1653" s="2">
        <v>263</v>
      </c>
      <c r="E1653" s="3">
        <v>3766.41</v>
      </c>
      <c r="F1653" s="4" t="str">
        <f>IF(campaignData[[#This Row],[Campaign]]="Old_Campaign", "A", "B")</f>
        <v>B</v>
      </c>
    </row>
    <row r="1654" spans="1:6" x14ac:dyDescent="0.2">
      <c r="A1654" s="1">
        <v>45023</v>
      </c>
      <c r="B1654" s="5" t="s">
        <v>5</v>
      </c>
      <c r="C1654" s="2">
        <v>1222</v>
      </c>
      <c r="D1654" s="2">
        <v>242</v>
      </c>
      <c r="E1654" s="3">
        <v>3628.03</v>
      </c>
      <c r="F1654" s="4" t="str">
        <f>IF(campaignData[[#This Row],[Campaign]]="Old_Campaign", "A", "B")</f>
        <v>A</v>
      </c>
    </row>
    <row r="1655" spans="1:6" x14ac:dyDescent="0.2">
      <c r="A1655" s="1">
        <v>45023</v>
      </c>
      <c r="B1655" s="5" t="s">
        <v>6</v>
      </c>
      <c r="C1655" s="2">
        <v>1135</v>
      </c>
      <c r="D1655" s="2">
        <v>245</v>
      </c>
      <c r="E1655" s="3">
        <v>3899.78</v>
      </c>
      <c r="F1655" s="4" t="str">
        <f>IF(campaignData[[#This Row],[Campaign]]="Old_Campaign", "A", "B")</f>
        <v>B</v>
      </c>
    </row>
    <row r="1656" spans="1:6" x14ac:dyDescent="0.2">
      <c r="A1656" s="1">
        <v>45024</v>
      </c>
      <c r="B1656" s="5" t="s">
        <v>5</v>
      </c>
      <c r="C1656" s="2">
        <v>1174</v>
      </c>
      <c r="D1656" s="2">
        <v>229</v>
      </c>
      <c r="E1656" s="3">
        <v>3113.81</v>
      </c>
      <c r="F1656" s="4" t="str">
        <f>IF(campaignData[[#This Row],[Campaign]]="Old_Campaign", "A", "B")</f>
        <v>A</v>
      </c>
    </row>
    <row r="1657" spans="1:6" x14ac:dyDescent="0.2">
      <c r="A1657" s="1">
        <v>45024</v>
      </c>
      <c r="B1657" s="5" t="s">
        <v>6</v>
      </c>
      <c r="C1657" s="2">
        <v>1113</v>
      </c>
      <c r="D1657" s="2">
        <v>252</v>
      </c>
      <c r="E1657" s="3">
        <v>3590.59</v>
      </c>
      <c r="F1657" s="4" t="str">
        <f>IF(campaignData[[#This Row],[Campaign]]="Old_Campaign", "A", "B")</f>
        <v>B</v>
      </c>
    </row>
    <row r="1658" spans="1:6" x14ac:dyDescent="0.2">
      <c r="A1658" s="1">
        <v>45025</v>
      </c>
      <c r="B1658" s="5" t="s">
        <v>5</v>
      </c>
      <c r="C1658" s="2">
        <v>1222</v>
      </c>
      <c r="D1658" s="2">
        <v>212</v>
      </c>
      <c r="E1658" s="3">
        <v>2968.05</v>
      </c>
      <c r="F1658" s="4" t="str">
        <f>IF(campaignData[[#This Row],[Campaign]]="Old_Campaign", "A", "B")</f>
        <v>A</v>
      </c>
    </row>
    <row r="1659" spans="1:6" x14ac:dyDescent="0.2">
      <c r="A1659" s="1">
        <v>45025</v>
      </c>
      <c r="B1659" s="5" t="s">
        <v>6</v>
      </c>
      <c r="C1659" s="2">
        <v>1116</v>
      </c>
      <c r="D1659" s="2">
        <v>241</v>
      </c>
      <c r="E1659" s="3">
        <v>4117.74</v>
      </c>
      <c r="F1659" s="4" t="str">
        <f>IF(campaignData[[#This Row],[Campaign]]="Old_Campaign", "A", "B")</f>
        <v>B</v>
      </c>
    </row>
    <row r="1660" spans="1:6" x14ac:dyDescent="0.2">
      <c r="A1660" s="1">
        <v>45026</v>
      </c>
      <c r="B1660" s="5" t="s">
        <v>5</v>
      </c>
      <c r="C1660" s="2">
        <v>1197</v>
      </c>
      <c r="D1660" s="2">
        <v>220</v>
      </c>
      <c r="E1660" s="3">
        <v>3753.93</v>
      </c>
      <c r="F1660" s="4" t="str">
        <f>IF(campaignData[[#This Row],[Campaign]]="Old_Campaign", "A", "B")</f>
        <v>A</v>
      </c>
    </row>
    <row r="1661" spans="1:6" x14ac:dyDescent="0.2">
      <c r="A1661" s="1">
        <v>45026</v>
      </c>
      <c r="B1661" s="5" t="s">
        <v>6</v>
      </c>
      <c r="C1661" s="2">
        <v>1190</v>
      </c>
      <c r="D1661" s="2">
        <v>265</v>
      </c>
      <c r="E1661" s="3">
        <v>3493.27</v>
      </c>
      <c r="F1661" s="4" t="str">
        <f>IF(campaignData[[#This Row],[Campaign]]="Old_Campaign", "A", "B")</f>
        <v>B</v>
      </c>
    </row>
    <row r="1662" spans="1:6" x14ac:dyDescent="0.2">
      <c r="A1662" s="1">
        <v>45027</v>
      </c>
      <c r="B1662" s="5" t="s">
        <v>5</v>
      </c>
      <c r="C1662" s="2">
        <v>1232</v>
      </c>
      <c r="D1662" s="2">
        <v>211</v>
      </c>
      <c r="E1662" s="3">
        <v>2843.54</v>
      </c>
      <c r="F1662" s="4" t="str">
        <f>IF(campaignData[[#This Row],[Campaign]]="Old_Campaign", "A", "B")</f>
        <v>A</v>
      </c>
    </row>
    <row r="1663" spans="1:6" x14ac:dyDescent="0.2">
      <c r="A1663" s="1">
        <v>45027</v>
      </c>
      <c r="B1663" s="5" t="s">
        <v>6</v>
      </c>
      <c r="C1663" s="2">
        <v>1149</v>
      </c>
      <c r="D1663" s="2">
        <v>266</v>
      </c>
      <c r="E1663" s="3">
        <v>4096.5600000000004</v>
      </c>
      <c r="F1663" s="4" t="str">
        <f>IF(campaignData[[#This Row],[Campaign]]="Old_Campaign", "A", "B")</f>
        <v>B</v>
      </c>
    </row>
    <row r="1664" spans="1:6" x14ac:dyDescent="0.2">
      <c r="A1664" s="1">
        <v>45028</v>
      </c>
      <c r="B1664" s="5" t="s">
        <v>5</v>
      </c>
      <c r="C1664" s="2">
        <v>1167</v>
      </c>
      <c r="D1664" s="2">
        <v>183</v>
      </c>
      <c r="E1664" s="3">
        <v>2654.48</v>
      </c>
      <c r="F1664" s="4" t="str">
        <f>IF(campaignData[[#This Row],[Campaign]]="Old_Campaign", "A", "B")</f>
        <v>A</v>
      </c>
    </row>
    <row r="1665" spans="1:6" x14ac:dyDescent="0.2">
      <c r="A1665" s="1">
        <v>45028</v>
      </c>
      <c r="B1665" s="5" t="s">
        <v>6</v>
      </c>
      <c r="C1665" s="2">
        <v>1163</v>
      </c>
      <c r="D1665" s="2">
        <v>262</v>
      </c>
      <c r="E1665" s="3">
        <v>4366.6099999999997</v>
      </c>
      <c r="F1665" s="4" t="str">
        <f>IF(campaignData[[#This Row],[Campaign]]="Old_Campaign", "A", "B")</f>
        <v>B</v>
      </c>
    </row>
    <row r="1666" spans="1:6" x14ac:dyDescent="0.2">
      <c r="A1666" s="1">
        <v>45029</v>
      </c>
      <c r="B1666" s="5" t="s">
        <v>5</v>
      </c>
      <c r="C1666" s="2">
        <v>1163</v>
      </c>
      <c r="D1666" s="2">
        <v>217</v>
      </c>
      <c r="E1666" s="3">
        <v>3965.55</v>
      </c>
      <c r="F1666" s="4" t="str">
        <f>IF(campaignData[[#This Row],[Campaign]]="Old_Campaign", "A", "B")</f>
        <v>A</v>
      </c>
    </row>
    <row r="1667" spans="1:6" x14ac:dyDescent="0.2">
      <c r="A1667" s="1">
        <v>45029</v>
      </c>
      <c r="B1667" s="5" t="s">
        <v>6</v>
      </c>
      <c r="C1667" s="2">
        <v>1137</v>
      </c>
      <c r="D1667" s="2">
        <v>263</v>
      </c>
      <c r="E1667" s="3">
        <v>3455.11</v>
      </c>
      <c r="F1667" s="4" t="str">
        <f>IF(campaignData[[#This Row],[Campaign]]="Old_Campaign", "A", "B")</f>
        <v>B</v>
      </c>
    </row>
    <row r="1668" spans="1:6" x14ac:dyDescent="0.2">
      <c r="A1668" s="1">
        <v>45030</v>
      </c>
      <c r="B1668" s="5" t="s">
        <v>5</v>
      </c>
      <c r="C1668" s="2">
        <v>1144</v>
      </c>
      <c r="D1668" s="2">
        <v>237</v>
      </c>
      <c r="E1668" s="3">
        <v>3610.79</v>
      </c>
      <c r="F1668" s="4" t="str">
        <f>IF(campaignData[[#This Row],[Campaign]]="Old_Campaign", "A", "B")</f>
        <v>A</v>
      </c>
    </row>
    <row r="1669" spans="1:6" x14ac:dyDescent="0.2">
      <c r="A1669" s="1">
        <v>45030</v>
      </c>
      <c r="B1669" s="5" t="s">
        <v>6</v>
      </c>
      <c r="C1669" s="2">
        <v>1151</v>
      </c>
      <c r="D1669" s="2">
        <v>291</v>
      </c>
      <c r="E1669" s="3">
        <v>3683.03</v>
      </c>
      <c r="F1669" s="4" t="str">
        <f>IF(campaignData[[#This Row],[Campaign]]="Old_Campaign", "A", "B")</f>
        <v>B</v>
      </c>
    </row>
    <row r="1670" spans="1:6" x14ac:dyDescent="0.2">
      <c r="A1670" s="1">
        <v>45031</v>
      </c>
      <c r="B1670" s="5" t="s">
        <v>5</v>
      </c>
      <c r="C1670" s="2">
        <v>1191</v>
      </c>
      <c r="D1670" s="2">
        <v>214</v>
      </c>
      <c r="E1670" s="3">
        <v>3817.35</v>
      </c>
      <c r="F1670" s="4" t="str">
        <f>IF(campaignData[[#This Row],[Campaign]]="Old_Campaign", "A", "B")</f>
        <v>A</v>
      </c>
    </row>
    <row r="1671" spans="1:6" x14ac:dyDescent="0.2">
      <c r="A1671" s="1">
        <v>45031</v>
      </c>
      <c r="B1671" s="5" t="s">
        <v>6</v>
      </c>
      <c r="C1671" s="2">
        <v>1174</v>
      </c>
      <c r="D1671" s="2">
        <v>303</v>
      </c>
      <c r="E1671" s="3">
        <v>5025.7700000000004</v>
      </c>
      <c r="F1671" s="4" t="str">
        <f>IF(campaignData[[#This Row],[Campaign]]="Old_Campaign", "A", "B")</f>
        <v>B</v>
      </c>
    </row>
    <row r="1672" spans="1:6" x14ac:dyDescent="0.2">
      <c r="A1672" s="1">
        <v>45032</v>
      </c>
      <c r="B1672" s="5" t="s">
        <v>5</v>
      </c>
      <c r="C1672" s="2">
        <v>1151</v>
      </c>
      <c r="D1672" s="2">
        <v>208</v>
      </c>
      <c r="E1672" s="3">
        <v>3142.49</v>
      </c>
      <c r="F1672" s="4" t="str">
        <f>IF(campaignData[[#This Row],[Campaign]]="Old_Campaign", "A", "B")</f>
        <v>A</v>
      </c>
    </row>
    <row r="1673" spans="1:6" x14ac:dyDescent="0.2">
      <c r="A1673" s="1">
        <v>45032</v>
      </c>
      <c r="B1673" s="5" t="s">
        <v>6</v>
      </c>
      <c r="C1673" s="2">
        <v>1159</v>
      </c>
      <c r="D1673" s="2">
        <v>272</v>
      </c>
      <c r="E1673" s="3">
        <v>4420.3</v>
      </c>
      <c r="F1673" s="4" t="str">
        <f>IF(campaignData[[#This Row],[Campaign]]="Old_Campaign", "A", "B")</f>
        <v>B</v>
      </c>
    </row>
    <row r="1674" spans="1:6" x14ac:dyDescent="0.2">
      <c r="A1674" s="1">
        <v>45033</v>
      </c>
      <c r="B1674" s="5" t="s">
        <v>5</v>
      </c>
      <c r="C1674" s="2">
        <v>1214</v>
      </c>
      <c r="D1674" s="2">
        <v>210</v>
      </c>
      <c r="E1674" s="3">
        <v>3766.5</v>
      </c>
      <c r="F1674" s="4" t="str">
        <f>IF(campaignData[[#This Row],[Campaign]]="Old_Campaign", "A", "B")</f>
        <v>A</v>
      </c>
    </row>
    <row r="1675" spans="1:6" x14ac:dyDescent="0.2">
      <c r="A1675" s="1">
        <v>45033</v>
      </c>
      <c r="B1675" s="5" t="s">
        <v>6</v>
      </c>
      <c r="C1675" s="2">
        <v>1148</v>
      </c>
      <c r="D1675" s="2">
        <v>257</v>
      </c>
      <c r="E1675" s="3">
        <v>4096.4399999999996</v>
      </c>
      <c r="F1675" s="4" t="str">
        <f>IF(campaignData[[#This Row],[Campaign]]="Old_Campaign", "A", "B")</f>
        <v>B</v>
      </c>
    </row>
    <row r="1676" spans="1:6" x14ac:dyDescent="0.2">
      <c r="A1676" s="1">
        <v>45034</v>
      </c>
      <c r="B1676" s="5" t="s">
        <v>5</v>
      </c>
      <c r="C1676" s="2">
        <v>1152</v>
      </c>
      <c r="D1676" s="2">
        <v>239</v>
      </c>
      <c r="E1676" s="3">
        <v>3974.93</v>
      </c>
      <c r="F1676" s="4" t="str">
        <f>IF(campaignData[[#This Row],[Campaign]]="Old_Campaign", "A", "B")</f>
        <v>A</v>
      </c>
    </row>
    <row r="1677" spans="1:6" x14ac:dyDescent="0.2">
      <c r="A1677" s="1">
        <v>45034</v>
      </c>
      <c r="B1677" s="5" t="s">
        <v>6</v>
      </c>
      <c r="C1677" s="2">
        <v>1129</v>
      </c>
      <c r="D1677" s="2">
        <v>253</v>
      </c>
      <c r="E1677" s="3">
        <v>4352.8500000000004</v>
      </c>
      <c r="F1677" s="4" t="str">
        <f>IF(campaignData[[#This Row],[Campaign]]="Old_Campaign", "A", "B")</f>
        <v>B</v>
      </c>
    </row>
    <row r="1678" spans="1:6" x14ac:dyDescent="0.2">
      <c r="A1678" s="1">
        <v>45035</v>
      </c>
      <c r="B1678" s="5" t="s">
        <v>5</v>
      </c>
      <c r="C1678" s="2">
        <v>1241</v>
      </c>
      <c r="D1678" s="2">
        <v>246</v>
      </c>
      <c r="E1678" s="3">
        <v>3785.16</v>
      </c>
      <c r="F1678" s="4" t="str">
        <f>IF(campaignData[[#This Row],[Campaign]]="Old_Campaign", "A", "B")</f>
        <v>A</v>
      </c>
    </row>
    <row r="1679" spans="1:6" x14ac:dyDescent="0.2">
      <c r="A1679" s="1">
        <v>45035</v>
      </c>
      <c r="B1679" s="5" t="s">
        <v>6</v>
      </c>
      <c r="C1679" s="2">
        <v>1078</v>
      </c>
      <c r="D1679" s="2">
        <v>236</v>
      </c>
      <c r="E1679" s="3">
        <v>3804.17</v>
      </c>
      <c r="F1679" s="4" t="str">
        <f>IF(campaignData[[#This Row],[Campaign]]="Old_Campaign", "A", "B")</f>
        <v>B</v>
      </c>
    </row>
    <row r="1680" spans="1:6" x14ac:dyDescent="0.2">
      <c r="A1680" s="1">
        <v>45036</v>
      </c>
      <c r="B1680" s="5" t="s">
        <v>5</v>
      </c>
      <c r="C1680" s="2">
        <v>1183</v>
      </c>
      <c r="D1680" s="2">
        <v>236</v>
      </c>
      <c r="E1680" s="3">
        <v>2907.29</v>
      </c>
      <c r="F1680" s="4" t="str">
        <f>IF(campaignData[[#This Row],[Campaign]]="Old_Campaign", "A", "B")</f>
        <v>A</v>
      </c>
    </row>
    <row r="1681" spans="1:6" x14ac:dyDescent="0.2">
      <c r="A1681" s="1">
        <v>45036</v>
      </c>
      <c r="B1681" s="5" t="s">
        <v>6</v>
      </c>
      <c r="C1681" s="2">
        <v>1205</v>
      </c>
      <c r="D1681" s="2">
        <v>275</v>
      </c>
      <c r="E1681" s="3">
        <v>4224.1000000000004</v>
      </c>
      <c r="F1681" s="4" t="str">
        <f>IF(campaignData[[#This Row],[Campaign]]="Old_Campaign", "A", "B")</f>
        <v>B</v>
      </c>
    </row>
    <row r="1682" spans="1:6" x14ac:dyDescent="0.2">
      <c r="A1682" s="1">
        <v>45037</v>
      </c>
      <c r="B1682" s="5" t="s">
        <v>5</v>
      </c>
      <c r="C1682" s="2">
        <v>1175</v>
      </c>
      <c r="D1682" s="2">
        <v>245</v>
      </c>
      <c r="E1682" s="3">
        <v>3596.33</v>
      </c>
      <c r="F1682" s="4" t="str">
        <f>IF(campaignData[[#This Row],[Campaign]]="Old_Campaign", "A", "B")</f>
        <v>A</v>
      </c>
    </row>
    <row r="1683" spans="1:6" x14ac:dyDescent="0.2">
      <c r="A1683" s="1">
        <v>45037</v>
      </c>
      <c r="B1683" s="5" t="s">
        <v>6</v>
      </c>
      <c r="C1683" s="2">
        <v>1172</v>
      </c>
      <c r="D1683" s="2">
        <v>271</v>
      </c>
      <c r="E1683" s="3">
        <v>4035.03</v>
      </c>
      <c r="F1683" s="4" t="str">
        <f>IF(campaignData[[#This Row],[Campaign]]="Old_Campaign", "A", "B")</f>
        <v>B</v>
      </c>
    </row>
    <row r="1684" spans="1:6" x14ac:dyDescent="0.2">
      <c r="A1684" s="1">
        <v>45038</v>
      </c>
      <c r="B1684" s="5" t="s">
        <v>5</v>
      </c>
      <c r="C1684" s="2">
        <v>1186</v>
      </c>
      <c r="D1684" s="2">
        <v>210</v>
      </c>
      <c r="E1684" s="3">
        <v>3199.39</v>
      </c>
      <c r="F1684" s="4" t="str">
        <f>IF(campaignData[[#This Row],[Campaign]]="Old_Campaign", "A", "B")</f>
        <v>A</v>
      </c>
    </row>
    <row r="1685" spans="1:6" x14ac:dyDescent="0.2">
      <c r="A1685" s="1">
        <v>45038</v>
      </c>
      <c r="B1685" s="5" t="s">
        <v>6</v>
      </c>
      <c r="C1685" s="2">
        <v>1115</v>
      </c>
      <c r="D1685" s="2">
        <v>241</v>
      </c>
      <c r="E1685" s="3">
        <v>3928.98</v>
      </c>
      <c r="F1685" s="4" t="str">
        <f>IF(campaignData[[#This Row],[Campaign]]="Old_Campaign", "A", "B")</f>
        <v>B</v>
      </c>
    </row>
    <row r="1686" spans="1:6" x14ac:dyDescent="0.2">
      <c r="A1686" s="1">
        <v>45039</v>
      </c>
      <c r="B1686" s="5" t="s">
        <v>5</v>
      </c>
      <c r="C1686" s="2">
        <v>1235</v>
      </c>
      <c r="D1686" s="2">
        <v>224</v>
      </c>
      <c r="E1686" s="3">
        <v>3791.2</v>
      </c>
      <c r="F1686" s="4" t="str">
        <f>IF(campaignData[[#This Row],[Campaign]]="Old_Campaign", "A", "B")</f>
        <v>A</v>
      </c>
    </row>
    <row r="1687" spans="1:6" x14ac:dyDescent="0.2">
      <c r="A1687" s="1">
        <v>45039</v>
      </c>
      <c r="B1687" s="5" t="s">
        <v>6</v>
      </c>
      <c r="C1687" s="2">
        <v>1187</v>
      </c>
      <c r="D1687" s="2">
        <v>263</v>
      </c>
      <c r="E1687" s="3">
        <v>4821.1000000000004</v>
      </c>
      <c r="F1687" s="4" t="str">
        <f>IF(campaignData[[#This Row],[Campaign]]="Old_Campaign", "A", "B")</f>
        <v>B</v>
      </c>
    </row>
    <row r="1688" spans="1:6" x14ac:dyDescent="0.2">
      <c r="A1688" s="1">
        <v>45040</v>
      </c>
      <c r="B1688" s="5" t="s">
        <v>5</v>
      </c>
      <c r="C1688" s="2">
        <v>1159</v>
      </c>
      <c r="D1688" s="2">
        <v>245</v>
      </c>
      <c r="E1688" s="3">
        <v>3989.55</v>
      </c>
      <c r="F1688" s="4" t="str">
        <f>IF(campaignData[[#This Row],[Campaign]]="Old_Campaign", "A", "B")</f>
        <v>A</v>
      </c>
    </row>
    <row r="1689" spans="1:6" x14ac:dyDescent="0.2">
      <c r="A1689" s="1">
        <v>45040</v>
      </c>
      <c r="B1689" s="5" t="s">
        <v>6</v>
      </c>
      <c r="C1689" s="2">
        <v>1098</v>
      </c>
      <c r="D1689" s="2">
        <v>245</v>
      </c>
      <c r="E1689" s="3">
        <v>3787.57</v>
      </c>
      <c r="F1689" s="4" t="str">
        <f>IF(campaignData[[#This Row],[Campaign]]="Old_Campaign", "A", "B")</f>
        <v>B</v>
      </c>
    </row>
    <row r="1690" spans="1:6" x14ac:dyDescent="0.2">
      <c r="A1690" s="1">
        <v>45041</v>
      </c>
      <c r="B1690" s="5" t="s">
        <v>5</v>
      </c>
      <c r="C1690" s="2">
        <v>1153</v>
      </c>
      <c r="D1690" s="2">
        <v>209</v>
      </c>
      <c r="E1690" s="3">
        <v>3410.1</v>
      </c>
      <c r="F1690" s="4" t="str">
        <f>IF(campaignData[[#This Row],[Campaign]]="Old_Campaign", "A", "B")</f>
        <v>A</v>
      </c>
    </row>
    <row r="1691" spans="1:6" x14ac:dyDescent="0.2">
      <c r="A1691" s="1">
        <v>45041</v>
      </c>
      <c r="B1691" s="5" t="s">
        <v>6</v>
      </c>
      <c r="C1691" s="2">
        <v>1160</v>
      </c>
      <c r="D1691" s="2">
        <v>287</v>
      </c>
      <c r="E1691" s="3">
        <v>4365.1099999999997</v>
      </c>
      <c r="F1691" s="4" t="str">
        <f>IF(campaignData[[#This Row],[Campaign]]="Old_Campaign", "A", "B")</f>
        <v>B</v>
      </c>
    </row>
    <row r="1692" spans="1:6" x14ac:dyDescent="0.2">
      <c r="A1692" s="1">
        <v>45042</v>
      </c>
      <c r="B1692" s="5" t="s">
        <v>5</v>
      </c>
      <c r="C1692" s="2">
        <v>1238</v>
      </c>
      <c r="D1692" s="2">
        <v>242</v>
      </c>
      <c r="E1692" s="3">
        <v>3315.08</v>
      </c>
      <c r="F1692" s="4" t="str">
        <f>IF(campaignData[[#This Row],[Campaign]]="Old_Campaign", "A", "B")</f>
        <v>A</v>
      </c>
    </row>
    <row r="1693" spans="1:6" x14ac:dyDescent="0.2">
      <c r="A1693" s="1">
        <v>45042</v>
      </c>
      <c r="B1693" s="5" t="s">
        <v>6</v>
      </c>
      <c r="C1693" s="2">
        <v>1147</v>
      </c>
      <c r="D1693" s="2">
        <v>246</v>
      </c>
      <c r="E1693" s="3">
        <v>3775.29</v>
      </c>
      <c r="F1693" s="4" t="str">
        <f>IF(campaignData[[#This Row],[Campaign]]="Old_Campaign", "A", "B")</f>
        <v>B</v>
      </c>
    </row>
    <row r="1694" spans="1:6" x14ac:dyDescent="0.2">
      <c r="A1694" s="1">
        <v>45043</v>
      </c>
      <c r="B1694" s="5" t="s">
        <v>5</v>
      </c>
      <c r="C1694" s="2">
        <v>1178</v>
      </c>
      <c r="D1694" s="2">
        <v>230</v>
      </c>
      <c r="E1694" s="3">
        <v>2138.9899999999998</v>
      </c>
      <c r="F1694" s="4" t="str">
        <f>IF(campaignData[[#This Row],[Campaign]]="Old_Campaign", "A", "B")</f>
        <v>A</v>
      </c>
    </row>
    <row r="1695" spans="1:6" x14ac:dyDescent="0.2">
      <c r="A1695" s="1">
        <v>45043</v>
      </c>
      <c r="B1695" s="5" t="s">
        <v>6</v>
      </c>
      <c r="C1695" s="2">
        <v>1151</v>
      </c>
      <c r="D1695" s="2">
        <v>273</v>
      </c>
      <c r="E1695" s="3">
        <v>4665.34</v>
      </c>
      <c r="F1695" s="4" t="str">
        <f>IF(campaignData[[#This Row],[Campaign]]="Old_Campaign", "A", "B")</f>
        <v>B</v>
      </c>
    </row>
    <row r="1696" spans="1:6" x14ac:dyDescent="0.2">
      <c r="A1696" s="1">
        <v>45044</v>
      </c>
      <c r="B1696" s="5" t="s">
        <v>5</v>
      </c>
      <c r="C1696" s="2">
        <v>1162</v>
      </c>
      <c r="D1696" s="2">
        <v>200</v>
      </c>
      <c r="E1696" s="3">
        <v>3610.73</v>
      </c>
      <c r="F1696" s="4" t="str">
        <f>IF(campaignData[[#This Row],[Campaign]]="Old_Campaign", "A", "B")</f>
        <v>A</v>
      </c>
    </row>
    <row r="1697" spans="1:6" x14ac:dyDescent="0.2">
      <c r="A1697" s="1">
        <v>45044</v>
      </c>
      <c r="B1697" s="5" t="s">
        <v>6</v>
      </c>
      <c r="C1697" s="2">
        <v>1148</v>
      </c>
      <c r="D1697" s="2">
        <v>269</v>
      </c>
      <c r="E1697" s="3">
        <v>5327.58</v>
      </c>
      <c r="F1697" s="4" t="str">
        <f>IF(campaignData[[#This Row],[Campaign]]="Old_Campaign", "A", "B")</f>
        <v>B</v>
      </c>
    </row>
    <row r="1698" spans="1:6" x14ac:dyDescent="0.2">
      <c r="A1698" s="1">
        <v>45045</v>
      </c>
      <c r="B1698" s="5" t="s">
        <v>5</v>
      </c>
      <c r="C1698" s="2">
        <v>1222</v>
      </c>
      <c r="D1698" s="2">
        <v>225</v>
      </c>
      <c r="E1698" s="3">
        <v>2780.97</v>
      </c>
      <c r="F1698" s="4" t="str">
        <f>IF(campaignData[[#This Row],[Campaign]]="Old_Campaign", "A", "B")</f>
        <v>A</v>
      </c>
    </row>
    <row r="1699" spans="1:6" x14ac:dyDescent="0.2">
      <c r="A1699" s="1">
        <v>45045</v>
      </c>
      <c r="B1699" s="5" t="s">
        <v>6</v>
      </c>
      <c r="C1699" s="2">
        <v>1149</v>
      </c>
      <c r="D1699" s="2">
        <v>262</v>
      </c>
      <c r="E1699" s="3">
        <v>4066.89</v>
      </c>
      <c r="F1699" s="4" t="str">
        <f>IF(campaignData[[#This Row],[Campaign]]="Old_Campaign", "A", "B")</f>
        <v>B</v>
      </c>
    </row>
    <row r="1700" spans="1:6" x14ac:dyDescent="0.2">
      <c r="A1700" s="1">
        <v>45046</v>
      </c>
      <c r="B1700" s="5" t="s">
        <v>5</v>
      </c>
      <c r="C1700" s="2">
        <v>1181</v>
      </c>
      <c r="D1700" s="2">
        <v>240</v>
      </c>
      <c r="E1700" s="3">
        <v>3026.79</v>
      </c>
      <c r="F1700" s="4" t="str">
        <f>IF(campaignData[[#This Row],[Campaign]]="Old_Campaign", "A", "B")</f>
        <v>A</v>
      </c>
    </row>
    <row r="1701" spans="1:6" x14ac:dyDescent="0.2">
      <c r="A1701" s="1">
        <v>45046</v>
      </c>
      <c r="B1701" s="5" t="s">
        <v>6</v>
      </c>
      <c r="C1701" s="2">
        <v>1145</v>
      </c>
      <c r="D1701" s="2">
        <v>260</v>
      </c>
      <c r="E1701" s="3">
        <v>3633.42</v>
      </c>
      <c r="F1701" s="4" t="str">
        <f>IF(campaignData[[#This Row],[Campaign]]="Old_Campaign", "A", "B")</f>
        <v>B</v>
      </c>
    </row>
    <row r="1702" spans="1:6" x14ac:dyDescent="0.2">
      <c r="A1702" s="1">
        <v>45047</v>
      </c>
      <c r="B1702" s="5" t="s">
        <v>5</v>
      </c>
      <c r="C1702" s="2">
        <v>1154</v>
      </c>
      <c r="D1702" s="2">
        <v>229</v>
      </c>
      <c r="E1702" s="3">
        <v>2753.56</v>
      </c>
      <c r="F1702" s="4" t="str">
        <f>IF(campaignData[[#This Row],[Campaign]]="Old_Campaign", "A", "B")</f>
        <v>A</v>
      </c>
    </row>
    <row r="1703" spans="1:6" x14ac:dyDescent="0.2">
      <c r="A1703" s="1">
        <v>45047</v>
      </c>
      <c r="B1703" s="5" t="s">
        <v>6</v>
      </c>
      <c r="C1703" s="2">
        <v>1114</v>
      </c>
      <c r="D1703" s="2">
        <v>252</v>
      </c>
      <c r="E1703" s="3">
        <v>3464.91</v>
      </c>
      <c r="F1703" s="4" t="str">
        <f>IF(campaignData[[#This Row],[Campaign]]="Old_Campaign", "A", "B")</f>
        <v>B</v>
      </c>
    </row>
    <row r="1704" spans="1:6" x14ac:dyDescent="0.2">
      <c r="A1704" s="1">
        <v>45048</v>
      </c>
      <c r="B1704" s="5" t="s">
        <v>5</v>
      </c>
      <c r="C1704" s="2">
        <v>1228</v>
      </c>
      <c r="D1704" s="2">
        <v>199</v>
      </c>
      <c r="E1704" s="3">
        <v>2850.52</v>
      </c>
      <c r="F1704" s="4" t="str">
        <f>IF(campaignData[[#This Row],[Campaign]]="Old_Campaign", "A", "B")</f>
        <v>A</v>
      </c>
    </row>
    <row r="1705" spans="1:6" x14ac:dyDescent="0.2">
      <c r="A1705" s="1">
        <v>45048</v>
      </c>
      <c r="B1705" s="5" t="s">
        <v>6</v>
      </c>
      <c r="C1705" s="2">
        <v>1099</v>
      </c>
      <c r="D1705" s="2">
        <v>260</v>
      </c>
      <c r="E1705" s="3">
        <v>4161.16</v>
      </c>
      <c r="F1705" s="4" t="str">
        <f>IF(campaignData[[#This Row],[Campaign]]="Old_Campaign", "A", "B")</f>
        <v>B</v>
      </c>
    </row>
    <row r="1706" spans="1:6" x14ac:dyDescent="0.2">
      <c r="A1706" s="1">
        <v>45049</v>
      </c>
      <c r="B1706" s="5" t="s">
        <v>5</v>
      </c>
      <c r="C1706" s="2">
        <v>1256</v>
      </c>
      <c r="D1706" s="2">
        <v>229</v>
      </c>
      <c r="E1706" s="3">
        <v>4035.26</v>
      </c>
      <c r="F1706" s="4" t="str">
        <f>IF(campaignData[[#This Row],[Campaign]]="Old_Campaign", "A", "B")</f>
        <v>A</v>
      </c>
    </row>
    <row r="1707" spans="1:6" x14ac:dyDescent="0.2">
      <c r="A1707" s="1">
        <v>45049</v>
      </c>
      <c r="B1707" s="5" t="s">
        <v>6</v>
      </c>
      <c r="C1707" s="2">
        <v>1196</v>
      </c>
      <c r="D1707" s="2">
        <v>294</v>
      </c>
      <c r="E1707" s="3">
        <v>5392.61</v>
      </c>
      <c r="F1707" s="4" t="str">
        <f>IF(campaignData[[#This Row],[Campaign]]="Old_Campaign", "A", "B")</f>
        <v>B</v>
      </c>
    </row>
    <row r="1708" spans="1:6" x14ac:dyDescent="0.2">
      <c r="A1708" s="1">
        <v>45050</v>
      </c>
      <c r="B1708" s="5" t="s">
        <v>5</v>
      </c>
      <c r="C1708" s="2">
        <v>1251</v>
      </c>
      <c r="D1708" s="2">
        <v>257</v>
      </c>
      <c r="E1708" s="3">
        <v>4016.25</v>
      </c>
      <c r="F1708" s="4" t="str">
        <f>IF(campaignData[[#This Row],[Campaign]]="Old_Campaign", "A", "B")</f>
        <v>A</v>
      </c>
    </row>
    <row r="1709" spans="1:6" x14ac:dyDescent="0.2">
      <c r="A1709" s="1">
        <v>45050</v>
      </c>
      <c r="B1709" s="5" t="s">
        <v>6</v>
      </c>
      <c r="C1709" s="2">
        <v>1178</v>
      </c>
      <c r="D1709" s="2">
        <v>281</v>
      </c>
      <c r="E1709" s="3">
        <v>3661.65</v>
      </c>
      <c r="F1709" s="4" t="str">
        <f>IF(campaignData[[#This Row],[Campaign]]="Old_Campaign", "A", "B")</f>
        <v>B</v>
      </c>
    </row>
    <row r="1710" spans="1:6" x14ac:dyDescent="0.2">
      <c r="A1710" s="1">
        <v>45051</v>
      </c>
      <c r="B1710" s="5" t="s">
        <v>5</v>
      </c>
      <c r="C1710" s="2">
        <v>1234</v>
      </c>
      <c r="D1710" s="2">
        <v>257</v>
      </c>
      <c r="E1710" s="3">
        <v>2714.66</v>
      </c>
      <c r="F1710" s="4" t="str">
        <f>IF(campaignData[[#This Row],[Campaign]]="Old_Campaign", "A", "B")</f>
        <v>A</v>
      </c>
    </row>
    <row r="1711" spans="1:6" x14ac:dyDescent="0.2">
      <c r="A1711" s="1">
        <v>45051</v>
      </c>
      <c r="B1711" s="5" t="s">
        <v>6</v>
      </c>
      <c r="C1711" s="2">
        <v>1145</v>
      </c>
      <c r="D1711" s="2">
        <v>276</v>
      </c>
      <c r="E1711" s="3">
        <v>5751.17</v>
      </c>
      <c r="F1711" s="4" t="str">
        <f>IF(campaignData[[#This Row],[Campaign]]="Old_Campaign", "A", "B")</f>
        <v>B</v>
      </c>
    </row>
    <row r="1712" spans="1:6" x14ac:dyDescent="0.2">
      <c r="A1712" s="1">
        <v>45052</v>
      </c>
      <c r="B1712" s="5" t="s">
        <v>5</v>
      </c>
      <c r="C1712" s="2">
        <v>1174</v>
      </c>
      <c r="D1712" s="2">
        <v>240</v>
      </c>
      <c r="E1712" s="3">
        <v>3797.55</v>
      </c>
      <c r="F1712" s="4" t="str">
        <f>IF(campaignData[[#This Row],[Campaign]]="Old_Campaign", "A", "B")</f>
        <v>A</v>
      </c>
    </row>
    <row r="1713" spans="1:6" x14ac:dyDescent="0.2">
      <c r="A1713" s="1">
        <v>45052</v>
      </c>
      <c r="B1713" s="5" t="s">
        <v>6</v>
      </c>
      <c r="C1713" s="2">
        <v>1168</v>
      </c>
      <c r="D1713" s="2">
        <v>264</v>
      </c>
      <c r="E1713" s="3">
        <v>3726.94</v>
      </c>
      <c r="F1713" s="4" t="str">
        <f>IF(campaignData[[#This Row],[Campaign]]="Old_Campaign", "A", "B")</f>
        <v>B</v>
      </c>
    </row>
    <row r="1714" spans="1:6" x14ac:dyDescent="0.2">
      <c r="A1714" s="1">
        <v>45053</v>
      </c>
      <c r="B1714" s="5" t="s">
        <v>5</v>
      </c>
      <c r="C1714" s="2">
        <v>1268</v>
      </c>
      <c r="D1714" s="2">
        <v>259</v>
      </c>
      <c r="E1714" s="3">
        <v>3744.95</v>
      </c>
      <c r="F1714" s="4" t="str">
        <f>IF(campaignData[[#This Row],[Campaign]]="Old_Campaign", "A", "B")</f>
        <v>A</v>
      </c>
    </row>
    <row r="1715" spans="1:6" x14ac:dyDescent="0.2">
      <c r="A1715" s="1">
        <v>45053</v>
      </c>
      <c r="B1715" s="5" t="s">
        <v>6</v>
      </c>
      <c r="C1715" s="2">
        <v>1158</v>
      </c>
      <c r="D1715" s="2">
        <v>239</v>
      </c>
      <c r="E1715" s="3">
        <v>3159.69</v>
      </c>
      <c r="F1715" s="4" t="str">
        <f>IF(campaignData[[#This Row],[Campaign]]="Old_Campaign", "A", "B")</f>
        <v>B</v>
      </c>
    </row>
    <row r="1716" spans="1:6" x14ac:dyDescent="0.2">
      <c r="A1716" s="1">
        <v>45054</v>
      </c>
      <c r="B1716" s="5" t="s">
        <v>5</v>
      </c>
      <c r="C1716" s="2">
        <v>1222</v>
      </c>
      <c r="D1716" s="2">
        <v>227</v>
      </c>
      <c r="E1716" s="3">
        <v>3151.14</v>
      </c>
      <c r="F1716" s="4" t="str">
        <f>IF(campaignData[[#This Row],[Campaign]]="Old_Campaign", "A", "B")</f>
        <v>A</v>
      </c>
    </row>
    <row r="1717" spans="1:6" x14ac:dyDescent="0.2">
      <c r="A1717" s="1">
        <v>45054</v>
      </c>
      <c r="B1717" s="5" t="s">
        <v>6</v>
      </c>
      <c r="C1717" s="2">
        <v>1137</v>
      </c>
      <c r="D1717" s="2">
        <v>268</v>
      </c>
      <c r="E1717" s="3">
        <v>4041.28</v>
      </c>
      <c r="F1717" s="4" t="str">
        <f>IF(campaignData[[#This Row],[Campaign]]="Old_Campaign", "A", "B")</f>
        <v>B</v>
      </c>
    </row>
    <row r="1718" spans="1:6" x14ac:dyDescent="0.2">
      <c r="A1718" s="1">
        <v>45055</v>
      </c>
      <c r="B1718" s="5" t="s">
        <v>5</v>
      </c>
      <c r="C1718" s="2">
        <v>1209</v>
      </c>
      <c r="D1718" s="2">
        <v>234</v>
      </c>
      <c r="E1718" s="3">
        <v>3547.4</v>
      </c>
      <c r="F1718" s="4" t="str">
        <f>IF(campaignData[[#This Row],[Campaign]]="Old_Campaign", "A", "B")</f>
        <v>A</v>
      </c>
    </row>
    <row r="1719" spans="1:6" x14ac:dyDescent="0.2">
      <c r="A1719" s="1">
        <v>45055</v>
      </c>
      <c r="B1719" s="5" t="s">
        <v>6</v>
      </c>
      <c r="C1719" s="2">
        <v>1170</v>
      </c>
      <c r="D1719" s="2">
        <v>266</v>
      </c>
      <c r="E1719" s="3">
        <v>4426.7299999999996</v>
      </c>
      <c r="F1719" s="4" t="str">
        <f>IF(campaignData[[#This Row],[Campaign]]="Old_Campaign", "A", "B")</f>
        <v>B</v>
      </c>
    </row>
    <row r="1720" spans="1:6" x14ac:dyDescent="0.2">
      <c r="A1720" s="1">
        <v>45056</v>
      </c>
      <c r="B1720" s="5" t="s">
        <v>5</v>
      </c>
      <c r="C1720" s="2">
        <v>1182</v>
      </c>
      <c r="D1720" s="2">
        <v>234</v>
      </c>
      <c r="E1720" s="3">
        <v>3475.9</v>
      </c>
      <c r="F1720" s="4" t="str">
        <f>IF(campaignData[[#This Row],[Campaign]]="Old_Campaign", "A", "B")</f>
        <v>A</v>
      </c>
    </row>
    <row r="1721" spans="1:6" x14ac:dyDescent="0.2">
      <c r="A1721" s="1">
        <v>45056</v>
      </c>
      <c r="B1721" s="5" t="s">
        <v>6</v>
      </c>
      <c r="C1721" s="2">
        <v>1097</v>
      </c>
      <c r="D1721" s="2">
        <v>239</v>
      </c>
      <c r="E1721" s="3">
        <v>4727.08</v>
      </c>
      <c r="F1721" s="4" t="str">
        <f>IF(campaignData[[#This Row],[Campaign]]="Old_Campaign", "A", "B")</f>
        <v>B</v>
      </c>
    </row>
    <row r="1722" spans="1:6" x14ac:dyDescent="0.2">
      <c r="A1722" s="1">
        <v>45057</v>
      </c>
      <c r="B1722" s="5" t="s">
        <v>5</v>
      </c>
      <c r="C1722" s="2">
        <v>1146</v>
      </c>
      <c r="D1722" s="2">
        <v>211</v>
      </c>
      <c r="E1722" s="3">
        <v>3302.05</v>
      </c>
      <c r="F1722" s="4" t="str">
        <f>IF(campaignData[[#This Row],[Campaign]]="Old_Campaign", "A", "B")</f>
        <v>A</v>
      </c>
    </row>
    <row r="1723" spans="1:6" x14ac:dyDescent="0.2">
      <c r="A1723" s="1">
        <v>45057</v>
      </c>
      <c r="B1723" s="5" t="s">
        <v>6</v>
      </c>
      <c r="C1723" s="2">
        <v>1088</v>
      </c>
      <c r="D1723" s="2">
        <v>248</v>
      </c>
      <c r="E1723" s="3">
        <v>4255.96</v>
      </c>
      <c r="F1723" s="4" t="str">
        <f>IF(campaignData[[#This Row],[Campaign]]="Old_Campaign", "A", "B")</f>
        <v>B</v>
      </c>
    </row>
    <row r="1724" spans="1:6" x14ac:dyDescent="0.2">
      <c r="A1724" s="1">
        <v>45058</v>
      </c>
      <c r="B1724" s="5" t="s">
        <v>5</v>
      </c>
      <c r="C1724" s="2">
        <v>1210</v>
      </c>
      <c r="D1724" s="2">
        <v>243</v>
      </c>
      <c r="E1724" s="3">
        <v>3803.92</v>
      </c>
      <c r="F1724" s="4" t="str">
        <f>IF(campaignData[[#This Row],[Campaign]]="Old_Campaign", "A", "B")</f>
        <v>A</v>
      </c>
    </row>
    <row r="1725" spans="1:6" x14ac:dyDescent="0.2">
      <c r="A1725" s="1">
        <v>45058</v>
      </c>
      <c r="B1725" s="5" t="s">
        <v>6</v>
      </c>
      <c r="C1725" s="2">
        <v>1156</v>
      </c>
      <c r="D1725" s="2">
        <v>254</v>
      </c>
      <c r="E1725" s="3">
        <v>3639.76</v>
      </c>
      <c r="F1725" s="4" t="str">
        <f>IF(campaignData[[#This Row],[Campaign]]="Old_Campaign", "A", "B")</f>
        <v>B</v>
      </c>
    </row>
    <row r="1726" spans="1:6" x14ac:dyDescent="0.2">
      <c r="A1726" s="1">
        <v>45059</v>
      </c>
      <c r="B1726" s="5" t="s">
        <v>5</v>
      </c>
      <c r="C1726" s="2">
        <v>1262</v>
      </c>
      <c r="D1726" s="2">
        <v>244</v>
      </c>
      <c r="E1726" s="3">
        <v>3709.64</v>
      </c>
      <c r="F1726" s="4" t="str">
        <f>IF(campaignData[[#This Row],[Campaign]]="Old_Campaign", "A", "B")</f>
        <v>A</v>
      </c>
    </row>
    <row r="1727" spans="1:6" x14ac:dyDescent="0.2">
      <c r="A1727" s="1">
        <v>45059</v>
      </c>
      <c r="B1727" s="5" t="s">
        <v>6</v>
      </c>
      <c r="C1727" s="2">
        <v>1192</v>
      </c>
      <c r="D1727" s="2">
        <v>294</v>
      </c>
      <c r="E1727" s="3">
        <v>5584.83</v>
      </c>
      <c r="F1727" s="4" t="str">
        <f>IF(campaignData[[#This Row],[Campaign]]="Old_Campaign", "A", "B")</f>
        <v>B</v>
      </c>
    </row>
    <row r="1728" spans="1:6" x14ac:dyDescent="0.2">
      <c r="A1728" s="1">
        <v>45060</v>
      </c>
      <c r="B1728" s="5" t="s">
        <v>5</v>
      </c>
      <c r="C1728" s="2">
        <v>1177</v>
      </c>
      <c r="D1728" s="2">
        <v>226</v>
      </c>
      <c r="E1728" s="3">
        <v>4348.6899999999996</v>
      </c>
      <c r="F1728" s="4" t="str">
        <f>IF(campaignData[[#This Row],[Campaign]]="Old_Campaign", "A", "B")</f>
        <v>A</v>
      </c>
    </row>
    <row r="1729" spans="1:6" x14ac:dyDescent="0.2">
      <c r="A1729" s="1">
        <v>45060</v>
      </c>
      <c r="B1729" s="5" t="s">
        <v>6</v>
      </c>
      <c r="C1729" s="2">
        <v>1147</v>
      </c>
      <c r="D1729" s="2">
        <v>289</v>
      </c>
      <c r="E1729" s="3">
        <v>5189.2</v>
      </c>
      <c r="F1729" s="4" t="str">
        <f>IF(campaignData[[#This Row],[Campaign]]="Old_Campaign", "A", "B")</f>
        <v>B</v>
      </c>
    </row>
    <row r="1730" spans="1:6" x14ac:dyDescent="0.2">
      <c r="A1730" s="1">
        <v>45061</v>
      </c>
      <c r="B1730" s="5" t="s">
        <v>5</v>
      </c>
      <c r="C1730" s="2">
        <v>1192</v>
      </c>
      <c r="D1730" s="2">
        <v>234</v>
      </c>
      <c r="E1730" s="3">
        <v>2975.57</v>
      </c>
      <c r="F1730" s="4" t="str">
        <f>IF(campaignData[[#This Row],[Campaign]]="Old_Campaign", "A", "B")</f>
        <v>A</v>
      </c>
    </row>
    <row r="1731" spans="1:6" x14ac:dyDescent="0.2">
      <c r="A1731" s="1">
        <v>45061</v>
      </c>
      <c r="B1731" s="5" t="s">
        <v>6</v>
      </c>
      <c r="C1731" s="2">
        <v>1151</v>
      </c>
      <c r="D1731" s="2">
        <v>270</v>
      </c>
      <c r="E1731" s="3">
        <v>4352.3500000000004</v>
      </c>
      <c r="F1731" s="4" t="str">
        <f>IF(campaignData[[#This Row],[Campaign]]="Old_Campaign", "A", "B")</f>
        <v>B</v>
      </c>
    </row>
    <row r="1732" spans="1:6" x14ac:dyDescent="0.2">
      <c r="A1732" s="1">
        <v>45062</v>
      </c>
      <c r="B1732" s="5" t="s">
        <v>5</v>
      </c>
      <c r="C1732" s="2">
        <v>1228</v>
      </c>
      <c r="D1732" s="2">
        <v>239</v>
      </c>
      <c r="E1732" s="3">
        <v>3428.88</v>
      </c>
      <c r="F1732" s="4" t="str">
        <f>IF(campaignData[[#This Row],[Campaign]]="Old_Campaign", "A", "B")</f>
        <v>A</v>
      </c>
    </row>
    <row r="1733" spans="1:6" x14ac:dyDescent="0.2">
      <c r="A1733" s="1">
        <v>45062</v>
      </c>
      <c r="B1733" s="5" t="s">
        <v>6</v>
      </c>
      <c r="C1733" s="2">
        <v>1139</v>
      </c>
      <c r="D1733" s="2">
        <v>275</v>
      </c>
      <c r="E1733" s="3">
        <v>5491.96</v>
      </c>
      <c r="F1733" s="4" t="str">
        <f>IF(campaignData[[#This Row],[Campaign]]="Old_Campaign", "A", "B")</f>
        <v>B</v>
      </c>
    </row>
    <row r="1734" spans="1:6" x14ac:dyDescent="0.2">
      <c r="A1734" s="1">
        <v>45063</v>
      </c>
      <c r="B1734" s="5" t="s">
        <v>5</v>
      </c>
      <c r="C1734" s="2">
        <v>1241</v>
      </c>
      <c r="D1734" s="2">
        <v>238</v>
      </c>
      <c r="E1734" s="3">
        <v>2883.65</v>
      </c>
      <c r="F1734" s="4" t="str">
        <f>IF(campaignData[[#This Row],[Campaign]]="Old_Campaign", "A", "B")</f>
        <v>A</v>
      </c>
    </row>
    <row r="1735" spans="1:6" x14ac:dyDescent="0.2">
      <c r="A1735" s="1">
        <v>45063</v>
      </c>
      <c r="B1735" s="5" t="s">
        <v>6</v>
      </c>
      <c r="C1735" s="2">
        <v>1172</v>
      </c>
      <c r="D1735" s="2">
        <v>271</v>
      </c>
      <c r="E1735" s="3">
        <v>4848.6899999999996</v>
      </c>
      <c r="F1735" s="4" t="str">
        <f>IF(campaignData[[#This Row],[Campaign]]="Old_Campaign", "A", "B")</f>
        <v>B</v>
      </c>
    </row>
    <row r="1736" spans="1:6" x14ac:dyDescent="0.2">
      <c r="A1736" s="1">
        <v>45064</v>
      </c>
      <c r="B1736" s="5" t="s">
        <v>5</v>
      </c>
      <c r="C1736" s="2">
        <v>1202</v>
      </c>
      <c r="D1736" s="2">
        <v>232</v>
      </c>
      <c r="E1736" s="3">
        <v>3283.41</v>
      </c>
      <c r="F1736" s="4" t="str">
        <f>IF(campaignData[[#This Row],[Campaign]]="Old_Campaign", "A", "B")</f>
        <v>A</v>
      </c>
    </row>
    <row r="1737" spans="1:6" x14ac:dyDescent="0.2">
      <c r="A1737" s="1">
        <v>45064</v>
      </c>
      <c r="B1737" s="5" t="s">
        <v>6</v>
      </c>
      <c r="C1737" s="2">
        <v>1181</v>
      </c>
      <c r="D1737" s="2">
        <v>254</v>
      </c>
      <c r="E1737" s="3">
        <v>3815.51</v>
      </c>
      <c r="F1737" s="4" t="str">
        <f>IF(campaignData[[#This Row],[Campaign]]="Old_Campaign", "A", "B")</f>
        <v>B</v>
      </c>
    </row>
    <row r="1738" spans="1:6" x14ac:dyDescent="0.2">
      <c r="A1738" s="1">
        <v>45065</v>
      </c>
      <c r="B1738" s="5" t="s">
        <v>5</v>
      </c>
      <c r="C1738" s="2">
        <v>1152</v>
      </c>
      <c r="D1738" s="2">
        <v>236</v>
      </c>
      <c r="E1738" s="3">
        <v>3123.96</v>
      </c>
      <c r="F1738" s="4" t="str">
        <f>IF(campaignData[[#This Row],[Campaign]]="Old_Campaign", "A", "B")</f>
        <v>A</v>
      </c>
    </row>
    <row r="1739" spans="1:6" x14ac:dyDescent="0.2">
      <c r="A1739" s="1">
        <v>45065</v>
      </c>
      <c r="B1739" s="5" t="s">
        <v>6</v>
      </c>
      <c r="C1739" s="2">
        <v>1168</v>
      </c>
      <c r="D1739" s="2">
        <v>307</v>
      </c>
      <c r="E1739" s="3">
        <v>4967.45</v>
      </c>
      <c r="F1739" s="4" t="str">
        <f>IF(campaignData[[#This Row],[Campaign]]="Old_Campaign", "A", "B")</f>
        <v>B</v>
      </c>
    </row>
    <row r="1740" spans="1:6" x14ac:dyDescent="0.2">
      <c r="A1740" s="1">
        <v>45066</v>
      </c>
      <c r="B1740" s="5" t="s">
        <v>5</v>
      </c>
      <c r="C1740" s="2">
        <v>1221</v>
      </c>
      <c r="D1740" s="2">
        <v>233</v>
      </c>
      <c r="E1740" s="3">
        <v>2529.2800000000002</v>
      </c>
      <c r="F1740" s="4" t="str">
        <f>IF(campaignData[[#This Row],[Campaign]]="Old_Campaign", "A", "B")</f>
        <v>A</v>
      </c>
    </row>
    <row r="1741" spans="1:6" x14ac:dyDescent="0.2">
      <c r="A1741" s="1">
        <v>45066</v>
      </c>
      <c r="B1741" s="5" t="s">
        <v>6</v>
      </c>
      <c r="C1741" s="2">
        <v>1192</v>
      </c>
      <c r="D1741" s="2">
        <v>270</v>
      </c>
      <c r="E1741" s="3">
        <v>4403.18</v>
      </c>
      <c r="F1741" s="4" t="str">
        <f>IF(campaignData[[#This Row],[Campaign]]="Old_Campaign", "A", "B")</f>
        <v>B</v>
      </c>
    </row>
    <row r="1742" spans="1:6" x14ac:dyDescent="0.2">
      <c r="A1742" s="1">
        <v>45067</v>
      </c>
      <c r="B1742" s="5" t="s">
        <v>5</v>
      </c>
      <c r="C1742" s="2">
        <v>1238</v>
      </c>
      <c r="D1742" s="2">
        <v>252</v>
      </c>
      <c r="E1742" s="3">
        <v>2779.72</v>
      </c>
      <c r="F1742" s="4" t="str">
        <f>IF(campaignData[[#This Row],[Campaign]]="Old_Campaign", "A", "B")</f>
        <v>A</v>
      </c>
    </row>
    <row r="1743" spans="1:6" x14ac:dyDescent="0.2">
      <c r="A1743" s="1">
        <v>45067</v>
      </c>
      <c r="B1743" s="5" t="s">
        <v>6</v>
      </c>
      <c r="C1743" s="2">
        <v>1112</v>
      </c>
      <c r="D1743" s="2">
        <v>237</v>
      </c>
      <c r="E1743" s="3">
        <v>3665.38</v>
      </c>
      <c r="F1743" s="4" t="str">
        <f>IF(campaignData[[#This Row],[Campaign]]="Old_Campaign", "A", "B")</f>
        <v>B</v>
      </c>
    </row>
    <row r="1744" spans="1:6" x14ac:dyDescent="0.2">
      <c r="A1744" s="1">
        <v>45068</v>
      </c>
      <c r="B1744" s="5" t="s">
        <v>5</v>
      </c>
      <c r="C1744" s="2">
        <v>1111</v>
      </c>
      <c r="D1744" s="2">
        <v>221</v>
      </c>
      <c r="E1744" s="3">
        <v>3824.85</v>
      </c>
      <c r="F1744" s="4" t="str">
        <f>IF(campaignData[[#This Row],[Campaign]]="Old_Campaign", "A", "B")</f>
        <v>A</v>
      </c>
    </row>
    <row r="1745" spans="1:6" x14ac:dyDescent="0.2">
      <c r="A1745" s="1">
        <v>45068</v>
      </c>
      <c r="B1745" s="5" t="s">
        <v>6</v>
      </c>
      <c r="C1745" s="2">
        <v>1167</v>
      </c>
      <c r="D1745" s="2">
        <v>274</v>
      </c>
      <c r="E1745" s="3">
        <v>5021.09</v>
      </c>
      <c r="F1745" s="4" t="str">
        <f>IF(campaignData[[#This Row],[Campaign]]="Old_Campaign", "A", "B")</f>
        <v>B</v>
      </c>
    </row>
    <row r="1746" spans="1:6" x14ac:dyDescent="0.2">
      <c r="A1746" s="1">
        <v>45069</v>
      </c>
      <c r="B1746" s="5" t="s">
        <v>5</v>
      </c>
      <c r="C1746" s="2">
        <v>1197</v>
      </c>
      <c r="D1746" s="2">
        <v>228</v>
      </c>
      <c r="E1746" s="3">
        <v>2892.22</v>
      </c>
      <c r="F1746" s="4" t="str">
        <f>IF(campaignData[[#This Row],[Campaign]]="Old_Campaign", "A", "B")</f>
        <v>A</v>
      </c>
    </row>
    <row r="1747" spans="1:6" x14ac:dyDescent="0.2">
      <c r="A1747" s="1">
        <v>45069</v>
      </c>
      <c r="B1747" s="5" t="s">
        <v>6</v>
      </c>
      <c r="C1747" s="2">
        <v>1209</v>
      </c>
      <c r="D1747" s="2">
        <v>281</v>
      </c>
      <c r="E1747" s="3">
        <v>3382.77</v>
      </c>
      <c r="F1747" s="4" t="str">
        <f>IF(campaignData[[#This Row],[Campaign]]="Old_Campaign", "A", "B")</f>
        <v>B</v>
      </c>
    </row>
    <row r="1748" spans="1:6" x14ac:dyDescent="0.2">
      <c r="A1748" s="1">
        <v>45070</v>
      </c>
      <c r="B1748" s="5" t="s">
        <v>5</v>
      </c>
      <c r="C1748" s="2">
        <v>1186</v>
      </c>
      <c r="D1748" s="2">
        <v>232</v>
      </c>
      <c r="E1748" s="3">
        <v>3067.57</v>
      </c>
      <c r="F1748" s="4" t="str">
        <f>IF(campaignData[[#This Row],[Campaign]]="Old_Campaign", "A", "B")</f>
        <v>A</v>
      </c>
    </row>
    <row r="1749" spans="1:6" x14ac:dyDescent="0.2">
      <c r="A1749" s="1">
        <v>45070</v>
      </c>
      <c r="B1749" s="5" t="s">
        <v>6</v>
      </c>
      <c r="C1749" s="2">
        <v>1162</v>
      </c>
      <c r="D1749" s="2">
        <v>289</v>
      </c>
      <c r="E1749" s="3">
        <v>4531.67</v>
      </c>
      <c r="F1749" s="4" t="str">
        <f>IF(campaignData[[#This Row],[Campaign]]="Old_Campaign", "A", "B")</f>
        <v>B</v>
      </c>
    </row>
    <row r="1750" spans="1:6" x14ac:dyDescent="0.2">
      <c r="A1750" s="1">
        <v>45071</v>
      </c>
      <c r="B1750" s="5" t="s">
        <v>5</v>
      </c>
      <c r="C1750" s="2">
        <v>1181</v>
      </c>
      <c r="D1750" s="2">
        <v>218</v>
      </c>
      <c r="E1750" s="3">
        <v>3124.6</v>
      </c>
      <c r="F1750" s="4" t="str">
        <f>IF(campaignData[[#This Row],[Campaign]]="Old_Campaign", "A", "B")</f>
        <v>A</v>
      </c>
    </row>
    <row r="1751" spans="1:6" x14ac:dyDescent="0.2">
      <c r="A1751" s="1">
        <v>45071</v>
      </c>
      <c r="B1751" s="5" t="s">
        <v>6</v>
      </c>
      <c r="C1751" s="2">
        <v>1205</v>
      </c>
      <c r="D1751" s="2">
        <v>254</v>
      </c>
      <c r="E1751" s="3">
        <v>4513.71</v>
      </c>
      <c r="F1751" s="4" t="str">
        <f>IF(campaignData[[#This Row],[Campaign]]="Old_Campaign", "A", "B")</f>
        <v>B</v>
      </c>
    </row>
    <row r="1752" spans="1:6" x14ac:dyDescent="0.2">
      <c r="A1752" s="1">
        <v>45072</v>
      </c>
      <c r="B1752" s="5" t="s">
        <v>5</v>
      </c>
      <c r="C1752" s="2">
        <v>1175</v>
      </c>
      <c r="D1752" s="2">
        <v>246</v>
      </c>
      <c r="E1752" s="3">
        <v>3555.68</v>
      </c>
      <c r="F1752" s="4" t="str">
        <f>IF(campaignData[[#This Row],[Campaign]]="Old_Campaign", "A", "B")</f>
        <v>A</v>
      </c>
    </row>
    <row r="1753" spans="1:6" x14ac:dyDescent="0.2">
      <c r="A1753" s="1">
        <v>45072</v>
      </c>
      <c r="B1753" s="5" t="s">
        <v>6</v>
      </c>
      <c r="C1753" s="2">
        <v>1230</v>
      </c>
      <c r="D1753" s="2">
        <v>265</v>
      </c>
      <c r="E1753" s="3">
        <v>4550.0600000000004</v>
      </c>
      <c r="F1753" s="4" t="str">
        <f>IF(campaignData[[#This Row],[Campaign]]="Old_Campaign", "A", "B")</f>
        <v>B</v>
      </c>
    </row>
    <row r="1754" spans="1:6" x14ac:dyDescent="0.2">
      <c r="A1754" s="1">
        <v>45073</v>
      </c>
      <c r="B1754" s="5" t="s">
        <v>5</v>
      </c>
      <c r="C1754" s="2">
        <v>1198</v>
      </c>
      <c r="D1754" s="2">
        <v>212</v>
      </c>
      <c r="E1754" s="3">
        <v>2494.3200000000002</v>
      </c>
      <c r="F1754" s="4" t="str">
        <f>IF(campaignData[[#This Row],[Campaign]]="Old_Campaign", "A", "B")</f>
        <v>A</v>
      </c>
    </row>
    <row r="1755" spans="1:6" x14ac:dyDescent="0.2">
      <c r="A1755" s="1">
        <v>45073</v>
      </c>
      <c r="B1755" s="5" t="s">
        <v>6</v>
      </c>
      <c r="C1755" s="2">
        <v>1232</v>
      </c>
      <c r="D1755" s="2">
        <v>285</v>
      </c>
      <c r="E1755" s="3">
        <v>4757.3999999999996</v>
      </c>
      <c r="F1755" s="4" t="str">
        <f>IF(campaignData[[#This Row],[Campaign]]="Old_Campaign", "A", "B")</f>
        <v>B</v>
      </c>
    </row>
    <row r="1756" spans="1:6" x14ac:dyDescent="0.2">
      <c r="A1756" s="1">
        <v>45074</v>
      </c>
      <c r="B1756" s="5" t="s">
        <v>5</v>
      </c>
      <c r="C1756" s="2">
        <v>1191</v>
      </c>
      <c r="D1756" s="2">
        <v>223</v>
      </c>
      <c r="E1756" s="3">
        <v>3624.95</v>
      </c>
      <c r="F1756" s="4" t="str">
        <f>IF(campaignData[[#This Row],[Campaign]]="Old_Campaign", "A", "B")</f>
        <v>A</v>
      </c>
    </row>
    <row r="1757" spans="1:6" x14ac:dyDescent="0.2">
      <c r="A1757" s="1">
        <v>45074</v>
      </c>
      <c r="B1757" s="5" t="s">
        <v>6</v>
      </c>
      <c r="C1757" s="2">
        <v>1095</v>
      </c>
      <c r="D1757" s="2">
        <v>237</v>
      </c>
      <c r="E1757" s="3">
        <v>4581.04</v>
      </c>
      <c r="F1757" s="4" t="str">
        <f>IF(campaignData[[#This Row],[Campaign]]="Old_Campaign", "A", "B")</f>
        <v>B</v>
      </c>
    </row>
    <row r="1758" spans="1:6" x14ac:dyDescent="0.2">
      <c r="A1758" s="1">
        <v>45075</v>
      </c>
      <c r="B1758" s="5" t="s">
        <v>5</v>
      </c>
      <c r="C1758" s="2">
        <v>1174</v>
      </c>
      <c r="D1758" s="2">
        <v>215</v>
      </c>
      <c r="E1758" s="3">
        <v>3303.3</v>
      </c>
      <c r="F1758" s="4" t="str">
        <f>IF(campaignData[[#This Row],[Campaign]]="Old_Campaign", "A", "B")</f>
        <v>A</v>
      </c>
    </row>
    <row r="1759" spans="1:6" x14ac:dyDescent="0.2">
      <c r="A1759" s="1">
        <v>45075</v>
      </c>
      <c r="B1759" s="5" t="s">
        <v>6</v>
      </c>
      <c r="C1759" s="2">
        <v>1108</v>
      </c>
      <c r="D1759" s="2">
        <v>250</v>
      </c>
      <c r="E1759" s="3">
        <v>3482.02</v>
      </c>
      <c r="F1759" s="4" t="str">
        <f>IF(campaignData[[#This Row],[Campaign]]="Old_Campaign", "A", "B")</f>
        <v>B</v>
      </c>
    </row>
    <row r="1760" spans="1:6" x14ac:dyDescent="0.2">
      <c r="A1760" s="1">
        <v>45076</v>
      </c>
      <c r="B1760" s="5" t="s">
        <v>5</v>
      </c>
      <c r="C1760" s="2">
        <v>1202</v>
      </c>
      <c r="D1760" s="2">
        <v>234</v>
      </c>
      <c r="E1760" s="3">
        <v>3157.5</v>
      </c>
      <c r="F1760" s="4" t="str">
        <f>IF(campaignData[[#This Row],[Campaign]]="Old_Campaign", "A", "B")</f>
        <v>A</v>
      </c>
    </row>
    <row r="1761" spans="1:6" x14ac:dyDescent="0.2">
      <c r="A1761" s="1">
        <v>45076</v>
      </c>
      <c r="B1761" s="5" t="s">
        <v>6</v>
      </c>
      <c r="C1761" s="2">
        <v>1180</v>
      </c>
      <c r="D1761" s="2">
        <v>257</v>
      </c>
      <c r="E1761" s="3">
        <v>4053.61</v>
      </c>
      <c r="F1761" s="4" t="str">
        <f>IF(campaignData[[#This Row],[Campaign]]="Old_Campaign", "A", "B")</f>
        <v>B</v>
      </c>
    </row>
    <row r="1762" spans="1:6" x14ac:dyDescent="0.2">
      <c r="A1762" s="1">
        <v>45077</v>
      </c>
      <c r="B1762" s="5" t="s">
        <v>5</v>
      </c>
      <c r="C1762" s="2">
        <v>1247</v>
      </c>
      <c r="D1762" s="2">
        <v>227</v>
      </c>
      <c r="E1762" s="3">
        <v>3191.28</v>
      </c>
      <c r="F1762" s="4" t="str">
        <f>IF(campaignData[[#This Row],[Campaign]]="Old_Campaign", "A", "B")</f>
        <v>A</v>
      </c>
    </row>
    <row r="1763" spans="1:6" x14ac:dyDescent="0.2">
      <c r="A1763" s="1">
        <v>45077</v>
      </c>
      <c r="B1763" s="5" t="s">
        <v>6</v>
      </c>
      <c r="C1763" s="2">
        <v>1160</v>
      </c>
      <c r="D1763" s="2">
        <v>257</v>
      </c>
      <c r="E1763" s="3">
        <v>4688.29</v>
      </c>
      <c r="F1763" s="4" t="str">
        <f>IF(campaignData[[#This Row],[Campaign]]="Old_Campaign", "A", "B")</f>
        <v>B</v>
      </c>
    </row>
    <row r="1764" spans="1:6" x14ac:dyDescent="0.2">
      <c r="A1764" s="1">
        <v>45078</v>
      </c>
      <c r="B1764" s="5" t="s">
        <v>5</v>
      </c>
      <c r="C1764" s="2">
        <v>1200</v>
      </c>
      <c r="D1764" s="2">
        <v>222</v>
      </c>
      <c r="E1764" s="3">
        <v>3577.49</v>
      </c>
      <c r="F1764" s="4" t="str">
        <f>IF(campaignData[[#This Row],[Campaign]]="Old_Campaign", "A", "B")</f>
        <v>A</v>
      </c>
    </row>
    <row r="1765" spans="1:6" x14ac:dyDescent="0.2">
      <c r="A1765" s="1">
        <v>45078</v>
      </c>
      <c r="B1765" s="5" t="s">
        <v>6</v>
      </c>
      <c r="C1765" s="2">
        <v>1181</v>
      </c>
      <c r="D1765" s="2">
        <v>257</v>
      </c>
      <c r="E1765" s="3">
        <v>4436.96</v>
      </c>
      <c r="F1765" s="4" t="str">
        <f>IF(campaignData[[#This Row],[Campaign]]="Old_Campaign", "A", "B")</f>
        <v>B</v>
      </c>
    </row>
    <row r="1766" spans="1:6" x14ac:dyDescent="0.2">
      <c r="A1766" s="1">
        <v>45079</v>
      </c>
      <c r="B1766" s="5" t="s">
        <v>5</v>
      </c>
      <c r="C1766" s="2">
        <v>1251</v>
      </c>
      <c r="D1766" s="2">
        <v>217</v>
      </c>
      <c r="E1766" s="3">
        <v>3301.74</v>
      </c>
      <c r="F1766" s="4" t="str">
        <f>IF(campaignData[[#This Row],[Campaign]]="Old_Campaign", "A", "B")</f>
        <v>A</v>
      </c>
    </row>
    <row r="1767" spans="1:6" x14ac:dyDescent="0.2">
      <c r="A1767" s="1">
        <v>45079</v>
      </c>
      <c r="B1767" s="5" t="s">
        <v>6</v>
      </c>
      <c r="C1767" s="2">
        <v>1164</v>
      </c>
      <c r="D1767" s="2">
        <v>249</v>
      </c>
      <c r="E1767" s="3">
        <v>4481.1099999999997</v>
      </c>
      <c r="F1767" s="4" t="str">
        <f>IF(campaignData[[#This Row],[Campaign]]="Old_Campaign", "A", "B")</f>
        <v>B</v>
      </c>
    </row>
    <row r="1768" spans="1:6" x14ac:dyDescent="0.2">
      <c r="A1768" s="1">
        <v>45080</v>
      </c>
      <c r="B1768" s="5" t="s">
        <v>5</v>
      </c>
      <c r="C1768" s="2">
        <v>1200</v>
      </c>
      <c r="D1768" s="2">
        <v>236</v>
      </c>
      <c r="E1768" s="3">
        <v>3284.94</v>
      </c>
      <c r="F1768" s="4" t="str">
        <f>IF(campaignData[[#This Row],[Campaign]]="Old_Campaign", "A", "B")</f>
        <v>A</v>
      </c>
    </row>
    <row r="1769" spans="1:6" x14ac:dyDescent="0.2">
      <c r="A1769" s="1">
        <v>45080</v>
      </c>
      <c r="B1769" s="5" t="s">
        <v>6</v>
      </c>
      <c r="C1769" s="2">
        <v>1111</v>
      </c>
      <c r="D1769" s="2">
        <v>297</v>
      </c>
      <c r="E1769" s="3">
        <v>4275.92</v>
      </c>
      <c r="F1769" s="4" t="str">
        <f>IF(campaignData[[#This Row],[Campaign]]="Old_Campaign", "A", "B")</f>
        <v>B</v>
      </c>
    </row>
    <row r="1770" spans="1:6" x14ac:dyDescent="0.2">
      <c r="A1770" s="1">
        <v>45081</v>
      </c>
      <c r="B1770" s="5" t="s">
        <v>5</v>
      </c>
      <c r="C1770" s="2">
        <v>1176</v>
      </c>
      <c r="D1770" s="2">
        <v>243</v>
      </c>
      <c r="E1770" s="3">
        <v>3947.75</v>
      </c>
      <c r="F1770" s="4" t="str">
        <f>IF(campaignData[[#This Row],[Campaign]]="Old_Campaign", "A", "B")</f>
        <v>A</v>
      </c>
    </row>
    <row r="1771" spans="1:6" x14ac:dyDescent="0.2">
      <c r="A1771" s="1">
        <v>45081</v>
      </c>
      <c r="B1771" s="5" t="s">
        <v>6</v>
      </c>
      <c r="C1771" s="2">
        <v>1123</v>
      </c>
      <c r="D1771" s="2">
        <v>229</v>
      </c>
      <c r="E1771" s="3">
        <v>3957.83</v>
      </c>
      <c r="F1771" s="4" t="str">
        <f>IF(campaignData[[#This Row],[Campaign]]="Old_Campaign", "A", "B")</f>
        <v>B</v>
      </c>
    </row>
    <row r="1772" spans="1:6" x14ac:dyDescent="0.2">
      <c r="A1772" s="1">
        <v>45082</v>
      </c>
      <c r="B1772" s="5" t="s">
        <v>5</v>
      </c>
      <c r="C1772" s="2">
        <v>1220</v>
      </c>
      <c r="D1772" s="2">
        <v>233</v>
      </c>
      <c r="E1772" s="3">
        <v>3392.14</v>
      </c>
      <c r="F1772" s="4" t="str">
        <f>IF(campaignData[[#This Row],[Campaign]]="Old_Campaign", "A", "B")</f>
        <v>A</v>
      </c>
    </row>
    <row r="1773" spans="1:6" x14ac:dyDescent="0.2">
      <c r="A1773" s="1">
        <v>45082</v>
      </c>
      <c r="B1773" s="5" t="s">
        <v>6</v>
      </c>
      <c r="C1773" s="2">
        <v>1160</v>
      </c>
      <c r="D1773" s="2">
        <v>258</v>
      </c>
      <c r="E1773" s="3">
        <v>3440.34</v>
      </c>
      <c r="F1773" s="4" t="str">
        <f>IF(campaignData[[#This Row],[Campaign]]="Old_Campaign", "A", "B")</f>
        <v>B</v>
      </c>
    </row>
    <row r="1774" spans="1:6" x14ac:dyDescent="0.2">
      <c r="A1774" s="1">
        <v>45083</v>
      </c>
      <c r="B1774" s="5" t="s">
        <v>5</v>
      </c>
      <c r="C1774" s="2">
        <v>1148</v>
      </c>
      <c r="D1774" s="2">
        <v>222</v>
      </c>
      <c r="E1774" s="3">
        <v>3137.91</v>
      </c>
      <c r="F1774" s="4" t="str">
        <f>IF(campaignData[[#This Row],[Campaign]]="Old_Campaign", "A", "B")</f>
        <v>A</v>
      </c>
    </row>
    <row r="1775" spans="1:6" x14ac:dyDescent="0.2">
      <c r="A1775" s="1">
        <v>45083</v>
      </c>
      <c r="B1775" s="5" t="s">
        <v>6</v>
      </c>
      <c r="C1775" s="2">
        <v>1204</v>
      </c>
      <c r="D1775" s="2">
        <v>275</v>
      </c>
      <c r="E1775" s="3">
        <v>5602.15</v>
      </c>
      <c r="F1775" s="4" t="str">
        <f>IF(campaignData[[#This Row],[Campaign]]="Old_Campaign", "A", "B")</f>
        <v>B</v>
      </c>
    </row>
    <row r="1776" spans="1:6" x14ac:dyDescent="0.2">
      <c r="A1776" s="1">
        <v>45084</v>
      </c>
      <c r="B1776" s="5" t="s">
        <v>5</v>
      </c>
      <c r="C1776" s="2">
        <v>1196</v>
      </c>
      <c r="D1776" s="2">
        <v>219</v>
      </c>
      <c r="E1776" s="3">
        <v>3992.75</v>
      </c>
      <c r="F1776" s="4" t="str">
        <f>IF(campaignData[[#This Row],[Campaign]]="Old_Campaign", "A", "B")</f>
        <v>A</v>
      </c>
    </row>
    <row r="1777" spans="1:6" x14ac:dyDescent="0.2">
      <c r="A1777" s="1">
        <v>45084</v>
      </c>
      <c r="B1777" s="5" t="s">
        <v>6</v>
      </c>
      <c r="C1777" s="2">
        <v>1187</v>
      </c>
      <c r="D1777" s="2">
        <v>277</v>
      </c>
      <c r="E1777" s="3">
        <v>3897.45</v>
      </c>
      <c r="F1777" s="4" t="str">
        <f>IF(campaignData[[#This Row],[Campaign]]="Old_Campaign", "A", "B")</f>
        <v>B</v>
      </c>
    </row>
    <row r="1778" spans="1:6" x14ac:dyDescent="0.2">
      <c r="A1778" s="1">
        <v>45085</v>
      </c>
      <c r="B1778" s="5" t="s">
        <v>5</v>
      </c>
      <c r="C1778" s="2">
        <v>1174</v>
      </c>
      <c r="D1778" s="2">
        <v>210</v>
      </c>
      <c r="E1778" s="3">
        <v>4568.5</v>
      </c>
      <c r="F1778" s="4" t="str">
        <f>IF(campaignData[[#This Row],[Campaign]]="Old_Campaign", "A", "B")</f>
        <v>A</v>
      </c>
    </row>
    <row r="1779" spans="1:6" x14ac:dyDescent="0.2">
      <c r="A1779" s="1">
        <v>45085</v>
      </c>
      <c r="B1779" s="5" t="s">
        <v>6</v>
      </c>
      <c r="C1779" s="2">
        <v>1112</v>
      </c>
      <c r="D1779" s="2">
        <v>263</v>
      </c>
      <c r="E1779" s="3">
        <v>4563.84</v>
      </c>
      <c r="F1779" s="4" t="str">
        <f>IF(campaignData[[#This Row],[Campaign]]="Old_Campaign", "A", "B")</f>
        <v>B</v>
      </c>
    </row>
    <row r="1780" spans="1:6" x14ac:dyDescent="0.2">
      <c r="A1780" s="1">
        <v>45086</v>
      </c>
      <c r="B1780" s="5" t="s">
        <v>5</v>
      </c>
      <c r="C1780" s="2">
        <v>1233</v>
      </c>
      <c r="D1780" s="2">
        <v>235</v>
      </c>
      <c r="E1780" s="3">
        <v>3373.11</v>
      </c>
      <c r="F1780" s="4" t="str">
        <f>IF(campaignData[[#This Row],[Campaign]]="Old_Campaign", "A", "B")</f>
        <v>A</v>
      </c>
    </row>
    <row r="1781" spans="1:6" x14ac:dyDescent="0.2">
      <c r="A1781" s="1">
        <v>45086</v>
      </c>
      <c r="B1781" s="5" t="s">
        <v>6</v>
      </c>
      <c r="C1781" s="2">
        <v>1172</v>
      </c>
      <c r="D1781" s="2">
        <v>280</v>
      </c>
      <c r="E1781" s="3">
        <v>4630.53</v>
      </c>
      <c r="F1781" s="4" t="str">
        <f>IF(campaignData[[#This Row],[Campaign]]="Old_Campaign", "A", "B")</f>
        <v>B</v>
      </c>
    </row>
    <row r="1782" spans="1:6" x14ac:dyDescent="0.2">
      <c r="A1782" s="1">
        <v>45087</v>
      </c>
      <c r="B1782" s="5" t="s">
        <v>5</v>
      </c>
      <c r="C1782" s="2">
        <v>1199</v>
      </c>
      <c r="D1782" s="2">
        <v>220</v>
      </c>
      <c r="E1782" s="3">
        <v>2969.68</v>
      </c>
      <c r="F1782" s="4" t="str">
        <f>IF(campaignData[[#This Row],[Campaign]]="Old_Campaign", "A", "B")</f>
        <v>A</v>
      </c>
    </row>
    <row r="1783" spans="1:6" x14ac:dyDescent="0.2">
      <c r="A1783" s="1">
        <v>45087</v>
      </c>
      <c r="B1783" s="5" t="s">
        <v>6</v>
      </c>
      <c r="C1783" s="2">
        <v>1162</v>
      </c>
      <c r="D1783" s="2">
        <v>277</v>
      </c>
      <c r="E1783" s="3">
        <v>4871.16</v>
      </c>
      <c r="F1783" s="4" t="str">
        <f>IF(campaignData[[#This Row],[Campaign]]="Old_Campaign", "A", "B")</f>
        <v>B</v>
      </c>
    </row>
    <row r="1784" spans="1:6" x14ac:dyDescent="0.2">
      <c r="A1784" s="1">
        <v>45088</v>
      </c>
      <c r="B1784" s="5" t="s">
        <v>5</v>
      </c>
      <c r="C1784" s="2">
        <v>1172</v>
      </c>
      <c r="D1784" s="2">
        <v>242</v>
      </c>
      <c r="E1784" s="3">
        <v>4820.58</v>
      </c>
      <c r="F1784" s="4" t="str">
        <f>IF(campaignData[[#This Row],[Campaign]]="Old_Campaign", "A", "B")</f>
        <v>A</v>
      </c>
    </row>
    <row r="1785" spans="1:6" x14ac:dyDescent="0.2">
      <c r="A1785" s="1">
        <v>45088</v>
      </c>
      <c r="B1785" s="5" t="s">
        <v>6</v>
      </c>
      <c r="C1785" s="2">
        <v>1130</v>
      </c>
      <c r="D1785" s="2">
        <v>261</v>
      </c>
      <c r="E1785" s="3">
        <v>4583.9399999999996</v>
      </c>
      <c r="F1785" s="4" t="str">
        <f>IF(campaignData[[#This Row],[Campaign]]="Old_Campaign", "A", "B")</f>
        <v>B</v>
      </c>
    </row>
    <row r="1786" spans="1:6" x14ac:dyDescent="0.2">
      <c r="A1786" s="1">
        <v>45089</v>
      </c>
      <c r="B1786" s="5" t="s">
        <v>5</v>
      </c>
      <c r="C1786" s="2">
        <v>1225</v>
      </c>
      <c r="D1786" s="2">
        <v>237</v>
      </c>
      <c r="E1786" s="3">
        <v>3079.07</v>
      </c>
      <c r="F1786" s="4" t="str">
        <f>IF(campaignData[[#This Row],[Campaign]]="Old_Campaign", "A", "B")</f>
        <v>A</v>
      </c>
    </row>
    <row r="1787" spans="1:6" x14ac:dyDescent="0.2">
      <c r="A1787" s="1">
        <v>45089</v>
      </c>
      <c r="B1787" s="5" t="s">
        <v>6</v>
      </c>
      <c r="C1787" s="2">
        <v>1104</v>
      </c>
      <c r="D1787" s="2">
        <v>256</v>
      </c>
      <c r="E1787" s="3">
        <v>4579.53</v>
      </c>
      <c r="F1787" s="4" t="str">
        <f>IF(campaignData[[#This Row],[Campaign]]="Old_Campaign", "A", "B")</f>
        <v>B</v>
      </c>
    </row>
    <row r="1788" spans="1:6" x14ac:dyDescent="0.2">
      <c r="A1788" s="1">
        <v>45090</v>
      </c>
      <c r="B1788" s="5" t="s">
        <v>5</v>
      </c>
      <c r="C1788" s="2">
        <v>1215</v>
      </c>
      <c r="D1788" s="2">
        <v>242</v>
      </c>
      <c r="E1788" s="3">
        <v>4057.08</v>
      </c>
      <c r="F1788" s="4" t="str">
        <f>IF(campaignData[[#This Row],[Campaign]]="Old_Campaign", "A", "B")</f>
        <v>A</v>
      </c>
    </row>
    <row r="1789" spans="1:6" x14ac:dyDescent="0.2">
      <c r="A1789" s="1">
        <v>45090</v>
      </c>
      <c r="B1789" s="5" t="s">
        <v>6</v>
      </c>
      <c r="C1789" s="2">
        <v>1153</v>
      </c>
      <c r="D1789" s="2">
        <v>282</v>
      </c>
      <c r="E1789" s="3">
        <v>5091.5</v>
      </c>
      <c r="F1789" s="4" t="str">
        <f>IF(campaignData[[#This Row],[Campaign]]="Old_Campaign", "A", "B")</f>
        <v>B</v>
      </c>
    </row>
    <row r="1790" spans="1:6" x14ac:dyDescent="0.2">
      <c r="A1790" s="1">
        <v>45091</v>
      </c>
      <c r="B1790" s="5" t="s">
        <v>5</v>
      </c>
      <c r="C1790" s="2">
        <v>1191</v>
      </c>
      <c r="D1790" s="2">
        <v>247</v>
      </c>
      <c r="E1790" s="3">
        <v>4115.76</v>
      </c>
      <c r="F1790" s="4" t="str">
        <f>IF(campaignData[[#This Row],[Campaign]]="Old_Campaign", "A", "B")</f>
        <v>A</v>
      </c>
    </row>
    <row r="1791" spans="1:6" x14ac:dyDescent="0.2">
      <c r="A1791" s="1">
        <v>45091</v>
      </c>
      <c r="B1791" s="5" t="s">
        <v>6</v>
      </c>
      <c r="C1791" s="2">
        <v>1230</v>
      </c>
      <c r="D1791" s="2">
        <v>297</v>
      </c>
      <c r="E1791" s="3">
        <v>5226.07</v>
      </c>
      <c r="F1791" s="4" t="str">
        <f>IF(campaignData[[#This Row],[Campaign]]="Old_Campaign", "A", "B")</f>
        <v>B</v>
      </c>
    </row>
    <row r="1792" spans="1:6" x14ac:dyDescent="0.2">
      <c r="A1792" s="1">
        <v>45092</v>
      </c>
      <c r="B1792" s="5" t="s">
        <v>5</v>
      </c>
      <c r="C1792" s="2">
        <v>1183</v>
      </c>
      <c r="D1792" s="2">
        <v>234</v>
      </c>
      <c r="E1792" s="3">
        <v>3623.29</v>
      </c>
      <c r="F1792" s="4" t="str">
        <f>IF(campaignData[[#This Row],[Campaign]]="Old_Campaign", "A", "B")</f>
        <v>A</v>
      </c>
    </row>
    <row r="1793" spans="1:6" x14ac:dyDescent="0.2">
      <c r="A1793" s="1">
        <v>45092</v>
      </c>
      <c r="B1793" s="5" t="s">
        <v>6</v>
      </c>
      <c r="C1793" s="2">
        <v>1174</v>
      </c>
      <c r="D1793" s="2">
        <v>293</v>
      </c>
      <c r="E1793" s="3">
        <v>4189.33</v>
      </c>
      <c r="F1793" s="4" t="str">
        <f>IF(campaignData[[#This Row],[Campaign]]="Old_Campaign", "A", "B")</f>
        <v>B</v>
      </c>
    </row>
    <row r="1794" spans="1:6" x14ac:dyDescent="0.2">
      <c r="A1794" s="1">
        <v>45093</v>
      </c>
      <c r="B1794" s="5" t="s">
        <v>5</v>
      </c>
      <c r="C1794" s="2">
        <v>1179</v>
      </c>
      <c r="D1794" s="2">
        <v>231</v>
      </c>
      <c r="E1794" s="3">
        <v>4300.13</v>
      </c>
      <c r="F1794" s="4" t="str">
        <f>IF(campaignData[[#This Row],[Campaign]]="Old_Campaign", "A", "B")</f>
        <v>A</v>
      </c>
    </row>
    <row r="1795" spans="1:6" x14ac:dyDescent="0.2">
      <c r="A1795" s="1">
        <v>45093</v>
      </c>
      <c r="B1795" s="5" t="s">
        <v>6</v>
      </c>
      <c r="C1795" s="2">
        <v>1176</v>
      </c>
      <c r="D1795" s="2">
        <v>250</v>
      </c>
      <c r="E1795" s="3">
        <v>4820.71</v>
      </c>
      <c r="F1795" s="4" t="str">
        <f>IF(campaignData[[#This Row],[Campaign]]="Old_Campaign", "A", "B")</f>
        <v>B</v>
      </c>
    </row>
    <row r="1796" spans="1:6" x14ac:dyDescent="0.2">
      <c r="A1796" s="1">
        <v>45094</v>
      </c>
      <c r="B1796" s="5" t="s">
        <v>5</v>
      </c>
      <c r="C1796" s="2">
        <v>1144</v>
      </c>
      <c r="D1796" s="2">
        <v>201</v>
      </c>
      <c r="E1796" s="3">
        <v>2928.49</v>
      </c>
      <c r="F1796" s="4" t="str">
        <f>IF(campaignData[[#This Row],[Campaign]]="Old_Campaign", "A", "B")</f>
        <v>A</v>
      </c>
    </row>
    <row r="1797" spans="1:6" x14ac:dyDescent="0.2">
      <c r="A1797" s="1">
        <v>45094</v>
      </c>
      <c r="B1797" s="5" t="s">
        <v>6</v>
      </c>
      <c r="C1797" s="2">
        <v>1212</v>
      </c>
      <c r="D1797" s="2">
        <v>281</v>
      </c>
      <c r="E1797" s="3">
        <v>5138.59</v>
      </c>
      <c r="F1797" s="4" t="str">
        <f>IF(campaignData[[#This Row],[Campaign]]="Old_Campaign", "A", "B")</f>
        <v>B</v>
      </c>
    </row>
    <row r="1798" spans="1:6" x14ac:dyDescent="0.2">
      <c r="A1798" s="1">
        <v>45095</v>
      </c>
      <c r="B1798" s="5" t="s">
        <v>5</v>
      </c>
      <c r="C1798" s="2">
        <v>1179</v>
      </c>
      <c r="D1798" s="2">
        <v>250</v>
      </c>
      <c r="E1798" s="3">
        <v>3824.39</v>
      </c>
      <c r="F1798" s="4" t="str">
        <f>IF(campaignData[[#This Row],[Campaign]]="Old_Campaign", "A", "B")</f>
        <v>A</v>
      </c>
    </row>
    <row r="1799" spans="1:6" x14ac:dyDescent="0.2">
      <c r="A1799" s="1">
        <v>45095</v>
      </c>
      <c r="B1799" s="5" t="s">
        <v>6</v>
      </c>
      <c r="C1799" s="2">
        <v>1141</v>
      </c>
      <c r="D1799" s="2">
        <v>267</v>
      </c>
      <c r="E1799" s="3">
        <v>4180.55</v>
      </c>
      <c r="F1799" s="4" t="str">
        <f>IF(campaignData[[#This Row],[Campaign]]="Old_Campaign", "A", "B")</f>
        <v>B</v>
      </c>
    </row>
    <row r="1800" spans="1:6" x14ac:dyDescent="0.2">
      <c r="A1800" s="1">
        <v>45096</v>
      </c>
      <c r="B1800" s="5" t="s">
        <v>5</v>
      </c>
      <c r="C1800" s="2">
        <v>1203</v>
      </c>
      <c r="D1800" s="2">
        <v>207</v>
      </c>
      <c r="E1800" s="3">
        <v>2949.16</v>
      </c>
      <c r="F1800" s="4" t="str">
        <f>IF(campaignData[[#This Row],[Campaign]]="Old_Campaign", "A", "B")</f>
        <v>A</v>
      </c>
    </row>
    <row r="1801" spans="1:6" x14ac:dyDescent="0.2">
      <c r="A1801" s="1">
        <v>45096</v>
      </c>
      <c r="B1801" s="5" t="s">
        <v>6</v>
      </c>
      <c r="C1801" s="2">
        <v>1179</v>
      </c>
      <c r="D1801" s="2">
        <v>281</v>
      </c>
      <c r="E1801" s="3">
        <v>4673.63</v>
      </c>
      <c r="F1801" s="4" t="str">
        <f>IF(campaignData[[#This Row],[Campaign]]="Old_Campaign", "A", "B")</f>
        <v>B</v>
      </c>
    </row>
    <row r="1802" spans="1:6" x14ac:dyDescent="0.2">
      <c r="A1802" s="1">
        <v>45097</v>
      </c>
      <c r="B1802" s="5" t="s">
        <v>5</v>
      </c>
      <c r="C1802" s="2">
        <v>1243</v>
      </c>
      <c r="D1802" s="2">
        <v>242</v>
      </c>
      <c r="E1802" s="3">
        <v>3602.51</v>
      </c>
      <c r="F1802" s="4" t="str">
        <f>IF(campaignData[[#This Row],[Campaign]]="Old_Campaign", "A", "B")</f>
        <v>A</v>
      </c>
    </row>
    <row r="1803" spans="1:6" x14ac:dyDescent="0.2">
      <c r="A1803" s="1">
        <v>45097</v>
      </c>
      <c r="B1803" s="5" t="s">
        <v>6</v>
      </c>
      <c r="C1803" s="2">
        <v>1117</v>
      </c>
      <c r="D1803" s="2">
        <v>268</v>
      </c>
      <c r="E1803" s="3">
        <v>3810.73</v>
      </c>
      <c r="F1803" s="4" t="str">
        <f>IF(campaignData[[#This Row],[Campaign]]="Old_Campaign", "A", "B")</f>
        <v>B</v>
      </c>
    </row>
    <row r="1804" spans="1:6" x14ac:dyDescent="0.2">
      <c r="A1804" s="1">
        <v>45098</v>
      </c>
      <c r="B1804" s="5" t="s">
        <v>5</v>
      </c>
      <c r="C1804" s="2">
        <v>1215</v>
      </c>
      <c r="D1804" s="2">
        <v>233</v>
      </c>
      <c r="E1804" s="3">
        <v>3315.11</v>
      </c>
      <c r="F1804" s="4" t="str">
        <f>IF(campaignData[[#This Row],[Campaign]]="Old_Campaign", "A", "B")</f>
        <v>A</v>
      </c>
    </row>
    <row r="1805" spans="1:6" x14ac:dyDescent="0.2">
      <c r="A1805" s="1">
        <v>45098</v>
      </c>
      <c r="B1805" s="5" t="s">
        <v>6</v>
      </c>
      <c r="C1805" s="2">
        <v>1139</v>
      </c>
      <c r="D1805" s="2">
        <v>234</v>
      </c>
      <c r="E1805" s="3">
        <v>3315.43</v>
      </c>
      <c r="F1805" s="4" t="str">
        <f>IF(campaignData[[#This Row],[Campaign]]="Old_Campaign", "A", "B")</f>
        <v>B</v>
      </c>
    </row>
    <row r="1806" spans="1:6" x14ac:dyDescent="0.2">
      <c r="A1806" s="1">
        <v>45099</v>
      </c>
      <c r="B1806" s="5" t="s">
        <v>5</v>
      </c>
      <c r="C1806" s="2">
        <v>1156</v>
      </c>
      <c r="D1806" s="2">
        <v>226</v>
      </c>
      <c r="E1806" s="3">
        <v>3755.97</v>
      </c>
      <c r="F1806" s="4" t="str">
        <f>IF(campaignData[[#This Row],[Campaign]]="Old_Campaign", "A", "B")</f>
        <v>A</v>
      </c>
    </row>
    <row r="1807" spans="1:6" x14ac:dyDescent="0.2">
      <c r="A1807" s="1">
        <v>45099</v>
      </c>
      <c r="B1807" s="5" t="s">
        <v>6</v>
      </c>
      <c r="C1807" s="2">
        <v>1188</v>
      </c>
      <c r="D1807" s="2">
        <v>267</v>
      </c>
      <c r="E1807" s="3">
        <v>4395.2</v>
      </c>
      <c r="F1807" s="4" t="str">
        <f>IF(campaignData[[#This Row],[Campaign]]="Old_Campaign", "A", "B")</f>
        <v>B</v>
      </c>
    </row>
    <row r="1808" spans="1:6" x14ac:dyDescent="0.2">
      <c r="A1808" s="1">
        <v>45100</v>
      </c>
      <c r="B1808" s="5" t="s">
        <v>5</v>
      </c>
      <c r="C1808" s="2">
        <v>1205</v>
      </c>
      <c r="D1808" s="2">
        <v>228</v>
      </c>
      <c r="E1808" s="3">
        <v>3600.54</v>
      </c>
      <c r="F1808" s="4" t="str">
        <f>IF(campaignData[[#This Row],[Campaign]]="Old_Campaign", "A", "B")</f>
        <v>A</v>
      </c>
    </row>
    <row r="1809" spans="1:6" x14ac:dyDescent="0.2">
      <c r="A1809" s="1">
        <v>45100</v>
      </c>
      <c r="B1809" s="5" t="s">
        <v>6</v>
      </c>
      <c r="C1809" s="2">
        <v>1145</v>
      </c>
      <c r="D1809" s="2">
        <v>255</v>
      </c>
      <c r="E1809" s="3">
        <v>4020.24</v>
      </c>
      <c r="F1809" s="4" t="str">
        <f>IF(campaignData[[#This Row],[Campaign]]="Old_Campaign", "A", "B")</f>
        <v>B</v>
      </c>
    </row>
    <row r="1810" spans="1:6" x14ac:dyDescent="0.2">
      <c r="A1810" s="1">
        <v>45101</v>
      </c>
      <c r="B1810" s="5" t="s">
        <v>5</v>
      </c>
      <c r="C1810" s="2">
        <v>1207</v>
      </c>
      <c r="D1810" s="2">
        <v>223</v>
      </c>
      <c r="E1810" s="3">
        <v>3449.3</v>
      </c>
      <c r="F1810" s="4" t="str">
        <f>IF(campaignData[[#This Row],[Campaign]]="Old_Campaign", "A", "B")</f>
        <v>A</v>
      </c>
    </row>
    <row r="1811" spans="1:6" x14ac:dyDescent="0.2">
      <c r="A1811" s="1">
        <v>45101</v>
      </c>
      <c r="B1811" s="5" t="s">
        <v>6</v>
      </c>
      <c r="C1811" s="2">
        <v>1138</v>
      </c>
      <c r="D1811" s="2">
        <v>264</v>
      </c>
      <c r="E1811" s="3">
        <v>4839.12</v>
      </c>
      <c r="F1811" s="4" t="str">
        <f>IF(campaignData[[#This Row],[Campaign]]="Old_Campaign", "A", "B")</f>
        <v>B</v>
      </c>
    </row>
    <row r="1812" spans="1:6" x14ac:dyDescent="0.2">
      <c r="A1812" s="1">
        <v>45102</v>
      </c>
      <c r="B1812" s="5" t="s">
        <v>5</v>
      </c>
      <c r="C1812" s="2">
        <v>1195</v>
      </c>
      <c r="D1812" s="2">
        <v>245</v>
      </c>
      <c r="E1812" s="3">
        <v>3603.22</v>
      </c>
      <c r="F1812" s="4" t="str">
        <f>IF(campaignData[[#This Row],[Campaign]]="Old_Campaign", "A", "B")</f>
        <v>A</v>
      </c>
    </row>
    <row r="1813" spans="1:6" x14ac:dyDescent="0.2">
      <c r="A1813" s="1">
        <v>45102</v>
      </c>
      <c r="B1813" s="5" t="s">
        <v>6</v>
      </c>
      <c r="C1813" s="2">
        <v>1159</v>
      </c>
      <c r="D1813" s="2">
        <v>259</v>
      </c>
      <c r="E1813" s="3">
        <v>4665.32</v>
      </c>
      <c r="F1813" s="4" t="str">
        <f>IF(campaignData[[#This Row],[Campaign]]="Old_Campaign", "A", "B")</f>
        <v>B</v>
      </c>
    </row>
    <row r="1814" spans="1:6" x14ac:dyDescent="0.2">
      <c r="A1814" s="1">
        <v>45103</v>
      </c>
      <c r="B1814" s="5" t="s">
        <v>5</v>
      </c>
      <c r="C1814" s="2">
        <v>1221</v>
      </c>
      <c r="D1814" s="2">
        <v>255</v>
      </c>
      <c r="E1814" s="3">
        <v>3544.54</v>
      </c>
      <c r="F1814" s="4" t="str">
        <f>IF(campaignData[[#This Row],[Campaign]]="Old_Campaign", "A", "B")</f>
        <v>A</v>
      </c>
    </row>
    <row r="1815" spans="1:6" x14ac:dyDescent="0.2">
      <c r="A1815" s="1">
        <v>45103</v>
      </c>
      <c r="B1815" s="5" t="s">
        <v>6</v>
      </c>
      <c r="C1815" s="2">
        <v>1195</v>
      </c>
      <c r="D1815" s="2">
        <v>275</v>
      </c>
      <c r="E1815" s="3">
        <v>4119.46</v>
      </c>
      <c r="F1815" s="4" t="str">
        <f>IF(campaignData[[#This Row],[Campaign]]="Old_Campaign", "A", "B")</f>
        <v>B</v>
      </c>
    </row>
    <row r="1816" spans="1:6" x14ac:dyDescent="0.2">
      <c r="A1816" s="1">
        <v>45104</v>
      </c>
      <c r="B1816" s="5" t="s">
        <v>5</v>
      </c>
      <c r="C1816" s="2">
        <v>1198</v>
      </c>
      <c r="D1816" s="2">
        <v>218</v>
      </c>
      <c r="E1816" s="3">
        <v>2494.16</v>
      </c>
      <c r="F1816" s="4" t="str">
        <f>IF(campaignData[[#This Row],[Campaign]]="Old_Campaign", "A", "B")</f>
        <v>A</v>
      </c>
    </row>
    <row r="1817" spans="1:6" x14ac:dyDescent="0.2">
      <c r="A1817" s="1">
        <v>45104</v>
      </c>
      <c r="B1817" s="5" t="s">
        <v>6</v>
      </c>
      <c r="C1817" s="2">
        <v>1146</v>
      </c>
      <c r="D1817" s="2">
        <v>265</v>
      </c>
      <c r="E1817" s="3">
        <v>3957.51</v>
      </c>
      <c r="F1817" s="4" t="str">
        <f>IF(campaignData[[#This Row],[Campaign]]="Old_Campaign", "A", "B")</f>
        <v>B</v>
      </c>
    </row>
    <row r="1818" spans="1:6" x14ac:dyDescent="0.2">
      <c r="A1818" s="1">
        <v>45105</v>
      </c>
      <c r="B1818" s="5" t="s">
        <v>5</v>
      </c>
      <c r="C1818" s="2">
        <v>1223</v>
      </c>
      <c r="D1818" s="2">
        <v>264</v>
      </c>
      <c r="E1818" s="3">
        <v>3539.89</v>
      </c>
      <c r="F1818" s="4" t="str">
        <f>IF(campaignData[[#This Row],[Campaign]]="Old_Campaign", "A", "B")</f>
        <v>A</v>
      </c>
    </row>
    <row r="1819" spans="1:6" x14ac:dyDescent="0.2">
      <c r="A1819" s="1">
        <v>45105</v>
      </c>
      <c r="B1819" s="5" t="s">
        <v>6</v>
      </c>
      <c r="C1819" s="2">
        <v>1115</v>
      </c>
      <c r="D1819" s="2">
        <v>236</v>
      </c>
      <c r="E1819" s="3">
        <v>4436.53</v>
      </c>
      <c r="F1819" s="4" t="str">
        <f>IF(campaignData[[#This Row],[Campaign]]="Old_Campaign", "A", "B")</f>
        <v>B</v>
      </c>
    </row>
    <row r="1820" spans="1:6" x14ac:dyDescent="0.2">
      <c r="A1820" s="1">
        <v>45106</v>
      </c>
      <c r="B1820" s="5" t="s">
        <v>5</v>
      </c>
      <c r="C1820" s="2">
        <v>1146</v>
      </c>
      <c r="D1820" s="2">
        <v>228</v>
      </c>
      <c r="E1820" s="3">
        <v>3061.32</v>
      </c>
      <c r="F1820" s="4" t="str">
        <f>IF(campaignData[[#This Row],[Campaign]]="Old_Campaign", "A", "B")</f>
        <v>A</v>
      </c>
    </row>
    <row r="1821" spans="1:6" x14ac:dyDescent="0.2">
      <c r="A1821" s="1">
        <v>45106</v>
      </c>
      <c r="B1821" s="5" t="s">
        <v>6</v>
      </c>
      <c r="C1821" s="2">
        <v>1155</v>
      </c>
      <c r="D1821" s="2">
        <v>236</v>
      </c>
      <c r="E1821" s="3">
        <v>3932.88</v>
      </c>
      <c r="F1821" s="4" t="str">
        <f>IF(campaignData[[#This Row],[Campaign]]="Old_Campaign", "A", "B")</f>
        <v>B</v>
      </c>
    </row>
    <row r="1822" spans="1:6" x14ac:dyDescent="0.2">
      <c r="A1822" s="1">
        <v>45107</v>
      </c>
      <c r="B1822" s="5" t="s">
        <v>5</v>
      </c>
      <c r="C1822" s="2">
        <v>1315</v>
      </c>
      <c r="D1822" s="2">
        <v>257</v>
      </c>
      <c r="E1822" s="3">
        <v>3288.94</v>
      </c>
      <c r="F1822" s="4" t="str">
        <f>IF(campaignData[[#This Row],[Campaign]]="Old_Campaign", "A", "B")</f>
        <v>A</v>
      </c>
    </row>
    <row r="1823" spans="1:6" x14ac:dyDescent="0.2">
      <c r="A1823" s="1">
        <v>45107</v>
      </c>
      <c r="B1823" s="5" t="s">
        <v>6</v>
      </c>
      <c r="C1823" s="2">
        <v>1151</v>
      </c>
      <c r="D1823" s="2">
        <v>267</v>
      </c>
      <c r="E1823" s="3">
        <v>4662.97</v>
      </c>
      <c r="F1823" s="4" t="str">
        <f>IF(campaignData[[#This Row],[Campaign]]="Old_Campaign", "A", "B")</f>
        <v>B</v>
      </c>
    </row>
    <row r="1824" spans="1:6" x14ac:dyDescent="0.2">
      <c r="A1824" s="1">
        <v>45108</v>
      </c>
      <c r="B1824" s="5" t="s">
        <v>5</v>
      </c>
      <c r="C1824" s="2">
        <v>1164</v>
      </c>
      <c r="D1824" s="2">
        <v>214</v>
      </c>
      <c r="E1824" s="3">
        <v>3468.39</v>
      </c>
      <c r="F1824" s="4" t="str">
        <f>IF(campaignData[[#This Row],[Campaign]]="Old_Campaign", "A", "B")</f>
        <v>A</v>
      </c>
    </row>
    <row r="1825" spans="1:6" x14ac:dyDescent="0.2">
      <c r="A1825" s="1">
        <v>45108</v>
      </c>
      <c r="B1825" s="5" t="s">
        <v>6</v>
      </c>
      <c r="C1825" s="2">
        <v>1137</v>
      </c>
      <c r="D1825" s="2">
        <v>265</v>
      </c>
      <c r="E1825" s="3">
        <v>4982.8</v>
      </c>
      <c r="F1825" s="4" t="str">
        <f>IF(campaignData[[#This Row],[Campaign]]="Old_Campaign", "A", "B")</f>
        <v>B</v>
      </c>
    </row>
    <row r="1826" spans="1:6" x14ac:dyDescent="0.2">
      <c r="A1826" s="1">
        <v>45109</v>
      </c>
      <c r="B1826" s="5" t="s">
        <v>5</v>
      </c>
      <c r="C1826" s="2">
        <v>1162</v>
      </c>
      <c r="D1826" s="2">
        <v>216</v>
      </c>
      <c r="E1826" s="3">
        <v>4196.59</v>
      </c>
      <c r="F1826" s="4" t="str">
        <f>IF(campaignData[[#This Row],[Campaign]]="Old_Campaign", "A", "B")</f>
        <v>A</v>
      </c>
    </row>
    <row r="1827" spans="1:6" x14ac:dyDescent="0.2">
      <c r="A1827" s="1">
        <v>45109</v>
      </c>
      <c r="B1827" s="5" t="s">
        <v>6</v>
      </c>
      <c r="C1827" s="2">
        <v>1196</v>
      </c>
      <c r="D1827" s="2">
        <v>294</v>
      </c>
      <c r="E1827" s="3">
        <v>3911.55</v>
      </c>
      <c r="F1827" s="4" t="str">
        <f>IF(campaignData[[#This Row],[Campaign]]="Old_Campaign", "A", "B")</f>
        <v>B</v>
      </c>
    </row>
    <row r="1828" spans="1:6" x14ac:dyDescent="0.2">
      <c r="A1828" s="1">
        <v>45110</v>
      </c>
      <c r="B1828" s="5" t="s">
        <v>5</v>
      </c>
      <c r="C1828" s="2">
        <v>1193</v>
      </c>
      <c r="D1828" s="2">
        <v>232</v>
      </c>
      <c r="E1828" s="3">
        <v>3673.53</v>
      </c>
      <c r="F1828" s="4" t="str">
        <f>IF(campaignData[[#This Row],[Campaign]]="Old_Campaign", "A", "B")</f>
        <v>A</v>
      </c>
    </row>
    <row r="1829" spans="1:6" x14ac:dyDescent="0.2">
      <c r="A1829" s="1">
        <v>45110</v>
      </c>
      <c r="B1829" s="5" t="s">
        <v>6</v>
      </c>
      <c r="C1829" s="2">
        <v>1115</v>
      </c>
      <c r="D1829" s="2">
        <v>251</v>
      </c>
      <c r="E1829" s="3">
        <v>3521.71</v>
      </c>
      <c r="F1829" s="4" t="str">
        <f>IF(campaignData[[#This Row],[Campaign]]="Old_Campaign", "A", "B")</f>
        <v>B</v>
      </c>
    </row>
    <row r="1830" spans="1:6" x14ac:dyDescent="0.2">
      <c r="A1830" s="1">
        <v>45111</v>
      </c>
      <c r="B1830" s="5" t="s">
        <v>5</v>
      </c>
      <c r="C1830" s="2">
        <v>1119</v>
      </c>
      <c r="D1830" s="2">
        <v>198</v>
      </c>
      <c r="E1830" s="3">
        <v>3182.04</v>
      </c>
      <c r="F1830" s="4" t="str">
        <f>IF(campaignData[[#This Row],[Campaign]]="Old_Campaign", "A", "B")</f>
        <v>A</v>
      </c>
    </row>
    <row r="1831" spans="1:6" x14ac:dyDescent="0.2">
      <c r="A1831" s="1">
        <v>45111</v>
      </c>
      <c r="B1831" s="5" t="s">
        <v>6</v>
      </c>
      <c r="C1831" s="2">
        <v>1158</v>
      </c>
      <c r="D1831" s="2">
        <v>270</v>
      </c>
      <c r="E1831" s="3">
        <v>4972.87</v>
      </c>
      <c r="F1831" s="4" t="str">
        <f>IF(campaignData[[#This Row],[Campaign]]="Old_Campaign", "A", "B")</f>
        <v>B</v>
      </c>
    </row>
    <row r="1832" spans="1:6" x14ac:dyDescent="0.2">
      <c r="A1832" s="1">
        <v>45112</v>
      </c>
      <c r="B1832" s="5" t="s">
        <v>5</v>
      </c>
      <c r="C1832" s="2">
        <v>1197</v>
      </c>
      <c r="D1832" s="2">
        <v>239</v>
      </c>
      <c r="E1832" s="3">
        <v>4086.04</v>
      </c>
      <c r="F1832" s="4" t="str">
        <f>IF(campaignData[[#This Row],[Campaign]]="Old_Campaign", "A", "B")</f>
        <v>A</v>
      </c>
    </row>
    <row r="1833" spans="1:6" x14ac:dyDescent="0.2">
      <c r="A1833" s="1">
        <v>45112</v>
      </c>
      <c r="B1833" s="5" t="s">
        <v>6</v>
      </c>
      <c r="C1833" s="2">
        <v>1181</v>
      </c>
      <c r="D1833" s="2">
        <v>256</v>
      </c>
      <c r="E1833" s="3">
        <v>3666.85</v>
      </c>
      <c r="F1833" s="4" t="str">
        <f>IF(campaignData[[#This Row],[Campaign]]="Old_Campaign", "A", "B")</f>
        <v>B</v>
      </c>
    </row>
    <row r="1834" spans="1:6" x14ac:dyDescent="0.2">
      <c r="A1834" s="1">
        <v>45113</v>
      </c>
      <c r="B1834" s="5" t="s">
        <v>5</v>
      </c>
      <c r="C1834" s="2">
        <v>1170</v>
      </c>
      <c r="D1834" s="2">
        <v>210</v>
      </c>
      <c r="E1834" s="3">
        <v>2883.6</v>
      </c>
      <c r="F1834" s="4" t="str">
        <f>IF(campaignData[[#This Row],[Campaign]]="Old_Campaign", "A", "B")</f>
        <v>A</v>
      </c>
    </row>
    <row r="1835" spans="1:6" x14ac:dyDescent="0.2">
      <c r="A1835" s="1">
        <v>45113</v>
      </c>
      <c r="B1835" s="5" t="s">
        <v>6</v>
      </c>
      <c r="C1835" s="2">
        <v>1185</v>
      </c>
      <c r="D1835" s="2">
        <v>270</v>
      </c>
      <c r="E1835" s="3">
        <v>4929.58</v>
      </c>
      <c r="F1835" s="4" t="str">
        <f>IF(campaignData[[#This Row],[Campaign]]="Old_Campaign", "A", "B")</f>
        <v>B</v>
      </c>
    </row>
    <row r="1836" spans="1:6" x14ac:dyDescent="0.2">
      <c r="A1836" s="1">
        <v>45114</v>
      </c>
      <c r="B1836" s="5" t="s">
        <v>5</v>
      </c>
      <c r="C1836" s="2">
        <v>1191</v>
      </c>
      <c r="D1836" s="2">
        <v>223</v>
      </c>
      <c r="E1836" s="3">
        <v>3795.63</v>
      </c>
      <c r="F1836" s="4" t="str">
        <f>IF(campaignData[[#This Row],[Campaign]]="Old_Campaign", "A", "B")</f>
        <v>A</v>
      </c>
    </row>
    <row r="1837" spans="1:6" x14ac:dyDescent="0.2">
      <c r="A1837" s="1">
        <v>45114</v>
      </c>
      <c r="B1837" s="5" t="s">
        <v>6</v>
      </c>
      <c r="C1837" s="2">
        <v>1129</v>
      </c>
      <c r="D1837" s="2">
        <v>265</v>
      </c>
      <c r="E1837" s="3">
        <v>4003.75</v>
      </c>
      <c r="F1837" s="4" t="str">
        <f>IF(campaignData[[#This Row],[Campaign]]="Old_Campaign", "A", "B")</f>
        <v>B</v>
      </c>
    </row>
    <row r="1838" spans="1:6" x14ac:dyDescent="0.2">
      <c r="A1838" s="1">
        <v>45115</v>
      </c>
      <c r="B1838" s="5" t="s">
        <v>5</v>
      </c>
      <c r="C1838" s="2">
        <v>1152</v>
      </c>
      <c r="D1838" s="2">
        <v>216</v>
      </c>
      <c r="E1838" s="3">
        <v>2944.58</v>
      </c>
      <c r="F1838" s="4" t="str">
        <f>IF(campaignData[[#This Row],[Campaign]]="Old_Campaign", "A", "B")</f>
        <v>A</v>
      </c>
    </row>
    <row r="1839" spans="1:6" x14ac:dyDescent="0.2">
      <c r="A1839" s="1">
        <v>45115</v>
      </c>
      <c r="B1839" s="5" t="s">
        <v>6</v>
      </c>
      <c r="C1839" s="2">
        <v>1231</v>
      </c>
      <c r="D1839" s="2">
        <v>258</v>
      </c>
      <c r="E1839" s="3">
        <v>4123.2700000000004</v>
      </c>
      <c r="F1839" s="4" t="str">
        <f>IF(campaignData[[#This Row],[Campaign]]="Old_Campaign", "A", "B")</f>
        <v>B</v>
      </c>
    </row>
    <row r="1840" spans="1:6" x14ac:dyDescent="0.2">
      <c r="A1840" s="1">
        <v>45116</v>
      </c>
      <c r="B1840" s="5" t="s">
        <v>5</v>
      </c>
      <c r="C1840" s="2">
        <v>1241</v>
      </c>
      <c r="D1840" s="2">
        <v>241</v>
      </c>
      <c r="E1840" s="3">
        <v>2974.42</v>
      </c>
      <c r="F1840" s="4" t="str">
        <f>IF(campaignData[[#This Row],[Campaign]]="Old_Campaign", "A", "B")</f>
        <v>A</v>
      </c>
    </row>
    <row r="1841" spans="1:6" x14ac:dyDescent="0.2">
      <c r="A1841" s="1">
        <v>45116</v>
      </c>
      <c r="B1841" s="5" t="s">
        <v>6</v>
      </c>
      <c r="C1841" s="2">
        <v>1151</v>
      </c>
      <c r="D1841" s="2">
        <v>264</v>
      </c>
      <c r="E1841" s="3">
        <v>3832.05</v>
      </c>
      <c r="F1841" s="4" t="str">
        <f>IF(campaignData[[#This Row],[Campaign]]="Old_Campaign", "A", "B")</f>
        <v>B</v>
      </c>
    </row>
    <row r="1842" spans="1:6" x14ac:dyDescent="0.2">
      <c r="A1842" s="1">
        <v>45117</v>
      </c>
      <c r="B1842" s="5" t="s">
        <v>5</v>
      </c>
      <c r="C1842" s="2">
        <v>1215</v>
      </c>
      <c r="D1842" s="2">
        <v>244</v>
      </c>
      <c r="E1842" s="3">
        <v>3464.21</v>
      </c>
      <c r="F1842" s="4" t="str">
        <f>IF(campaignData[[#This Row],[Campaign]]="Old_Campaign", "A", "B")</f>
        <v>A</v>
      </c>
    </row>
    <row r="1843" spans="1:6" x14ac:dyDescent="0.2">
      <c r="A1843" s="1">
        <v>45117</v>
      </c>
      <c r="B1843" s="5" t="s">
        <v>6</v>
      </c>
      <c r="C1843" s="2">
        <v>1106</v>
      </c>
      <c r="D1843" s="2">
        <v>254</v>
      </c>
      <c r="E1843" s="3">
        <v>4424.4799999999996</v>
      </c>
      <c r="F1843" s="4" t="str">
        <f>IF(campaignData[[#This Row],[Campaign]]="Old_Campaign", "A", "B")</f>
        <v>B</v>
      </c>
    </row>
    <row r="1844" spans="1:6" x14ac:dyDescent="0.2">
      <c r="A1844" s="1">
        <v>45118</v>
      </c>
      <c r="B1844" s="5" t="s">
        <v>5</v>
      </c>
      <c r="C1844" s="2">
        <v>1269</v>
      </c>
      <c r="D1844" s="2">
        <v>252</v>
      </c>
      <c r="E1844" s="3">
        <v>4400.1499999999996</v>
      </c>
      <c r="F1844" s="4" t="str">
        <f>IF(campaignData[[#This Row],[Campaign]]="Old_Campaign", "A", "B")</f>
        <v>A</v>
      </c>
    </row>
    <row r="1845" spans="1:6" x14ac:dyDescent="0.2">
      <c r="A1845" s="1">
        <v>45118</v>
      </c>
      <c r="B1845" s="5" t="s">
        <v>6</v>
      </c>
      <c r="C1845" s="2">
        <v>1128</v>
      </c>
      <c r="D1845" s="2">
        <v>242</v>
      </c>
      <c r="E1845" s="3">
        <v>4127.3</v>
      </c>
      <c r="F1845" s="4" t="str">
        <f>IF(campaignData[[#This Row],[Campaign]]="Old_Campaign", "A", "B")</f>
        <v>B</v>
      </c>
    </row>
    <row r="1846" spans="1:6" x14ac:dyDescent="0.2">
      <c r="A1846" s="1">
        <v>45119</v>
      </c>
      <c r="B1846" s="5" t="s">
        <v>5</v>
      </c>
      <c r="C1846" s="2">
        <v>1235</v>
      </c>
      <c r="D1846" s="2">
        <v>225</v>
      </c>
      <c r="E1846" s="3">
        <v>2359.89</v>
      </c>
      <c r="F1846" s="4" t="str">
        <f>IF(campaignData[[#This Row],[Campaign]]="Old_Campaign", "A", "B")</f>
        <v>A</v>
      </c>
    </row>
    <row r="1847" spans="1:6" x14ac:dyDescent="0.2">
      <c r="A1847" s="1">
        <v>45119</v>
      </c>
      <c r="B1847" s="5" t="s">
        <v>6</v>
      </c>
      <c r="C1847" s="2">
        <v>1085</v>
      </c>
      <c r="D1847" s="2">
        <v>265</v>
      </c>
      <c r="E1847" s="3">
        <v>4468.4399999999996</v>
      </c>
      <c r="F1847" s="4" t="str">
        <f>IF(campaignData[[#This Row],[Campaign]]="Old_Campaign", "A", "B")</f>
        <v>B</v>
      </c>
    </row>
    <row r="1848" spans="1:6" x14ac:dyDescent="0.2">
      <c r="A1848" s="1">
        <v>45120</v>
      </c>
      <c r="B1848" s="5" t="s">
        <v>5</v>
      </c>
      <c r="C1848" s="2">
        <v>1256</v>
      </c>
      <c r="D1848" s="2">
        <v>242</v>
      </c>
      <c r="E1848" s="3">
        <v>3291.39</v>
      </c>
      <c r="F1848" s="4" t="str">
        <f>IF(campaignData[[#This Row],[Campaign]]="Old_Campaign", "A", "B")</f>
        <v>A</v>
      </c>
    </row>
    <row r="1849" spans="1:6" x14ac:dyDescent="0.2">
      <c r="A1849" s="1">
        <v>45120</v>
      </c>
      <c r="B1849" s="5" t="s">
        <v>6</v>
      </c>
      <c r="C1849" s="2">
        <v>1139</v>
      </c>
      <c r="D1849" s="2">
        <v>264</v>
      </c>
      <c r="E1849" s="3">
        <v>4113.45</v>
      </c>
      <c r="F1849" s="4" t="str">
        <f>IF(campaignData[[#This Row],[Campaign]]="Old_Campaign", "A", "B")</f>
        <v>B</v>
      </c>
    </row>
    <row r="1850" spans="1:6" x14ac:dyDescent="0.2">
      <c r="A1850" s="1">
        <v>45121</v>
      </c>
      <c r="B1850" s="5" t="s">
        <v>5</v>
      </c>
      <c r="C1850" s="2">
        <v>1126</v>
      </c>
      <c r="D1850" s="2">
        <v>221</v>
      </c>
      <c r="E1850" s="3">
        <v>3122.17</v>
      </c>
      <c r="F1850" s="4" t="str">
        <f>IF(campaignData[[#This Row],[Campaign]]="Old_Campaign", "A", "B")</f>
        <v>A</v>
      </c>
    </row>
    <row r="1851" spans="1:6" x14ac:dyDescent="0.2">
      <c r="A1851" s="1">
        <v>45121</v>
      </c>
      <c r="B1851" s="5" t="s">
        <v>6</v>
      </c>
      <c r="C1851" s="2">
        <v>1161</v>
      </c>
      <c r="D1851" s="2">
        <v>264</v>
      </c>
      <c r="E1851" s="3">
        <v>4777.41</v>
      </c>
      <c r="F1851" s="4" t="str">
        <f>IF(campaignData[[#This Row],[Campaign]]="Old_Campaign", "A", "B")</f>
        <v>B</v>
      </c>
    </row>
    <row r="1852" spans="1:6" x14ac:dyDescent="0.2">
      <c r="A1852" s="1">
        <v>45122</v>
      </c>
      <c r="B1852" s="5" t="s">
        <v>5</v>
      </c>
      <c r="C1852" s="2">
        <v>1155</v>
      </c>
      <c r="D1852" s="2">
        <v>225</v>
      </c>
      <c r="E1852" s="3">
        <v>3650.97</v>
      </c>
      <c r="F1852" s="4" t="str">
        <f>IF(campaignData[[#This Row],[Campaign]]="Old_Campaign", "A", "B")</f>
        <v>A</v>
      </c>
    </row>
    <row r="1853" spans="1:6" x14ac:dyDescent="0.2">
      <c r="A1853" s="1">
        <v>45122</v>
      </c>
      <c r="B1853" s="5" t="s">
        <v>6</v>
      </c>
      <c r="C1853" s="2">
        <v>1161</v>
      </c>
      <c r="D1853" s="2">
        <v>275</v>
      </c>
      <c r="E1853" s="3">
        <v>5025.78</v>
      </c>
      <c r="F1853" s="4" t="str">
        <f>IF(campaignData[[#This Row],[Campaign]]="Old_Campaign", "A", "B")</f>
        <v>B</v>
      </c>
    </row>
    <row r="1854" spans="1:6" x14ac:dyDescent="0.2">
      <c r="A1854" s="1">
        <v>45123</v>
      </c>
      <c r="B1854" s="5" t="s">
        <v>5</v>
      </c>
      <c r="C1854" s="2">
        <v>1240</v>
      </c>
      <c r="D1854" s="2">
        <v>218</v>
      </c>
      <c r="E1854" s="3">
        <v>3365.36</v>
      </c>
      <c r="F1854" s="4" t="str">
        <f>IF(campaignData[[#This Row],[Campaign]]="Old_Campaign", "A", "B")</f>
        <v>A</v>
      </c>
    </row>
    <row r="1855" spans="1:6" x14ac:dyDescent="0.2">
      <c r="A1855" s="1">
        <v>45123</v>
      </c>
      <c r="B1855" s="5" t="s">
        <v>6</v>
      </c>
      <c r="C1855" s="2">
        <v>1192</v>
      </c>
      <c r="D1855" s="2">
        <v>264</v>
      </c>
      <c r="E1855" s="3">
        <v>4135.92</v>
      </c>
      <c r="F1855" s="4" t="str">
        <f>IF(campaignData[[#This Row],[Campaign]]="Old_Campaign", "A", "B")</f>
        <v>B</v>
      </c>
    </row>
    <row r="1856" spans="1:6" x14ac:dyDescent="0.2">
      <c r="A1856" s="1">
        <v>45124</v>
      </c>
      <c r="B1856" s="5" t="s">
        <v>5</v>
      </c>
      <c r="C1856" s="2">
        <v>1211</v>
      </c>
      <c r="D1856" s="2">
        <v>243</v>
      </c>
      <c r="E1856" s="3">
        <v>3261.05</v>
      </c>
      <c r="F1856" s="4" t="str">
        <f>IF(campaignData[[#This Row],[Campaign]]="Old_Campaign", "A", "B")</f>
        <v>A</v>
      </c>
    </row>
    <row r="1857" spans="1:6" x14ac:dyDescent="0.2">
      <c r="A1857" s="1">
        <v>45124</v>
      </c>
      <c r="B1857" s="5" t="s">
        <v>6</v>
      </c>
      <c r="C1857" s="2">
        <v>1187</v>
      </c>
      <c r="D1857" s="2">
        <v>273</v>
      </c>
      <c r="E1857" s="3">
        <v>4746.28</v>
      </c>
      <c r="F1857" s="4" t="str">
        <f>IF(campaignData[[#This Row],[Campaign]]="Old_Campaign", "A", "B")</f>
        <v>B</v>
      </c>
    </row>
    <row r="1858" spans="1:6" x14ac:dyDescent="0.2">
      <c r="A1858" s="1">
        <v>45125</v>
      </c>
      <c r="B1858" s="5" t="s">
        <v>5</v>
      </c>
      <c r="C1858" s="2">
        <v>1244</v>
      </c>
      <c r="D1858" s="2">
        <v>224</v>
      </c>
      <c r="E1858" s="3">
        <v>2765.15</v>
      </c>
      <c r="F1858" s="4" t="str">
        <f>IF(campaignData[[#This Row],[Campaign]]="Old_Campaign", "A", "B")</f>
        <v>A</v>
      </c>
    </row>
    <row r="1859" spans="1:6" x14ac:dyDescent="0.2">
      <c r="A1859" s="1">
        <v>45125</v>
      </c>
      <c r="B1859" s="5" t="s">
        <v>6</v>
      </c>
      <c r="C1859" s="2">
        <v>1203</v>
      </c>
      <c r="D1859" s="2">
        <v>277</v>
      </c>
      <c r="E1859" s="3">
        <v>4272.1499999999996</v>
      </c>
      <c r="F1859" s="4" t="str">
        <f>IF(campaignData[[#This Row],[Campaign]]="Old_Campaign", "A", "B")</f>
        <v>B</v>
      </c>
    </row>
    <row r="1860" spans="1:6" x14ac:dyDescent="0.2">
      <c r="A1860" s="1">
        <v>45126</v>
      </c>
      <c r="B1860" s="5" t="s">
        <v>5</v>
      </c>
      <c r="C1860" s="2">
        <v>1212</v>
      </c>
      <c r="D1860" s="2">
        <v>234</v>
      </c>
      <c r="E1860" s="3">
        <v>4106.55</v>
      </c>
      <c r="F1860" s="4" t="str">
        <f>IF(campaignData[[#This Row],[Campaign]]="Old_Campaign", "A", "B")</f>
        <v>A</v>
      </c>
    </row>
    <row r="1861" spans="1:6" x14ac:dyDescent="0.2">
      <c r="A1861" s="1">
        <v>45126</v>
      </c>
      <c r="B1861" s="5" t="s">
        <v>6</v>
      </c>
      <c r="C1861" s="2">
        <v>1113</v>
      </c>
      <c r="D1861" s="2">
        <v>263</v>
      </c>
      <c r="E1861" s="3">
        <v>3610.66</v>
      </c>
      <c r="F1861" s="4" t="str">
        <f>IF(campaignData[[#This Row],[Campaign]]="Old_Campaign", "A", "B")</f>
        <v>B</v>
      </c>
    </row>
    <row r="1862" spans="1:6" x14ac:dyDescent="0.2">
      <c r="A1862" s="1">
        <v>45127</v>
      </c>
      <c r="B1862" s="5" t="s">
        <v>5</v>
      </c>
      <c r="C1862" s="2">
        <v>1246</v>
      </c>
      <c r="D1862" s="2">
        <v>234</v>
      </c>
      <c r="E1862" s="3">
        <v>4045.09</v>
      </c>
      <c r="F1862" s="4" t="str">
        <f>IF(campaignData[[#This Row],[Campaign]]="Old_Campaign", "A", "B")</f>
        <v>A</v>
      </c>
    </row>
    <row r="1863" spans="1:6" x14ac:dyDescent="0.2">
      <c r="A1863" s="1">
        <v>45127</v>
      </c>
      <c r="B1863" s="5" t="s">
        <v>6</v>
      </c>
      <c r="C1863" s="2">
        <v>1131</v>
      </c>
      <c r="D1863" s="2">
        <v>271</v>
      </c>
      <c r="E1863" s="3">
        <v>4436.1899999999996</v>
      </c>
      <c r="F1863" s="4" t="str">
        <f>IF(campaignData[[#This Row],[Campaign]]="Old_Campaign", "A", "B")</f>
        <v>B</v>
      </c>
    </row>
    <row r="1864" spans="1:6" x14ac:dyDescent="0.2">
      <c r="A1864" s="1">
        <v>45128</v>
      </c>
      <c r="B1864" s="5" t="s">
        <v>5</v>
      </c>
      <c r="C1864" s="2">
        <v>1250</v>
      </c>
      <c r="D1864" s="2">
        <v>228</v>
      </c>
      <c r="E1864" s="3">
        <v>2923.56</v>
      </c>
      <c r="F1864" s="4" t="str">
        <f>IF(campaignData[[#This Row],[Campaign]]="Old_Campaign", "A", "B")</f>
        <v>A</v>
      </c>
    </row>
    <row r="1865" spans="1:6" x14ac:dyDescent="0.2">
      <c r="A1865" s="1">
        <v>45128</v>
      </c>
      <c r="B1865" s="5" t="s">
        <v>6</v>
      </c>
      <c r="C1865" s="2">
        <v>1139</v>
      </c>
      <c r="D1865" s="2">
        <v>254</v>
      </c>
      <c r="E1865" s="3">
        <v>4349.2299999999996</v>
      </c>
      <c r="F1865" s="4" t="str">
        <f>IF(campaignData[[#This Row],[Campaign]]="Old_Campaign", "A", "B")</f>
        <v>B</v>
      </c>
    </row>
    <row r="1866" spans="1:6" x14ac:dyDescent="0.2">
      <c r="A1866" s="1">
        <v>45129</v>
      </c>
      <c r="B1866" s="5" t="s">
        <v>5</v>
      </c>
      <c r="C1866" s="2">
        <v>1225</v>
      </c>
      <c r="D1866" s="2">
        <v>203</v>
      </c>
      <c r="E1866" s="3">
        <v>3981.21</v>
      </c>
      <c r="F1866" s="4" t="str">
        <f>IF(campaignData[[#This Row],[Campaign]]="Old_Campaign", "A", "B")</f>
        <v>A</v>
      </c>
    </row>
    <row r="1867" spans="1:6" x14ac:dyDescent="0.2">
      <c r="A1867" s="1">
        <v>45129</v>
      </c>
      <c r="B1867" s="5" t="s">
        <v>6</v>
      </c>
      <c r="C1867" s="2">
        <v>1169</v>
      </c>
      <c r="D1867" s="2">
        <v>276</v>
      </c>
      <c r="E1867" s="3">
        <v>3643.56</v>
      </c>
      <c r="F1867" s="4" t="str">
        <f>IF(campaignData[[#This Row],[Campaign]]="Old_Campaign", "A", "B")</f>
        <v>B</v>
      </c>
    </row>
    <row r="1868" spans="1:6" x14ac:dyDescent="0.2">
      <c r="A1868" s="1">
        <v>45130</v>
      </c>
      <c r="B1868" s="5" t="s">
        <v>5</v>
      </c>
      <c r="C1868" s="2">
        <v>1107</v>
      </c>
      <c r="D1868" s="2">
        <v>223</v>
      </c>
      <c r="E1868" s="3">
        <v>3192.33</v>
      </c>
      <c r="F1868" s="4" t="str">
        <f>IF(campaignData[[#This Row],[Campaign]]="Old_Campaign", "A", "B")</f>
        <v>A</v>
      </c>
    </row>
    <row r="1869" spans="1:6" x14ac:dyDescent="0.2">
      <c r="A1869" s="1">
        <v>45130</v>
      </c>
      <c r="B1869" s="5" t="s">
        <v>6</v>
      </c>
      <c r="C1869" s="2">
        <v>1211</v>
      </c>
      <c r="D1869" s="2">
        <v>273</v>
      </c>
      <c r="E1869" s="3">
        <v>4860.54</v>
      </c>
      <c r="F1869" s="4" t="str">
        <f>IF(campaignData[[#This Row],[Campaign]]="Old_Campaign", "A", "B")</f>
        <v>B</v>
      </c>
    </row>
    <row r="1870" spans="1:6" x14ac:dyDescent="0.2">
      <c r="A1870" s="1">
        <v>45131</v>
      </c>
      <c r="B1870" s="5" t="s">
        <v>5</v>
      </c>
      <c r="C1870" s="2">
        <v>1203</v>
      </c>
      <c r="D1870" s="2">
        <v>244</v>
      </c>
      <c r="E1870" s="3">
        <v>4085.32</v>
      </c>
      <c r="F1870" s="4" t="str">
        <f>IF(campaignData[[#This Row],[Campaign]]="Old_Campaign", "A", "B")</f>
        <v>A</v>
      </c>
    </row>
    <row r="1871" spans="1:6" x14ac:dyDescent="0.2">
      <c r="A1871" s="1">
        <v>45131</v>
      </c>
      <c r="B1871" s="5" t="s">
        <v>6</v>
      </c>
      <c r="C1871" s="2">
        <v>1167</v>
      </c>
      <c r="D1871" s="2">
        <v>271</v>
      </c>
      <c r="E1871" s="3">
        <v>4513.33</v>
      </c>
      <c r="F1871" s="4" t="str">
        <f>IF(campaignData[[#This Row],[Campaign]]="Old_Campaign", "A", "B")</f>
        <v>B</v>
      </c>
    </row>
    <row r="1872" spans="1:6" x14ac:dyDescent="0.2">
      <c r="A1872" s="1">
        <v>45132</v>
      </c>
      <c r="B1872" s="5" t="s">
        <v>5</v>
      </c>
      <c r="C1872" s="2">
        <v>1290</v>
      </c>
      <c r="D1872" s="2">
        <v>236</v>
      </c>
      <c r="E1872" s="3">
        <v>3523.69</v>
      </c>
      <c r="F1872" s="4" t="str">
        <f>IF(campaignData[[#This Row],[Campaign]]="Old_Campaign", "A", "B")</f>
        <v>A</v>
      </c>
    </row>
    <row r="1873" spans="1:6" x14ac:dyDescent="0.2">
      <c r="A1873" s="1">
        <v>45132</v>
      </c>
      <c r="B1873" s="5" t="s">
        <v>6</v>
      </c>
      <c r="C1873" s="2">
        <v>1146</v>
      </c>
      <c r="D1873" s="2">
        <v>256</v>
      </c>
      <c r="E1873" s="3">
        <v>4559.7299999999996</v>
      </c>
      <c r="F1873" s="4" t="str">
        <f>IF(campaignData[[#This Row],[Campaign]]="Old_Campaign", "A", "B")</f>
        <v>B</v>
      </c>
    </row>
    <row r="1874" spans="1:6" x14ac:dyDescent="0.2">
      <c r="A1874" s="1">
        <v>45133</v>
      </c>
      <c r="B1874" s="5" t="s">
        <v>5</v>
      </c>
      <c r="C1874" s="2">
        <v>1238</v>
      </c>
      <c r="D1874" s="2">
        <v>246</v>
      </c>
      <c r="E1874" s="3">
        <v>4473.28</v>
      </c>
      <c r="F1874" s="4" t="str">
        <f>IF(campaignData[[#This Row],[Campaign]]="Old_Campaign", "A", "B")</f>
        <v>A</v>
      </c>
    </row>
    <row r="1875" spans="1:6" x14ac:dyDescent="0.2">
      <c r="A1875" s="1">
        <v>45133</v>
      </c>
      <c r="B1875" s="5" t="s">
        <v>6</v>
      </c>
      <c r="C1875" s="2">
        <v>1161</v>
      </c>
      <c r="D1875" s="2">
        <v>272</v>
      </c>
      <c r="E1875" s="3">
        <v>4032.27</v>
      </c>
      <c r="F1875" s="4" t="str">
        <f>IF(campaignData[[#This Row],[Campaign]]="Old_Campaign", "A", "B")</f>
        <v>B</v>
      </c>
    </row>
    <row r="1876" spans="1:6" x14ac:dyDescent="0.2">
      <c r="A1876" s="1">
        <v>45134</v>
      </c>
      <c r="B1876" s="5" t="s">
        <v>5</v>
      </c>
      <c r="C1876" s="2">
        <v>1262</v>
      </c>
      <c r="D1876" s="2">
        <v>235</v>
      </c>
      <c r="E1876" s="3">
        <v>3472.43</v>
      </c>
      <c r="F1876" s="4" t="str">
        <f>IF(campaignData[[#This Row],[Campaign]]="Old_Campaign", "A", "B")</f>
        <v>A</v>
      </c>
    </row>
    <row r="1877" spans="1:6" x14ac:dyDescent="0.2">
      <c r="A1877" s="1">
        <v>45134</v>
      </c>
      <c r="B1877" s="5" t="s">
        <v>6</v>
      </c>
      <c r="C1877" s="2">
        <v>1141</v>
      </c>
      <c r="D1877" s="2">
        <v>259</v>
      </c>
      <c r="E1877" s="3">
        <v>3909.51</v>
      </c>
      <c r="F1877" s="4" t="str">
        <f>IF(campaignData[[#This Row],[Campaign]]="Old_Campaign", "A", "B")</f>
        <v>B</v>
      </c>
    </row>
    <row r="1878" spans="1:6" x14ac:dyDescent="0.2">
      <c r="A1878" s="1">
        <v>45135</v>
      </c>
      <c r="B1878" s="5" t="s">
        <v>5</v>
      </c>
      <c r="C1878" s="2">
        <v>1216</v>
      </c>
      <c r="D1878" s="2">
        <v>231</v>
      </c>
      <c r="E1878" s="3">
        <v>3706.78</v>
      </c>
      <c r="F1878" s="4" t="str">
        <f>IF(campaignData[[#This Row],[Campaign]]="Old_Campaign", "A", "B")</f>
        <v>A</v>
      </c>
    </row>
    <row r="1879" spans="1:6" x14ac:dyDescent="0.2">
      <c r="A1879" s="1">
        <v>45135</v>
      </c>
      <c r="B1879" s="5" t="s">
        <v>6</v>
      </c>
      <c r="C1879" s="2">
        <v>1176</v>
      </c>
      <c r="D1879" s="2">
        <v>269</v>
      </c>
      <c r="E1879" s="3">
        <v>3873.28</v>
      </c>
      <c r="F1879" s="4" t="str">
        <f>IF(campaignData[[#This Row],[Campaign]]="Old_Campaign", "A", "B")</f>
        <v>B</v>
      </c>
    </row>
    <row r="1880" spans="1:6" x14ac:dyDescent="0.2">
      <c r="A1880" s="1">
        <v>45136</v>
      </c>
      <c r="B1880" s="5" t="s">
        <v>5</v>
      </c>
      <c r="C1880" s="2">
        <v>1121</v>
      </c>
      <c r="D1880" s="2">
        <v>220</v>
      </c>
      <c r="E1880" s="3">
        <v>3481.78</v>
      </c>
      <c r="F1880" s="4" t="str">
        <f>IF(campaignData[[#This Row],[Campaign]]="Old_Campaign", "A", "B")</f>
        <v>A</v>
      </c>
    </row>
    <row r="1881" spans="1:6" x14ac:dyDescent="0.2">
      <c r="A1881" s="1">
        <v>45136</v>
      </c>
      <c r="B1881" s="5" t="s">
        <v>6</v>
      </c>
      <c r="C1881" s="2">
        <v>1137</v>
      </c>
      <c r="D1881" s="2">
        <v>259</v>
      </c>
      <c r="E1881" s="3">
        <v>4023.2</v>
      </c>
      <c r="F1881" s="4" t="str">
        <f>IF(campaignData[[#This Row],[Campaign]]="Old_Campaign", "A", "B")</f>
        <v>B</v>
      </c>
    </row>
    <row r="1882" spans="1:6" x14ac:dyDescent="0.2">
      <c r="A1882" s="1">
        <v>45137</v>
      </c>
      <c r="B1882" s="5" t="s">
        <v>5</v>
      </c>
      <c r="C1882" s="2">
        <v>1191</v>
      </c>
      <c r="D1882" s="2">
        <v>210</v>
      </c>
      <c r="E1882" s="3">
        <v>3770.81</v>
      </c>
      <c r="F1882" s="4" t="str">
        <f>IF(campaignData[[#This Row],[Campaign]]="Old_Campaign", "A", "B")</f>
        <v>A</v>
      </c>
    </row>
    <row r="1883" spans="1:6" x14ac:dyDescent="0.2">
      <c r="A1883" s="1">
        <v>45137</v>
      </c>
      <c r="B1883" s="5" t="s">
        <v>6</v>
      </c>
      <c r="C1883" s="2">
        <v>1172</v>
      </c>
      <c r="D1883" s="2">
        <v>270</v>
      </c>
      <c r="E1883" s="3">
        <v>3519.51</v>
      </c>
      <c r="F1883" s="4" t="str">
        <f>IF(campaignData[[#This Row],[Campaign]]="Old_Campaign", "A", "B")</f>
        <v>B</v>
      </c>
    </row>
    <row r="1884" spans="1:6" x14ac:dyDescent="0.2">
      <c r="A1884" s="1">
        <v>45138</v>
      </c>
      <c r="B1884" s="5" t="s">
        <v>5</v>
      </c>
      <c r="C1884" s="2">
        <v>1110</v>
      </c>
      <c r="D1884" s="2">
        <v>221</v>
      </c>
      <c r="E1884" s="3">
        <v>3704.43</v>
      </c>
      <c r="F1884" s="4" t="str">
        <f>IF(campaignData[[#This Row],[Campaign]]="Old_Campaign", "A", "B")</f>
        <v>A</v>
      </c>
    </row>
    <row r="1885" spans="1:6" x14ac:dyDescent="0.2">
      <c r="A1885" s="1">
        <v>45138</v>
      </c>
      <c r="B1885" s="5" t="s">
        <v>6</v>
      </c>
      <c r="C1885" s="2">
        <v>1127</v>
      </c>
      <c r="D1885" s="2">
        <v>254</v>
      </c>
      <c r="E1885" s="3">
        <v>4338.62</v>
      </c>
      <c r="F1885" s="4" t="str">
        <f>IF(campaignData[[#This Row],[Campaign]]="Old_Campaign", "A", "B")</f>
        <v>B</v>
      </c>
    </row>
    <row r="1886" spans="1:6" x14ac:dyDescent="0.2">
      <c r="A1886" s="1">
        <v>45139</v>
      </c>
      <c r="B1886" s="5" t="s">
        <v>5</v>
      </c>
      <c r="C1886" s="2">
        <v>1224</v>
      </c>
      <c r="D1886" s="2">
        <v>227</v>
      </c>
      <c r="E1886" s="3">
        <v>2865.85</v>
      </c>
      <c r="F1886" s="4" t="str">
        <f>IF(campaignData[[#This Row],[Campaign]]="Old_Campaign", "A", "B")</f>
        <v>A</v>
      </c>
    </row>
    <row r="1887" spans="1:6" x14ac:dyDescent="0.2">
      <c r="A1887" s="1">
        <v>45139</v>
      </c>
      <c r="B1887" s="5" t="s">
        <v>6</v>
      </c>
      <c r="C1887" s="2">
        <v>1157</v>
      </c>
      <c r="D1887" s="2">
        <v>234</v>
      </c>
      <c r="E1887" s="3">
        <v>4014.93</v>
      </c>
      <c r="F1887" s="4" t="str">
        <f>IF(campaignData[[#This Row],[Campaign]]="Old_Campaign", "A", "B")</f>
        <v>B</v>
      </c>
    </row>
    <row r="1888" spans="1:6" x14ac:dyDescent="0.2">
      <c r="A1888" s="1">
        <v>45140</v>
      </c>
      <c r="B1888" s="5" t="s">
        <v>5</v>
      </c>
      <c r="C1888" s="2">
        <v>1227</v>
      </c>
      <c r="D1888" s="2">
        <v>226</v>
      </c>
      <c r="E1888" s="3">
        <v>4038.09</v>
      </c>
      <c r="F1888" s="4" t="str">
        <f>IF(campaignData[[#This Row],[Campaign]]="Old_Campaign", "A", "B")</f>
        <v>A</v>
      </c>
    </row>
    <row r="1889" spans="1:6" x14ac:dyDescent="0.2">
      <c r="A1889" s="1">
        <v>45140</v>
      </c>
      <c r="B1889" s="5" t="s">
        <v>6</v>
      </c>
      <c r="C1889" s="2">
        <v>1188</v>
      </c>
      <c r="D1889" s="2">
        <v>268</v>
      </c>
      <c r="E1889" s="3">
        <v>3549.77</v>
      </c>
      <c r="F1889" s="4" t="str">
        <f>IF(campaignData[[#This Row],[Campaign]]="Old_Campaign", "A", "B")</f>
        <v>B</v>
      </c>
    </row>
    <row r="1890" spans="1:6" x14ac:dyDescent="0.2">
      <c r="A1890" s="1">
        <v>45141</v>
      </c>
      <c r="B1890" s="5" t="s">
        <v>5</v>
      </c>
      <c r="C1890" s="2">
        <v>1230</v>
      </c>
      <c r="D1890" s="2">
        <v>228</v>
      </c>
      <c r="E1890" s="3">
        <v>2871.02</v>
      </c>
      <c r="F1890" s="4" t="str">
        <f>IF(campaignData[[#This Row],[Campaign]]="Old_Campaign", "A", "B")</f>
        <v>A</v>
      </c>
    </row>
    <row r="1891" spans="1:6" x14ac:dyDescent="0.2">
      <c r="A1891" s="1">
        <v>45141</v>
      </c>
      <c r="B1891" s="5" t="s">
        <v>6</v>
      </c>
      <c r="C1891" s="2">
        <v>1131</v>
      </c>
      <c r="D1891" s="2">
        <v>248</v>
      </c>
      <c r="E1891" s="3">
        <v>4079.73</v>
      </c>
      <c r="F1891" s="4" t="str">
        <f>IF(campaignData[[#This Row],[Campaign]]="Old_Campaign", "A", "B")</f>
        <v>B</v>
      </c>
    </row>
    <row r="1892" spans="1:6" x14ac:dyDescent="0.2">
      <c r="A1892" s="1">
        <v>45142</v>
      </c>
      <c r="B1892" s="5" t="s">
        <v>5</v>
      </c>
      <c r="C1892" s="2">
        <v>1197</v>
      </c>
      <c r="D1892" s="2">
        <v>212</v>
      </c>
      <c r="E1892" s="3">
        <v>2688.75</v>
      </c>
      <c r="F1892" s="4" t="str">
        <f>IF(campaignData[[#This Row],[Campaign]]="Old_Campaign", "A", "B")</f>
        <v>A</v>
      </c>
    </row>
    <row r="1893" spans="1:6" x14ac:dyDescent="0.2">
      <c r="A1893" s="1">
        <v>45142</v>
      </c>
      <c r="B1893" s="5" t="s">
        <v>6</v>
      </c>
      <c r="C1893" s="2">
        <v>1187</v>
      </c>
      <c r="D1893" s="2">
        <v>232</v>
      </c>
      <c r="E1893" s="3">
        <v>2869.54</v>
      </c>
      <c r="F1893" s="4" t="str">
        <f>IF(campaignData[[#This Row],[Campaign]]="Old_Campaign", "A", "B")</f>
        <v>B</v>
      </c>
    </row>
    <row r="1894" spans="1:6" x14ac:dyDescent="0.2">
      <c r="A1894" s="1">
        <v>45143</v>
      </c>
      <c r="B1894" s="5" t="s">
        <v>5</v>
      </c>
      <c r="C1894" s="2">
        <v>1216</v>
      </c>
      <c r="D1894" s="2">
        <v>233</v>
      </c>
      <c r="E1894" s="3">
        <v>3726.43</v>
      </c>
      <c r="F1894" s="4" t="str">
        <f>IF(campaignData[[#This Row],[Campaign]]="Old_Campaign", "A", "B")</f>
        <v>A</v>
      </c>
    </row>
    <row r="1895" spans="1:6" x14ac:dyDescent="0.2">
      <c r="A1895" s="1">
        <v>45143</v>
      </c>
      <c r="B1895" s="5" t="s">
        <v>6</v>
      </c>
      <c r="C1895" s="2">
        <v>1133</v>
      </c>
      <c r="D1895" s="2">
        <v>257</v>
      </c>
      <c r="E1895" s="3">
        <v>4438.4399999999996</v>
      </c>
      <c r="F1895" s="4" t="str">
        <f>IF(campaignData[[#This Row],[Campaign]]="Old_Campaign", "A", "B")</f>
        <v>B</v>
      </c>
    </row>
    <row r="1896" spans="1:6" x14ac:dyDescent="0.2">
      <c r="A1896" s="1">
        <v>45144</v>
      </c>
      <c r="B1896" s="5" t="s">
        <v>5</v>
      </c>
      <c r="C1896" s="2">
        <v>1199</v>
      </c>
      <c r="D1896" s="2">
        <v>199</v>
      </c>
      <c r="E1896" s="3">
        <v>3018.78</v>
      </c>
      <c r="F1896" s="4" t="str">
        <f>IF(campaignData[[#This Row],[Campaign]]="Old_Campaign", "A", "B")</f>
        <v>A</v>
      </c>
    </row>
    <row r="1897" spans="1:6" x14ac:dyDescent="0.2">
      <c r="A1897" s="1">
        <v>45144</v>
      </c>
      <c r="B1897" s="5" t="s">
        <v>6</v>
      </c>
      <c r="C1897" s="2">
        <v>1160</v>
      </c>
      <c r="D1897" s="2">
        <v>293</v>
      </c>
      <c r="E1897" s="3">
        <v>5089.7700000000004</v>
      </c>
      <c r="F1897" s="4" t="str">
        <f>IF(campaignData[[#This Row],[Campaign]]="Old_Campaign", "A", "B")</f>
        <v>B</v>
      </c>
    </row>
    <row r="1898" spans="1:6" x14ac:dyDescent="0.2">
      <c r="A1898" s="1">
        <v>45145</v>
      </c>
      <c r="B1898" s="5" t="s">
        <v>5</v>
      </c>
      <c r="C1898" s="2">
        <v>1223</v>
      </c>
      <c r="D1898" s="2">
        <v>218</v>
      </c>
      <c r="E1898" s="3">
        <v>3655.25</v>
      </c>
      <c r="F1898" s="4" t="str">
        <f>IF(campaignData[[#This Row],[Campaign]]="Old_Campaign", "A", "B")</f>
        <v>A</v>
      </c>
    </row>
    <row r="1899" spans="1:6" x14ac:dyDescent="0.2">
      <c r="A1899" s="1">
        <v>45145</v>
      </c>
      <c r="B1899" s="5" t="s">
        <v>6</v>
      </c>
      <c r="C1899" s="2">
        <v>1160</v>
      </c>
      <c r="D1899" s="2">
        <v>259</v>
      </c>
      <c r="E1899" s="3">
        <v>3436.31</v>
      </c>
      <c r="F1899" s="4" t="str">
        <f>IF(campaignData[[#This Row],[Campaign]]="Old_Campaign", "A", "B")</f>
        <v>B</v>
      </c>
    </row>
    <row r="1900" spans="1:6" x14ac:dyDescent="0.2">
      <c r="A1900" s="1">
        <v>45146</v>
      </c>
      <c r="B1900" s="5" t="s">
        <v>5</v>
      </c>
      <c r="C1900" s="2">
        <v>1155</v>
      </c>
      <c r="D1900" s="2">
        <v>229</v>
      </c>
      <c r="E1900" s="3">
        <v>3758.58</v>
      </c>
      <c r="F1900" s="4" t="str">
        <f>IF(campaignData[[#This Row],[Campaign]]="Old_Campaign", "A", "B")</f>
        <v>A</v>
      </c>
    </row>
    <row r="1901" spans="1:6" x14ac:dyDescent="0.2">
      <c r="A1901" s="1">
        <v>45146</v>
      </c>
      <c r="B1901" s="5" t="s">
        <v>6</v>
      </c>
      <c r="C1901" s="2">
        <v>1121</v>
      </c>
      <c r="D1901" s="2">
        <v>263</v>
      </c>
      <c r="E1901" s="3">
        <v>4197.9399999999996</v>
      </c>
      <c r="F1901" s="4" t="str">
        <f>IF(campaignData[[#This Row],[Campaign]]="Old_Campaign", "A", "B")</f>
        <v>B</v>
      </c>
    </row>
    <row r="1902" spans="1:6" x14ac:dyDescent="0.2">
      <c r="A1902" s="1">
        <v>45147</v>
      </c>
      <c r="B1902" s="5" t="s">
        <v>5</v>
      </c>
      <c r="C1902" s="2">
        <v>1253</v>
      </c>
      <c r="D1902" s="2">
        <v>236</v>
      </c>
      <c r="E1902" s="3">
        <v>3506.85</v>
      </c>
      <c r="F1902" s="4" t="str">
        <f>IF(campaignData[[#This Row],[Campaign]]="Old_Campaign", "A", "B")</f>
        <v>A</v>
      </c>
    </row>
    <row r="1903" spans="1:6" x14ac:dyDescent="0.2">
      <c r="A1903" s="1">
        <v>45147</v>
      </c>
      <c r="B1903" s="5" t="s">
        <v>6</v>
      </c>
      <c r="C1903" s="2">
        <v>1108</v>
      </c>
      <c r="D1903" s="2">
        <v>229</v>
      </c>
      <c r="E1903" s="3">
        <v>3532.5</v>
      </c>
      <c r="F1903" s="4" t="str">
        <f>IF(campaignData[[#This Row],[Campaign]]="Old_Campaign", "A", "B")</f>
        <v>B</v>
      </c>
    </row>
    <row r="1904" spans="1:6" x14ac:dyDescent="0.2">
      <c r="A1904" s="1">
        <v>45148</v>
      </c>
      <c r="B1904" s="5" t="s">
        <v>5</v>
      </c>
      <c r="C1904" s="2">
        <v>1239</v>
      </c>
      <c r="D1904" s="2">
        <v>235</v>
      </c>
      <c r="E1904" s="3">
        <v>2742.39</v>
      </c>
      <c r="F1904" s="4" t="str">
        <f>IF(campaignData[[#This Row],[Campaign]]="Old_Campaign", "A", "B")</f>
        <v>A</v>
      </c>
    </row>
    <row r="1905" spans="1:6" x14ac:dyDescent="0.2">
      <c r="A1905" s="1">
        <v>45148</v>
      </c>
      <c r="B1905" s="5" t="s">
        <v>6</v>
      </c>
      <c r="C1905" s="2">
        <v>1085</v>
      </c>
      <c r="D1905" s="2">
        <v>255</v>
      </c>
      <c r="E1905" s="3">
        <v>3059.11</v>
      </c>
      <c r="F1905" s="4" t="str">
        <f>IF(campaignData[[#This Row],[Campaign]]="Old_Campaign", "A", "B")</f>
        <v>B</v>
      </c>
    </row>
    <row r="1906" spans="1:6" x14ac:dyDescent="0.2">
      <c r="A1906" s="1">
        <v>45149</v>
      </c>
      <c r="B1906" s="5" t="s">
        <v>5</v>
      </c>
      <c r="C1906" s="2">
        <v>1221</v>
      </c>
      <c r="D1906" s="2">
        <v>231</v>
      </c>
      <c r="E1906" s="3">
        <v>3682.78</v>
      </c>
      <c r="F1906" s="4" t="str">
        <f>IF(campaignData[[#This Row],[Campaign]]="Old_Campaign", "A", "B")</f>
        <v>A</v>
      </c>
    </row>
    <row r="1907" spans="1:6" x14ac:dyDescent="0.2">
      <c r="A1907" s="1">
        <v>45149</v>
      </c>
      <c r="B1907" s="5" t="s">
        <v>6</v>
      </c>
      <c r="C1907" s="2">
        <v>1101</v>
      </c>
      <c r="D1907" s="2">
        <v>247</v>
      </c>
      <c r="E1907" s="3">
        <v>4580.32</v>
      </c>
      <c r="F1907" s="4" t="str">
        <f>IF(campaignData[[#This Row],[Campaign]]="Old_Campaign", "A", "B")</f>
        <v>B</v>
      </c>
    </row>
    <row r="1908" spans="1:6" x14ac:dyDescent="0.2">
      <c r="A1908" s="1">
        <v>45150</v>
      </c>
      <c r="B1908" s="5" t="s">
        <v>5</v>
      </c>
      <c r="C1908" s="2">
        <v>1203</v>
      </c>
      <c r="D1908" s="2">
        <v>240</v>
      </c>
      <c r="E1908" s="3">
        <v>3822.38</v>
      </c>
      <c r="F1908" s="4" t="str">
        <f>IF(campaignData[[#This Row],[Campaign]]="Old_Campaign", "A", "B")</f>
        <v>A</v>
      </c>
    </row>
    <row r="1909" spans="1:6" x14ac:dyDescent="0.2">
      <c r="A1909" s="1">
        <v>45150</v>
      </c>
      <c r="B1909" s="5" t="s">
        <v>6</v>
      </c>
      <c r="C1909" s="2">
        <v>1113</v>
      </c>
      <c r="D1909" s="2">
        <v>243</v>
      </c>
      <c r="E1909" s="3">
        <v>3726.14</v>
      </c>
      <c r="F1909" s="4" t="str">
        <f>IF(campaignData[[#This Row],[Campaign]]="Old_Campaign", "A", "B")</f>
        <v>B</v>
      </c>
    </row>
    <row r="1910" spans="1:6" x14ac:dyDescent="0.2">
      <c r="A1910" s="1">
        <v>45151</v>
      </c>
      <c r="B1910" s="5" t="s">
        <v>5</v>
      </c>
      <c r="C1910" s="2">
        <v>1197</v>
      </c>
      <c r="D1910" s="2">
        <v>219</v>
      </c>
      <c r="E1910" s="3">
        <v>4046.24</v>
      </c>
      <c r="F1910" s="4" t="str">
        <f>IF(campaignData[[#This Row],[Campaign]]="Old_Campaign", "A", "B")</f>
        <v>A</v>
      </c>
    </row>
    <row r="1911" spans="1:6" x14ac:dyDescent="0.2">
      <c r="A1911" s="1">
        <v>45151</v>
      </c>
      <c r="B1911" s="5" t="s">
        <v>6</v>
      </c>
      <c r="C1911" s="2">
        <v>1201</v>
      </c>
      <c r="D1911" s="2">
        <v>263</v>
      </c>
      <c r="E1911" s="3">
        <v>4433.6400000000003</v>
      </c>
      <c r="F1911" s="4" t="str">
        <f>IF(campaignData[[#This Row],[Campaign]]="Old_Campaign", "A", "B")</f>
        <v>B</v>
      </c>
    </row>
    <row r="1912" spans="1:6" x14ac:dyDescent="0.2">
      <c r="A1912" s="1">
        <v>45152</v>
      </c>
      <c r="B1912" s="5" t="s">
        <v>5</v>
      </c>
      <c r="C1912" s="2">
        <v>1251</v>
      </c>
      <c r="D1912" s="2">
        <v>240</v>
      </c>
      <c r="E1912" s="3">
        <v>3060.87</v>
      </c>
      <c r="F1912" s="4" t="str">
        <f>IF(campaignData[[#This Row],[Campaign]]="Old_Campaign", "A", "B")</f>
        <v>A</v>
      </c>
    </row>
    <row r="1913" spans="1:6" x14ac:dyDescent="0.2">
      <c r="A1913" s="1">
        <v>45152</v>
      </c>
      <c r="B1913" s="5" t="s">
        <v>6</v>
      </c>
      <c r="C1913" s="2">
        <v>1173</v>
      </c>
      <c r="D1913" s="2">
        <v>245</v>
      </c>
      <c r="E1913" s="3">
        <v>4922.37</v>
      </c>
      <c r="F1913" s="4" t="str">
        <f>IF(campaignData[[#This Row],[Campaign]]="Old_Campaign", "A", "B")</f>
        <v>B</v>
      </c>
    </row>
    <row r="1914" spans="1:6" x14ac:dyDescent="0.2">
      <c r="A1914" s="1">
        <v>45153</v>
      </c>
      <c r="B1914" s="5" t="s">
        <v>5</v>
      </c>
      <c r="C1914" s="2">
        <v>1266</v>
      </c>
      <c r="D1914" s="2">
        <v>244</v>
      </c>
      <c r="E1914" s="3">
        <v>3183.41</v>
      </c>
      <c r="F1914" s="4" t="str">
        <f>IF(campaignData[[#This Row],[Campaign]]="Old_Campaign", "A", "B")</f>
        <v>A</v>
      </c>
    </row>
    <row r="1915" spans="1:6" x14ac:dyDescent="0.2">
      <c r="A1915" s="1">
        <v>45153</v>
      </c>
      <c r="B1915" s="5" t="s">
        <v>6</v>
      </c>
      <c r="C1915" s="2">
        <v>1108</v>
      </c>
      <c r="D1915" s="2">
        <v>250</v>
      </c>
      <c r="E1915" s="3">
        <v>4080.13</v>
      </c>
      <c r="F1915" s="4" t="str">
        <f>IF(campaignData[[#This Row],[Campaign]]="Old_Campaign", "A", "B")</f>
        <v>B</v>
      </c>
    </row>
    <row r="1916" spans="1:6" x14ac:dyDescent="0.2">
      <c r="A1916" s="1">
        <v>45154</v>
      </c>
      <c r="B1916" s="5" t="s">
        <v>5</v>
      </c>
      <c r="C1916" s="2">
        <v>1235</v>
      </c>
      <c r="D1916" s="2">
        <v>238</v>
      </c>
      <c r="E1916" s="3">
        <v>3463.84</v>
      </c>
      <c r="F1916" s="4" t="str">
        <f>IF(campaignData[[#This Row],[Campaign]]="Old_Campaign", "A", "B")</f>
        <v>A</v>
      </c>
    </row>
    <row r="1917" spans="1:6" x14ac:dyDescent="0.2">
      <c r="A1917" s="1">
        <v>45154</v>
      </c>
      <c r="B1917" s="5" t="s">
        <v>6</v>
      </c>
      <c r="C1917" s="2">
        <v>1224</v>
      </c>
      <c r="D1917" s="2">
        <v>280</v>
      </c>
      <c r="E1917" s="3">
        <v>4637.9399999999996</v>
      </c>
      <c r="F1917" s="4" t="str">
        <f>IF(campaignData[[#This Row],[Campaign]]="Old_Campaign", "A", "B")</f>
        <v>B</v>
      </c>
    </row>
    <row r="1918" spans="1:6" x14ac:dyDescent="0.2">
      <c r="A1918" s="1">
        <v>45155</v>
      </c>
      <c r="B1918" s="5" t="s">
        <v>5</v>
      </c>
      <c r="C1918" s="2">
        <v>1209</v>
      </c>
      <c r="D1918" s="2">
        <v>232</v>
      </c>
      <c r="E1918" s="3">
        <v>2975.28</v>
      </c>
      <c r="F1918" s="4" t="str">
        <f>IF(campaignData[[#This Row],[Campaign]]="Old_Campaign", "A", "B")</f>
        <v>A</v>
      </c>
    </row>
    <row r="1919" spans="1:6" x14ac:dyDescent="0.2">
      <c r="A1919" s="1">
        <v>45155</v>
      </c>
      <c r="B1919" s="5" t="s">
        <v>6</v>
      </c>
      <c r="C1919" s="2">
        <v>1166</v>
      </c>
      <c r="D1919" s="2">
        <v>281</v>
      </c>
      <c r="E1919" s="3">
        <v>4426.37</v>
      </c>
      <c r="F1919" s="4" t="str">
        <f>IF(campaignData[[#This Row],[Campaign]]="Old_Campaign", "A", "B")</f>
        <v>B</v>
      </c>
    </row>
    <row r="1920" spans="1:6" x14ac:dyDescent="0.2">
      <c r="A1920" s="1">
        <v>45156</v>
      </c>
      <c r="B1920" s="5" t="s">
        <v>5</v>
      </c>
      <c r="C1920" s="2">
        <v>1205</v>
      </c>
      <c r="D1920" s="2">
        <v>229</v>
      </c>
      <c r="E1920" s="3">
        <v>3267.22</v>
      </c>
      <c r="F1920" s="4" t="str">
        <f>IF(campaignData[[#This Row],[Campaign]]="Old_Campaign", "A", "B")</f>
        <v>A</v>
      </c>
    </row>
    <row r="1921" spans="1:6" x14ac:dyDescent="0.2">
      <c r="A1921" s="1">
        <v>45156</v>
      </c>
      <c r="B1921" s="5" t="s">
        <v>6</v>
      </c>
      <c r="C1921" s="2">
        <v>1101</v>
      </c>
      <c r="D1921" s="2">
        <v>246</v>
      </c>
      <c r="E1921" s="3">
        <v>4022.97</v>
      </c>
      <c r="F1921" s="4" t="str">
        <f>IF(campaignData[[#This Row],[Campaign]]="Old_Campaign", "A", "B")</f>
        <v>B</v>
      </c>
    </row>
    <row r="1922" spans="1:6" x14ac:dyDescent="0.2">
      <c r="A1922" s="1">
        <v>45157</v>
      </c>
      <c r="B1922" s="5" t="s">
        <v>5</v>
      </c>
      <c r="C1922" s="2">
        <v>1274</v>
      </c>
      <c r="D1922" s="2">
        <v>255</v>
      </c>
      <c r="E1922" s="3">
        <v>4067.98</v>
      </c>
      <c r="F1922" s="4" t="str">
        <f>IF(campaignData[[#This Row],[Campaign]]="Old_Campaign", "A", "B")</f>
        <v>A</v>
      </c>
    </row>
    <row r="1923" spans="1:6" x14ac:dyDescent="0.2">
      <c r="A1923" s="1">
        <v>45157</v>
      </c>
      <c r="B1923" s="5" t="s">
        <v>6</v>
      </c>
      <c r="C1923" s="2">
        <v>1160</v>
      </c>
      <c r="D1923" s="2">
        <v>275</v>
      </c>
      <c r="E1923" s="3">
        <v>4315.71</v>
      </c>
      <c r="F1923" s="4" t="str">
        <f>IF(campaignData[[#This Row],[Campaign]]="Old_Campaign", "A", "B")</f>
        <v>B</v>
      </c>
    </row>
    <row r="1924" spans="1:6" x14ac:dyDescent="0.2">
      <c r="A1924" s="1">
        <v>45158</v>
      </c>
      <c r="B1924" s="5" t="s">
        <v>5</v>
      </c>
      <c r="C1924" s="2">
        <v>1274</v>
      </c>
      <c r="D1924" s="2">
        <v>258</v>
      </c>
      <c r="E1924" s="3">
        <v>3767.28</v>
      </c>
      <c r="F1924" s="4" t="str">
        <f>IF(campaignData[[#This Row],[Campaign]]="Old_Campaign", "A", "B")</f>
        <v>A</v>
      </c>
    </row>
    <row r="1925" spans="1:6" x14ac:dyDescent="0.2">
      <c r="A1925" s="1">
        <v>45158</v>
      </c>
      <c r="B1925" s="5" t="s">
        <v>6</v>
      </c>
      <c r="C1925" s="2">
        <v>1198</v>
      </c>
      <c r="D1925" s="2">
        <v>266</v>
      </c>
      <c r="E1925" s="3">
        <v>4354.33</v>
      </c>
      <c r="F1925" s="4" t="str">
        <f>IF(campaignData[[#This Row],[Campaign]]="Old_Campaign", "A", "B")</f>
        <v>B</v>
      </c>
    </row>
    <row r="1926" spans="1:6" x14ac:dyDescent="0.2">
      <c r="A1926" s="1">
        <v>45159</v>
      </c>
      <c r="B1926" s="5" t="s">
        <v>5</v>
      </c>
      <c r="C1926" s="2">
        <v>1181</v>
      </c>
      <c r="D1926" s="2">
        <v>238</v>
      </c>
      <c r="E1926" s="3">
        <v>3016.44</v>
      </c>
      <c r="F1926" s="4" t="str">
        <f>IF(campaignData[[#This Row],[Campaign]]="Old_Campaign", "A", "B")</f>
        <v>A</v>
      </c>
    </row>
    <row r="1927" spans="1:6" x14ac:dyDescent="0.2">
      <c r="A1927" s="1">
        <v>45159</v>
      </c>
      <c r="B1927" s="5" t="s">
        <v>6</v>
      </c>
      <c r="C1927" s="2">
        <v>1139</v>
      </c>
      <c r="D1927" s="2">
        <v>251</v>
      </c>
      <c r="E1927" s="3">
        <v>3836.58</v>
      </c>
      <c r="F1927" s="4" t="str">
        <f>IF(campaignData[[#This Row],[Campaign]]="Old_Campaign", "A", "B")</f>
        <v>B</v>
      </c>
    </row>
    <row r="1928" spans="1:6" x14ac:dyDescent="0.2">
      <c r="A1928" s="1">
        <v>45160</v>
      </c>
      <c r="B1928" s="5" t="s">
        <v>5</v>
      </c>
      <c r="C1928" s="2">
        <v>1275</v>
      </c>
      <c r="D1928" s="2">
        <v>226</v>
      </c>
      <c r="E1928" s="3">
        <v>3691.51</v>
      </c>
      <c r="F1928" s="4" t="str">
        <f>IF(campaignData[[#This Row],[Campaign]]="Old_Campaign", "A", "B")</f>
        <v>A</v>
      </c>
    </row>
    <row r="1929" spans="1:6" x14ac:dyDescent="0.2">
      <c r="A1929" s="1">
        <v>45160</v>
      </c>
      <c r="B1929" s="5" t="s">
        <v>6</v>
      </c>
      <c r="C1929" s="2">
        <v>1182</v>
      </c>
      <c r="D1929" s="2">
        <v>250</v>
      </c>
      <c r="E1929" s="3">
        <v>3227.47</v>
      </c>
      <c r="F1929" s="4" t="str">
        <f>IF(campaignData[[#This Row],[Campaign]]="Old_Campaign", "A", "B")</f>
        <v>B</v>
      </c>
    </row>
    <row r="1930" spans="1:6" x14ac:dyDescent="0.2">
      <c r="A1930" s="1">
        <v>45161</v>
      </c>
      <c r="B1930" s="5" t="s">
        <v>5</v>
      </c>
      <c r="C1930" s="2">
        <v>1226</v>
      </c>
      <c r="D1930" s="2">
        <v>230</v>
      </c>
      <c r="E1930" s="3">
        <v>3146.85</v>
      </c>
      <c r="F1930" s="4" t="str">
        <f>IF(campaignData[[#This Row],[Campaign]]="Old_Campaign", "A", "B")</f>
        <v>A</v>
      </c>
    </row>
    <row r="1931" spans="1:6" x14ac:dyDescent="0.2">
      <c r="A1931" s="1">
        <v>45161</v>
      </c>
      <c r="B1931" s="5" t="s">
        <v>6</v>
      </c>
      <c r="C1931" s="2">
        <v>1123</v>
      </c>
      <c r="D1931" s="2">
        <v>249</v>
      </c>
      <c r="E1931" s="3">
        <v>4645.67</v>
      </c>
      <c r="F1931" s="4" t="str">
        <f>IF(campaignData[[#This Row],[Campaign]]="Old_Campaign", "A", "B")</f>
        <v>B</v>
      </c>
    </row>
    <row r="1932" spans="1:6" x14ac:dyDescent="0.2">
      <c r="A1932" s="1">
        <v>45162</v>
      </c>
      <c r="B1932" s="5" t="s">
        <v>5</v>
      </c>
      <c r="C1932" s="2">
        <v>1185</v>
      </c>
      <c r="D1932" s="2">
        <v>190</v>
      </c>
      <c r="E1932" s="3">
        <v>2733.25</v>
      </c>
      <c r="F1932" s="4" t="str">
        <f>IF(campaignData[[#This Row],[Campaign]]="Old_Campaign", "A", "B")</f>
        <v>A</v>
      </c>
    </row>
    <row r="1933" spans="1:6" x14ac:dyDescent="0.2">
      <c r="A1933" s="1">
        <v>45162</v>
      </c>
      <c r="B1933" s="5" t="s">
        <v>6</v>
      </c>
      <c r="C1933" s="2">
        <v>1207</v>
      </c>
      <c r="D1933" s="2">
        <v>266</v>
      </c>
      <c r="E1933" s="3">
        <v>4984.3599999999997</v>
      </c>
      <c r="F1933" s="4" t="str">
        <f>IF(campaignData[[#This Row],[Campaign]]="Old_Campaign", "A", "B")</f>
        <v>B</v>
      </c>
    </row>
    <row r="1934" spans="1:6" x14ac:dyDescent="0.2">
      <c r="A1934" s="1">
        <v>45163</v>
      </c>
      <c r="B1934" s="5" t="s">
        <v>5</v>
      </c>
      <c r="C1934" s="2">
        <v>1171</v>
      </c>
      <c r="D1934" s="2">
        <v>220</v>
      </c>
      <c r="E1934" s="3">
        <v>4004.47</v>
      </c>
      <c r="F1934" s="4" t="str">
        <f>IF(campaignData[[#This Row],[Campaign]]="Old_Campaign", "A", "B")</f>
        <v>A</v>
      </c>
    </row>
    <row r="1935" spans="1:6" x14ac:dyDescent="0.2">
      <c r="A1935" s="1">
        <v>45163</v>
      </c>
      <c r="B1935" s="5" t="s">
        <v>6</v>
      </c>
      <c r="C1935" s="2">
        <v>1128</v>
      </c>
      <c r="D1935" s="2">
        <v>238</v>
      </c>
      <c r="E1935" s="3">
        <v>4232.5200000000004</v>
      </c>
      <c r="F1935" s="4" t="str">
        <f>IF(campaignData[[#This Row],[Campaign]]="Old_Campaign", "A", "B")</f>
        <v>B</v>
      </c>
    </row>
    <row r="1936" spans="1:6" x14ac:dyDescent="0.2">
      <c r="A1936" s="1">
        <v>45164</v>
      </c>
      <c r="B1936" s="5" t="s">
        <v>5</v>
      </c>
      <c r="C1936" s="2">
        <v>1215</v>
      </c>
      <c r="D1936" s="2">
        <v>230</v>
      </c>
      <c r="E1936" s="3">
        <v>3378.51</v>
      </c>
      <c r="F1936" s="4" t="str">
        <f>IF(campaignData[[#This Row],[Campaign]]="Old_Campaign", "A", "B")</f>
        <v>A</v>
      </c>
    </row>
    <row r="1937" spans="1:6" x14ac:dyDescent="0.2">
      <c r="A1937" s="1">
        <v>45164</v>
      </c>
      <c r="B1937" s="5" t="s">
        <v>6</v>
      </c>
      <c r="C1937" s="2">
        <v>1196</v>
      </c>
      <c r="D1937" s="2">
        <v>267</v>
      </c>
      <c r="E1937" s="3">
        <v>3654.85</v>
      </c>
      <c r="F1937" s="4" t="str">
        <f>IF(campaignData[[#This Row],[Campaign]]="Old_Campaign", "A", "B")</f>
        <v>B</v>
      </c>
    </row>
    <row r="1938" spans="1:6" x14ac:dyDescent="0.2">
      <c r="A1938" s="1">
        <v>45165</v>
      </c>
      <c r="B1938" s="5" t="s">
        <v>5</v>
      </c>
      <c r="C1938" s="2">
        <v>1201</v>
      </c>
      <c r="D1938" s="2">
        <v>222</v>
      </c>
      <c r="E1938" s="3">
        <v>2574.92</v>
      </c>
      <c r="F1938" s="4" t="str">
        <f>IF(campaignData[[#This Row],[Campaign]]="Old_Campaign", "A", "B")</f>
        <v>A</v>
      </c>
    </row>
    <row r="1939" spans="1:6" x14ac:dyDescent="0.2">
      <c r="A1939" s="1">
        <v>45165</v>
      </c>
      <c r="B1939" s="5" t="s">
        <v>6</v>
      </c>
      <c r="C1939" s="2">
        <v>1211</v>
      </c>
      <c r="D1939" s="2">
        <v>270</v>
      </c>
      <c r="E1939" s="3">
        <v>3923.24</v>
      </c>
      <c r="F1939" s="4" t="str">
        <f>IF(campaignData[[#This Row],[Campaign]]="Old_Campaign", "A", "B")</f>
        <v>B</v>
      </c>
    </row>
    <row r="1940" spans="1:6" x14ac:dyDescent="0.2">
      <c r="A1940" s="1">
        <v>45166</v>
      </c>
      <c r="B1940" s="5" t="s">
        <v>5</v>
      </c>
      <c r="C1940" s="2">
        <v>1221</v>
      </c>
      <c r="D1940" s="2">
        <v>201</v>
      </c>
      <c r="E1940" s="3">
        <v>2839.52</v>
      </c>
      <c r="F1940" s="4" t="str">
        <f>IF(campaignData[[#This Row],[Campaign]]="Old_Campaign", "A", "B")</f>
        <v>A</v>
      </c>
    </row>
    <row r="1941" spans="1:6" x14ac:dyDescent="0.2">
      <c r="A1941" s="1">
        <v>45166</v>
      </c>
      <c r="B1941" s="5" t="s">
        <v>6</v>
      </c>
      <c r="C1941" s="2">
        <v>1099</v>
      </c>
      <c r="D1941" s="2">
        <v>240</v>
      </c>
      <c r="E1941" s="3">
        <v>4354.41</v>
      </c>
      <c r="F1941" s="4" t="str">
        <f>IF(campaignData[[#This Row],[Campaign]]="Old_Campaign", "A", "B")</f>
        <v>B</v>
      </c>
    </row>
    <row r="1942" spans="1:6" x14ac:dyDescent="0.2">
      <c r="A1942" s="1">
        <v>45167</v>
      </c>
      <c r="B1942" s="5" t="s">
        <v>5</v>
      </c>
      <c r="C1942" s="2">
        <v>1166</v>
      </c>
      <c r="D1942" s="2">
        <v>252</v>
      </c>
      <c r="E1942" s="3">
        <v>3796.64</v>
      </c>
      <c r="F1942" s="4" t="str">
        <f>IF(campaignData[[#This Row],[Campaign]]="Old_Campaign", "A", "B")</f>
        <v>A</v>
      </c>
    </row>
    <row r="1943" spans="1:6" x14ac:dyDescent="0.2">
      <c r="A1943" s="1">
        <v>45167</v>
      </c>
      <c r="B1943" s="5" t="s">
        <v>6</v>
      </c>
      <c r="C1943" s="2">
        <v>1150</v>
      </c>
      <c r="D1943" s="2">
        <v>261</v>
      </c>
      <c r="E1943" s="3">
        <v>4879.1000000000004</v>
      </c>
      <c r="F1943" s="4" t="str">
        <f>IF(campaignData[[#This Row],[Campaign]]="Old_Campaign", "A", "B")</f>
        <v>B</v>
      </c>
    </row>
    <row r="1944" spans="1:6" x14ac:dyDescent="0.2">
      <c r="A1944" s="1">
        <v>45168</v>
      </c>
      <c r="B1944" s="5" t="s">
        <v>5</v>
      </c>
      <c r="C1944" s="2">
        <v>1170</v>
      </c>
      <c r="D1944" s="2">
        <v>220</v>
      </c>
      <c r="E1944" s="3">
        <v>3214.93</v>
      </c>
      <c r="F1944" s="4" t="str">
        <f>IF(campaignData[[#This Row],[Campaign]]="Old_Campaign", "A", "B")</f>
        <v>A</v>
      </c>
    </row>
    <row r="1945" spans="1:6" x14ac:dyDescent="0.2">
      <c r="A1945" s="1">
        <v>45168</v>
      </c>
      <c r="B1945" s="5" t="s">
        <v>6</v>
      </c>
      <c r="C1945" s="2">
        <v>1114</v>
      </c>
      <c r="D1945" s="2">
        <v>246</v>
      </c>
      <c r="E1945" s="3">
        <v>4377.22</v>
      </c>
      <c r="F1945" s="4" t="str">
        <f>IF(campaignData[[#This Row],[Campaign]]="Old_Campaign", "A", "B")</f>
        <v>B</v>
      </c>
    </row>
    <row r="1946" spans="1:6" x14ac:dyDescent="0.2">
      <c r="A1946" s="1">
        <v>45169</v>
      </c>
      <c r="B1946" s="5" t="s">
        <v>5</v>
      </c>
      <c r="C1946" s="2">
        <v>1192</v>
      </c>
      <c r="D1946" s="2">
        <v>234</v>
      </c>
      <c r="E1946" s="3">
        <v>2816.32</v>
      </c>
      <c r="F1946" s="4" t="str">
        <f>IF(campaignData[[#This Row],[Campaign]]="Old_Campaign", "A", "B")</f>
        <v>A</v>
      </c>
    </row>
    <row r="1947" spans="1:6" x14ac:dyDescent="0.2">
      <c r="A1947" s="1">
        <v>45169</v>
      </c>
      <c r="B1947" s="5" t="s">
        <v>6</v>
      </c>
      <c r="C1947" s="2">
        <v>1167</v>
      </c>
      <c r="D1947" s="2">
        <v>254</v>
      </c>
      <c r="E1947" s="3">
        <v>4649.05</v>
      </c>
      <c r="F1947" s="4" t="str">
        <f>IF(campaignData[[#This Row],[Campaign]]="Old_Campaign", "A", "B")</f>
        <v>B</v>
      </c>
    </row>
    <row r="1948" spans="1:6" x14ac:dyDescent="0.2">
      <c r="A1948" s="1">
        <v>45170</v>
      </c>
      <c r="B1948" s="5" t="s">
        <v>5</v>
      </c>
      <c r="C1948" s="2">
        <v>1169</v>
      </c>
      <c r="D1948" s="2">
        <v>219</v>
      </c>
      <c r="E1948" s="3">
        <v>2892.3</v>
      </c>
      <c r="F1948" s="4" t="str">
        <f>IF(campaignData[[#This Row],[Campaign]]="Old_Campaign", "A", "B")</f>
        <v>A</v>
      </c>
    </row>
    <row r="1949" spans="1:6" x14ac:dyDescent="0.2">
      <c r="A1949" s="1">
        <v>45170</v>
      </c>
      <c r="B1949" s="5" t="s">
        <v>6</v>
      </c>
      <c r="C1949" s="2">
        <v>1161</v>
      </c>
      <c r="D1949" s="2">
        <v>257</v>
      </c>
      <c r="E1949" s="3">
        <v>4406.75</v>
      </c>
      <c r="F1949" s="4" t="str">
        <f>IF(campaignData[[#This Row],[Campaign]]="Old_Campaign", "A", "B")</f>
        <v>B</v>
      </c>
    </row>
    <row r="1950" spans="1:6" x14ac:dyDescent="0.2">
      <c r="A1950" s="1">
        <v>45171</v>
      </c>
      <c r="B1950" s="5" t="s">
        <v>5</v>
      </c>
      <c r="C1950" s="2">
        <v>1210</v>
      </c>
      <c r="D1950" s="2">
        <v>238</v>
      </c>
      <c r="E1950" s="3">
        <v>3410.17</v>
      </c>
      <c r="F1950" s="4" t="str">
        <f>IF(campaignData[[#This Row],[Campaign]]="Old_Campaign", "A", "B")</f>
        <v>A</v>
      </c>
    </row>
    <row r="1951" spans="1:6" x14ac:dyDescent="0.2">
      <c r="A1951" s="1">
        <v>45171</v>
      </c>
      <c r="B1951" s="5" t="s">
        <v>6</v>
      </c>
      <c r="C1951" s="2">
        <v>1134</v>
      </c>
      <c r="D1951" s="2">
        <v>255</v>
      </c>
      <c r="E1951" s="3">
        <v>3491.14</v>
      </c>
      <c r="F1951" s="4" t="str">
        <f>IF(campaignData[[#This Row],[Campaign]]="Old_Campaign", "A", "B")</f>
        <v>B</v>
      </c>
    </row>
    <row r="1952" spans="1:6" x14ac:dyDescent="0.2">
      <c r="A1952" s="1">
        <v>45172</v>
      </c>
      <c r="B1952" s="5" t="s">
        <v>5</v>
      </c>
      <c r="C1952" s="2">
        <v>1271</v>
      </c>
      <c r="D1952" s="2">
        <v>237</v>
      </c>
      <c r="E1952" s="3">
        <v>4519.84</v>
      </c>
      <c r="F1952" s="4" t="str">
        <f>IF(campaignData[[#This Row],[Campaign]]="Old_Campaign", "A", "B")</f>
        <v>A</v>
      </c>
    </row>
    <row r="1953" spans="1:6" x14ac:dyDescent="0.2">
      <c r="A1953" s="1">
        <v>45172</v>
      </c>
      <c r="B1953" s="5" t="s">
        <v>6</v>
      </c>
      <c r="C1953" s="2">
        <v>1076</v>
      </c>
      <c r="D1953" s="2">
        <v>232</v>
      </c>
      <c r="E1953" s="3">
        <v>4636.33</v>
      </c>
      <c r="F1953" s="4" t="str">
        <f>IF(campaignData[[#This Row],[Campaign]]="Old_Campaign", "A", "B")</f>
        <v>B</v>
      </c>
    </row>
    <row r="1954" spans="1:6" x14ac:dyDescent="0.2">
      <c r="A1954" s="1">
        <v>45173</v>
      </c>
      <c r="B1954" s="5" t="s">
        <v>5</v>
      </c>
      <c r="C1954" s="2">
        <v>1180</v>
      </c>
      <c r="D1954" s="2">
        <v>205</v>
      </c>
      <c r="E1954" s="3">
        <v>3573.74</v>
      </c>
      <c r="F1954" s="4" t="str">
        <f>IF(campaignData[[#This Row],[Campaign]]="Old_Campaign", "A", "B")</f>
        <v>A</v>
      </c>
    </row>
    <row r="1955" spans="1:6" x14ac:dyDescent="0.2">
      <c r="A1955" s="1">
        <v>45173</v>
      </c>
      <c r="B1955" s="5" t="s">
        <v>6</v>
      </c>
      <c r="C1955" s="2">
        <v>1197</v>
      </c>
      <c r="D1955" s="2">
        <v>280</v>
      </c>
      <c r="E1955" s="3">
        <v>4567.09</v>
      </c>
      <c r="F1955" s="4" t="str">
        <f>IF(campaignData[[#This Row],[Campaign]]="Old_Campaign", "A", "B")</f>
        <v>B</v>
      </c>
    </row>
    <row r="1956" spans="1:6" x14ac:dyDescent="0.2">
      <c r="A1956" s="1">
        <v>45174</v>
      </c>
      <c r="B1956" s="5" t="s">
        <v>5</v>
      </c>
      <c r="C1956" s="2">
        <v>1242</v>
      </c>
      <c r="D1956" s="2">
        <v>227</v>
      </c>
      <c r="E1956" s="3">
        <v>2955.26</v>
      </c>
      <c r="F1956" s="4" t="str">
        <f>IF(campaignData[[#This Row],[Campaign]]="Old_Campaign", "A", "B")</f>
        <v>A</v>
      </c>
    </row>
    <row r="1957" spans="1:6" x14ac:dyDescent="0.2">
      <c r="A1957" s="1">
        <v>45174</v>
      </c>
      <c r="B1957" s="5" t="s">
        <v>6</v>
      </c>
      <c r="C1957" s="2">
        <v>1171</v>
      </c>
      <c r="D1957" s="2">
        <v>246</v>
      </c>
      <c r="E1957" s="3">
        <v>3767.15</v>
      </c>
      <c r="F1957" s="4" t="str">
        <f>IF(campaignData[[#This Row],[Campaign]]="Old_Campaign", "A", "B")</f>
        <v>B</v>
      </c>
    </row>
    <row r="1958" spans="1:6" x14ac:dyDescent="0.2">
      <c r="A1958" s="1">
        <v>45175</v>
      </c>
      <c r="B1958" s="5" t="s">
        <v>5</v>
      </c>
      <c r="C1958" s="2">
        <v>1169</v>
      </c>
      <c r="D1958" s="2">
        <v>225</v>
      </c>
      <c r="E1958" s="3">
        <v>4206.6499999999996</v>
      </c>
      <c r="F1958" s="4" t="str">
        <f>IF(campaignData[[#This Row],[Campaign]]="Old_Campaign", "A", "B")</f>
        <v>A</v>
      </c>
    </row>
    <row r="1959" spans="1:6" x14ac:dyDescent="0.2">
      <c r="A1959" s="1">
        <v>45175</v>
      </c>
      <c r="B1959" s="5" t="s">
        <v>6</v>
      </c>
      <c r="C1959" s="2">
        <v>1260</v>
      </c>
      <c r="D1959" s="2">
        <v>313</v>
      </c>
      <c r="E1959" s="3">
        <v>5346.05</v>
      </c>
      <c r="F1959" s="4" t="str">
        <f>IF(campaignData[[#This Row],[Campaign]]="Old_Campaign", "A", "B")</f>
        <v>B</v>
      </c>
    </row>
    <row r="1960" spans="1:6" x14ac:dyDescent="0.2">
      <c r="A1960" s="1">
        <v>45176</v>
      </c>
      <c r="B1960" s="5" t="s">
        <v>5</v>
      </c>
      <c r="C1960" s="2">
        <v>1189</v>
      </c>
      <c r="D1960" s="2">
        <v>249</v>
      </c>
      <c r="E1960" s="3">
        <v>4538.26</v>
      </c>
      <c r="F1960" s="4" t="str">
        <f>IF(campaignData[[#This Row],[Campaign]]="Old_Campaign", "A", "B")</f>
        <v>A</v>
      </c>
    </row>
    <row r="1961" spans="1:6" x14ac:dyDescent="0.2">
      <c r="A1961" s="1">
        <v>45176</v>
      </c>
      <c r="B1961" s="5" t="s">
        <v>6</v>
      </c>
      <c r="C1961" s="2">
        <v>1187</v>
      </c>
      <c r="D1961" s="2">
        <v>280</v>
      </c>
      <c r="E1961" s="3">
        <v>4888.37</v>
      </c>
      <c r="F1961" s="4" t="str">
        <f>IF(campaignData[[#This Row],[Campaign]]="Old_Campaign", "A", "B")</f>
        <v>B</v>
      </c>
    </row>
    <row r="1962" spans="1:6" x14ac:dyDescent="0.2">
      <c r="A1962" s="1">
        <v>45177</v>
      </c>
      <c r="B1962" s="5" t="s">
        <v>5</v>
      </c>
      <c r="C1962" s="2">
        <v>1201</v>
      </c>
      <c r="D1962" s="2">
        <v>225</v>
      </c>
      <c r="E1962" s="3">
        <v>3631.93</v>
      </c>
      <c r="F1962" s="4" t="str">
        <f>IF(campaignData[[#This Row],[Campaign]]="Old_Campaign", "A", "B")</f>
        <v>A</v>
      </c>
    </row>
    <row r="1963" spans="1:6" x14ac:dyDescent="0.2">
      <c r="A1963" s="1">
        <v>45177</v>
      </c>
      <c r="B1963" s="5" t="s">
        <v>6</v>
      </c>
      <c r="C1963" s="2">
        <v>1184</v>
      </c>
      <c r="D1963" s="2">
        <v>282</v>
      </c>
      <c r="E1963" s="3">
        <v>4052.68</v>
      </c>
      <c r="F1963" s="4" t="str">
        <f>IF(campaignData[[#This Row],[Campaign]]="Old_Campaign", "A", "B")</f>
        <v>B</v>
      </c>
    </row>
    <row r="1964" spans="1:6" x14ac:dyDescent="0.2">
      <c r="A1964" s="1">
        <v>45178</v>
      </c>
      <c r="B1964" s="5" t="s">
        <v>5</v>
      </c>
      <c r="C1964" s="2">
        <v>1243</v>
      </c>
      <c r="D1964" s="2">
        <v>219</v>
      </c>
      <c r="E1964" s="3">
        <v>2617.85</v>
      </c>
      <c r="F1964" s="4" t="str">
        <f>IF(campaignData[[#This Row],[Campaign]]="Old_Campaign", "A", "B")</f>
        <v>A</v>
      </c>
    </row>
    <row r="1965" spans="1:6" x14ac:dyDescent="0.2">
      <c r="A1965" s="1">
        <v>45178</v>
      </c>
      <c r="B1965" s="5" t="s">
        <v>6</v>
      </c>
      <c r="C1965" s="2">
        <v>1194</v>
      </c>
      <c r="D1965" s="2">
        <v>277</v>
      </c>
      <c r="E1965" s="3">
        <v>4137.6000000000004</v>
      </c>
      <c r="F1965" s="4" t="str">
        <f>IF(campaignData[[#This Row],[Campaign]]="Old_Campaign", "A", "B")</f>
        <v>B</v>
      </c>
    </row>
    <row r="1966" spans="1:6" x14ac:dyDescent="0.2">
      <c r="A1966" s="1">
        <v>45179</v>
      </c>
      <c r="B1966" s="5" t="s">
        <v>5</v>
      </c>
      <c r="C1966" s="2">
        <v>1147</v>
      </c>
      <c r="D1966" s="2">
        <v>218</v>
      </c>
      <c r="E1966" s="3">
        <v>3161.89</v>
      </c>
      <c r="F1966" s="4" t="str">
        <f>IF(campaignData[[#This Row],[Campaign]]="Old_Campaign", "A", "B")</f>
        <v>A</v>
      </c>
    </row>
    <row r="1967" spans="1:6" x14ac:dyDescent="0.2">
      <c r="A1967" s="1">
        <v>45179</v>
      </c>
      <c r="B1967" s="5" t="s">
        <v>6</v>
      </c>
      <c r="C1967" s="2">
        <v>1180</v>
      </c>
      <c r="D1967" s="2">
        <v>273</v>
      </c>
      <c r="E1967" s="3">
        <v>4105.9399999999996</v>
      </c>
      <c r="F1967" s="4" t="str">
        <f>IF(campaignData[[#This Row],[Campaign]]="Old_Campaign", "A", "B")</f>
        <v>B</v>
      </c>
    </row>
    <row r="1968" spans="1:6" x14ac:dyDescent="0.2">
      <c r="A1968" s="1">
        <v>45180</v>
      </c>
      <c r="B1968" s="5" t="s">
        <v>5</v>
      </c>
      <c r="C1968" s="2">
        <v>1218</v>
      </c>
      <c r="D1968" s="2">
        <v>229</v>
      </c>
      <c r="E1968" s="3">
        <v>3578.27</v>
      </c>
      <c r="F1968" s="4" t="str">
        <f>IF(campaignData[[#This Row],[Campaign]]="Old_Campaign", "A", "B")</f>
        <v>A</v>
      </c>
    </row>
    <row r="1969" spans="1:6" x14ac:dyDescent="0.2">
      <c r="A1969" s="1">
        <v>45180</v>
      </c>
      <c r="B1969" s="5" t="s">
        <v>6</v>
      </c>
      <c r="C1969" s="2">
        <v>1164</v>
      </c>
      <c r="D1969" s="2">
        <v>283</v>
      </c>
      <c r="E1969" s="3">
        <v>4852.75</v>
      </c>
      <c r="F1969" s="4" t="str">
        <f>IF(campaignData[[#This Row],[Campaign]]="Old_Campaign", "A", "B")</f>
        <v>B</v>
      </c>
    </row>
    <row r="1970" spans="1:6" x14ac:dyDescent="0.2">
      <c r="A1970" s="1">
        <v>45181</v>
      </c>
      <c r="B1970" s="5" t="s">
        <v>5</v>
      </c>
      <c r="C1970" s="2">
        <v>1231</v>
      </c>
      <c r="D1970" s="2">
        <v>230</v>
      </c>
      <c r="E1970" s="3">
        <v>2873.15</v>
      </c>
      <c r="F1970" s="4" t="str">
        <f>IF(campaignData[[#This Row],[Campaign]]="Old_Campaign", "A", "B")</f>
        <v>A</v>
      </c>
    </row>
    <row r="1971" spans="1:6" x14ac:dyDescent="0.2">
      <c r="A1971" s="1">
        <v>45181</v>
      </c>
      <c r="B1971" s="5" t="s">
        <v>6</v>
      </c>
      <c r="C1971" s="2">
        <v>1195</v>
      </c>
      <c r="D1971" s="2">
        <v>294</v>
      </c>
      <c r="E1971" s="3">
        <v>4116.63</v>
      </c>
      <c r="F1971" s="4" t="str">
        <f>IF(campaignData[[#This Row],[Campaign]]="Old_Campaign", "A", "B")</f>
        <v>B</v>
      </c>
    </row>
    <row r="1972" spans="1:6" x14ac:dyDescent="0.2">
      <c r="A1972" s="1">
        <v>45182</v>
      </c>
      <c r="B1972" s="5" t="s">
        <v>5</v>
      </c>
      <c r="C1972" s="2">
        <v>1169</v>
      </c>
      <c r="D1972" s="2">
        <v>216</v>
      </c>
      <c r="E1972" s="3">
        <v>3783.29</v>
      </c>
      <c r="F1972" s="4" t="str">
        <f>IF(campaignData[[#This Row],[Campaign]]="Old_Campaign", "A", "B")</f>
        <v>A</v>
      </c>
    </row>
    <row r="1973" spans="1:6" x14ac:dyDescent="0.2">
      <c r="A1973" s="1">
        <v>45182</v>
      </c>
      <c r="B1973" s="5" t="s">
        <v>6</v>
      </c>
      <c r="C1973" s="2">
        <v>1135</v>
      </c>
      <c r="D1973" s="2">
        <v>252</v>
      </c>
      <c r="E1973" s="3">
        <v>3763.14</v>
      </c>
      <c r="F1973" s="4" t="str">
        <f>IF(campaignData[[#This Row],[Campaign]]="Old_Campaign", "A", "B")</f>
        <v>B</v>
      </c>
    </row>
    <row r="1974" spans="1:6" x14ac:dyDescent="0.2">
      <c r="A1974" s="1">
        <v>45183</v>
      </c>
      <c r="B1974" s="5" t="s">
        <v>5</v>
      </c>
      <c r="C1974" s="2">
        <v>1254</v>
      </c>
      <c r="D1974" s="2">
        <v>221</v>
      </c>
      <c r="E1974" s="3">
        <v>3239.34</v>
      </c>
      <c r="F1974" s="4" t="str">
        <f>IF(campaignData[[#This Row],[Campaign]]="Old_Campaign", "A", "B")</f>
        <v>A</v>
      </c>
    </row>
    <row r="1975" spans="1:6" x14ac:dyDescent="0.2">
      <c r="A1975" s="1">
        <v>45183</v>
      </c>
      <c r="B1975" s="5" t="s">
        <v>6</v>
      </c>
      <c r="C1975" s="2">
        <v>1207</v>
      </c>
      <c r="D1975" s="2">
        <v>293</v>
      </c>
      <c r="E1975" s="3">
        <v>4649.26</v>
      </c>
      <c r="F1975" s="4" t="str">
        <f>IF(campaignData[[#This Row],[Campaign]]="Old_Campaign", "A", "B")</f>
        <v>B</v>
      </c>
    </row>
    <row r="1976" spans="1:6" x14ac:dyDescent="0.2">
      <c r="A1976" s="1">
        <v>45184</v>
      </c>
      <c r="B1976" s="5" t="s">
        <v>5</v>
      </c>
      <c r="C1976" s="2">
        <v>1133</v>
      </c>
      <c r="D1976" s="2">
        <v>218</v>
      </c>
      <c r="E1976" s="3">
        <v>3231.11</v>
      </c>
      <c r="F1976" s="4" t="str">
        <f>IF(campaignData[[#This Row],[Campaign]]="Old_Campaign", "A", "B")</f>
        <v>A</v>
      </c>
    </row>
    <row r="1977" spans="1:6" x14ac:dyDescent="0.2">
      <c r="A1977" s="1">
        <v>45184</v>
      </c>
      <c r="B1977" s="5" t="s">
        <v>6</v>
      </c>
      <c r="C1977" s="2">
        <v>1134</v>
      </c>
      <c r="D1977" s="2">
        <v>233</v>
      </c>
      <c r="E1977" s="3">
        <v>4478.3999999999996</v>
      </c>
      <c r="F1977" s="4" t="str">
        <f>IF(campaignData[[#This Row],[Campaign]]="Old_Campaign", "A", "B")</f>
        <v>B</v>
      </c>
    </row>
    <row r="1978" spans="1:6" x14ac:dyDescent="0.2">
      <c r="A1978" s="1">
        <v>45185</v>
      </c>
      <c r="B1978" s="5" t="s">
        <v>5</v>
      </c>
      <c r="C1978" s="2">
        <v>1222</v>
      </c>
      <c r="D1978" s="2">
        <v>235</v>
      </c>
      <c r="E1978" s="3">
        <v>4247.58</v>
      </c>
      <c r="F1978" s="4" t="str">
        <f>IF(campaignData[[#This Row],[Campaign]]="Old_Campaign", "A", "B")</f>
        <v>A</v>
      </c>
    </row>
    <row r="1979" spans="1:6" x14ac:dyDescent="0.2">
      <c r="A1979" s="1">
        <v>45185</v>
      </c>
      <c r="B1979" s="5" t="s">
        <v>6</v>
      </c>
      <c r="C1979" s="2">
        <v>1148</v>
      </c>
      <c r="D1979" s="2">
        <v>293</v>
      </c>
      <c r="E1979" s="3">
        <v>5516.67</v>
      </c>
      <c r="F1979" s="4" t="str">
        <f>IF(campaignData[[#This Row],[Campaign]]="Old_Campaign", "A", "B")</f>
        <v>B</v>
      </c>
    </row>
    <row r="1980" spans="1:6" x14ac:dyDescent="0.2">
      <c r="A1980" s="1">
        <v>45186</v>
      </c>
      <c r="B1980" s="5" t="s">
        <v>5</v>
      </c>
      <c r="C1980" s="2">
        <v>1194</v>
      </c>
      <c r="D1980" s="2">
        <v>235</v>
      </c>
      <c r="E1980" s="3">
        <v>2998.18</v>
      </c>
      <c r="F1980" s="4" t="str">
        <f>IF(campaignData[[#This Row],[Campaign]]="Old_Campaign", "A", "B")</f>
        <v>A</v>
      </c>
    </row>
    <row r="1981" spans="1:6" x14ac:dyDescent="0.2">
      <c r="A1981" s="1">
        <v>45186</v>
      </c>
      <c r="B1981" s="5" t="s">
        <v>6</v>
      </c>
      <c r="C1981" s="2">
        <v>1136</v>
      </c>
      <c r="D1981" s="2">
        <v>259</v>
      </c>
      <c r="E1981" s="3">
        <v>3260.93</v>
      </c>
      <c r="F1981" s="4" t="str">
        <f>IF(campaignData[[#This Row],[Campaign]]="Old_Campaign", "A", "B")</f>
        <v>B</v>
      </c>
    </row>
    <row r="1982" spans="1:6" x14ac:dyDescent="0.2">
      <c r="A1982" s="1">
        <v>45187</v>
      </c>
      <c r="B1982" s="5" t="s">
        <v>5</v>
      </c>
      <c r="C1982" s="2">
        <v>1250</v>
      </c>
      <c r="D1982" s="2">
        <v>244</v>
      </c>
      <c r="E1982" s="3">
        <v>4252.03</v>
      </c>
      <c r="F1982" s="4" t="str">
        <f>IF(campaignData[[#This Row],[Campaign]]="Old_Campaign", "A", "B")</f>
        <v>A</v>
      </c>
    </row>
    <row r="1983" spans="1:6" x14ac:dyDescent="0.2">
      <c r="A1983" s="1">
        <v>45187</v>
      </c>
      <c r="B1983" s="5" t="s">
        <v>6</v>
      </c>
      <c r="C1983" s="2">
        <v>1180</v>
      </c>
      <c r="D1983" s="2">
        <v>272</v>
      </c>
      <c r="E1983" s="3">
        <v>4641.8900000000003</v>
      </c>
      <c r="F1983" s="4" t="str">
        <f>IF(campaignData[[#This Row],[Campaign]]="Old_Campaign", "A", "B")</f>
        <v>B</v>
      </c>
    </row>
    <row r="1984" spans="1:6" x14ac:dyDescent="0.2">
      <c r="A1984" s="1">
        <v>45188</v>
      </c>
      <c r="B1984" s="5" t="s">
        <v>5</v>
      </c>
      <c r="C1984" s="2">
        <v>1219</v>
      </c>
      <c r="D1984" s="2">
        <v>241</v>
      </c>
      <c r="E1984" s="3">
        <v>3753.04</v>
      </c>
      <c r="F1984" s="4" t="str">
        <f>IF(campaignData[[#This Row],[Campaign]]="Old_Campaign", "A", "B")</f>
        <v>A</v>
      </c>
    </row>
    <row r="1985" spans="1:6" x14ac:dyDescent="0.2">
      <c r="A1985" s="1">
        <v>45188</v>
      </c>
      <c r="B1985" s="5" t="s">
        <v>6</v>
      </c>
      <c r="C1985" s="2">
        <v>1057</v>
      </c>
      <c r="D1985" s="2">
        <v>239</v>
      </c>
      <c r="E1985" s="3">
        <v>3733.85</v>
      </c>
      <c r="F1985" s="4" t="str">
        <f>IF(campaignData[[#This Row],[Campaign]]="Old_Campaign", "A", "B")</f>
        <v>B</v>
      </c>
    </row>
    <row r="1986" spans="1:6" x14ac:dyDescent="0.2">
      <c r="A1986" s="1">
        <v>45189</v>
      </c>
      <c r="B1986" s="5" t="s">
        <v>5</v>
      </c>
      <c r="C1986" s="2">
        <v>1203</v>
      </c>
      <c r="D1986" s="2">
        <v>228</v>
      </c>
      <c r="E1986" s="3">
        <v>2613.77</v>
      </c>
      <c r="F1986" s="4" t="str">
        <f>IF(campaignData[[#This Row],[Campaign]]="Old_Campaign", "A", "B")</f>
        <v>A</v>
      </c>
    </row>
    <row r="1987" spans="1:6" x14ac:dyDescent="0.2">
      <c r="A1987" s="1">
        <v>45189</v>
      </c>
      <c r="B1987" s="5" t="s">
        <v>6</v>
      </c>
      <c r="C1987" s="2">
        <v>1225</v>
      </c>
      <c r="D1987" s="2">
        <v>263</v>
      </c>
      <c r="E1987" s="3">
        <v>4218.28</v>
      </c>
      <c r="F1987" s="4" t="str">
        <f>IF(campaignData[[#This Row],[Campaign]]="Old_Campaign", "A", "B")</f>
        <v>B</v>
      </c>
    </row>
    <row r="1988" spans="1:6" x14ac:dyDescent="0.2">
      <c r="A1988" s="1">
        <v>45190</v>
      </c>
      <c r="B1988" s="5" t="s">
        <v>5</v>
      </c>
      <c r="C1988" s="2">
        <v>1183</v>
      </c>
      <c r="D1988" s="2">
        <v>221</v>
      </c>
      <c r="E1988" s="3">
        <v>2944.44</v>
      </c>
      <c r="F1988" s="4" t="str">
        <f>IF(campaignData[[#This Row],[Campaign]]="Old_Campaign", "A", "B")</f>
        <v>A</v>
      </c>
    </row>
    <row r="1989" spans="1:6" x14ac:dyDescent="0.2">
      <c r="A1989" s="1">
        <v>45190</v>
      </c>
      <c r="B1989" s="5" t="s">
        <v>6</v>
      </c>
      <c r="C1989" s="2">
        <v>1147</v>
      </c>
      <c r="D1989" s="2">
        <v>286</v>
      </c>
      <c r="E1989" s="3">
        <v>3882.36</v>
      </c>
      <c r="F1989" s="4" t="str">
        <f>IF(campaignData[[#This Row],[Campaign]]="Old_Campaign", "A", "B")</f>
        <v>B</v>
      </c>
    </row>
    <row r="1990" spans="1:6" x14ac:dyDescent="0.2">
      <c r="A1990" s="1">
        <v>45191</v>
      </c>
      <c r="B1990" s="5" t="s">
        <v>5</v>
      </c>
      <c r="C1990" s="2">
        <v>1155</v>
      </c>
      <c r="D1990" s="2">
        <v>214</v>
      </c>
      <c r="E1990" s="3">
        <v>3374.12</v>
      </c>
      <c r="F1990" s="4" t="str">
        <f>IF(campaignData[[#This Row],[Campaign]]="Old_Campaign", "A", "B")</f>
        <v>A</v>
      </c>
    </row>
    <row r="1991" spans="1:6" x14ac:dyDescent="0.2">
      <c r="A1991" s="1">
        <v>45191</v>
      </c>
      <c r="B1991" s="5" t="s">
        <v>6</v>
      </c>
      <c r="C1991" s="2">
        <v>1138</v>
      </c>
      <c r="D1991" s="2">
        <v>274</v>
      </c>
      <c r="E1991" s="3">
        <v>3840.88</v>
      </c>
      <c r="F1991" s="4" t="str">
        <f>IF(campaignData[[#This Row],[Campaign]]="Old_Campaign", "A", "B")</f>
        <v>B</v>
      </c>
    </row>
    <row r="1992" spans="1:6" x14ac:dyDescent="0.2">
      <c r="A1992" s="1">
        <v>45192</v>
      </c>
      <c r="B1992" s="5" t="s">
        <v>5</v>
      </c>
      <c r="C1992" s="2">
        <v>1219</v>
      </c>
      <c r="D1992" s="2">
        <v>229</v>
      </c>
      <c r="E1992" s="3">
        <v>3535.33</v>
      </c>
      <c r="F1992" s="4" t="str">
        <f>IF(campaignData[[#This Row],[Campaign]]="Old_Campaign", "A", "B")</f>
        <v>A</v>
      </c>
    </row>
    <row r="1993" spans="1:6" x14ac:dyDescent="0.2">
      <c r="A1993" s="1">
        <v>45192</v>
      </c>
      <c r="B1993" s="5" t="s">
        <v>6</v>
      </c>
      <c r="C1993" s="2">
        <v>1124</v>
      </c>
      <c r="D1993" s="2">
        <v>239</v>
      </c>
      <c r="E1993" s="3">
        <v>3596.76</v>
      </c>
      <c r="F1993" s="4" t="str">
        <f>IF(campaignData[[#This Row],[Campaign]]="Old_Campaign", "A", "B")</f>
        <v>B</v>
      </c>
    </row>
    <row r="1994" spans="1:6" x14ac:dyDescent="0.2">
      <c r="A1994" s="1">
        <v>45193</v>
      </c>
      <c r="B1994" s="5" t="s">
        <v>5</v>
      </c>
      <c r="C1994" s="2">
        <v>1199</v>
      </c>
      <c r="D1994" s="2">
        <v>241</v>
      </c>
      <c r="E1994" s="3">
        <v>3909.54</v>
      </c>
      <c r="F1994" s="4" t="str">
        <f>IF(campaignData[[#This Row],[Campaign]]="Old_Campaign", "A", "B")</f>
        <v>A</v>
      </c>
    </row>
    <row r="1995" spans="1:6" x14ac:dyDescent="0.2">
      <c r="A1995" s="1">
        <v>45193</v>
      </c>
      <c r="B1995" s="5" t="s">
        <v>6</v>
      </c>
      <c r="C1995" s="2">
        <v>1105</v>
      </c>
      <c r="D1995" s="2">
        <v>238</v>
      </c>
      <c r="E1995" s="3">
        <v>3443.16</v>
      </c>
      <c r="F1995" s="4" t="str">
        <f>IF(campaignData[[#This Row],[Campaign]]="Old_Campaign", "A", "B")</f>
        <v>B</v>
      </c>
    </row>
    <row r="1996" spans="1:6" x14ac:dyDescent="0.2">
      <c r="A1996" s="1">
        <v>45194</v>
      </c>
      <c r="B1996" s="5" t="s">
        <v>5</v>
      </c>
      <c r="C1996" s="2">
        <v>1180</v>
      </c>
      <c r="D1996" s="2">
        <v>224</v>
      </c>
      <c r="E1996" s="3">
        <v>4030.02</v>
      </c>
      <c r="F1996" s="4" t="str">
        <f>IF(campaignData[[#This Row],[Campaign]]="Old_Campaign", "A", "B")</f>
        <v>A</v>
      </c>
    </row>
    <row r="1997" spans="1:6" x14ac:dyDescent="0.2">
      <c r="A1997" s="1">
        <v>45194</v>
      </c>
      <c r="B1997" s="5" t="s">
        <v>6</v>
      </c>
      <c r="C1997" s="2">
        <v>1172</v>
      </c>
      <c r="D1997" s="2">
        <v>270</v>
      </c>
      <c r="E1997" s="3">
        <v>5010.3500000000004</v>
      </c>
      <c r="F1997" s="4" t="str">
        <f>IF(campaignData[[#This Row],[Campaign]]="Old_Campaign", "A", "B")</f>
        <v>B</v>
      </c>
    </row>
    <row r="1998" spans="1:6" x14ac:dyDescent="0.2">
      <c r="A1998" s="1">
        <v>45195</v>
      </c>
      <c r="B1998" s="5" t="s">
        <v>5</v>
      </c>
      <c r="C1998" s="2">
        <v>1235</v>
      </c>
      <c r="D1998" s="2">
        <v>233</v>
      </c>
      <c r="E1998" s="3">
        <v>3279.36</v>
      </c>
      <c r="F1998" s="4" t="str">
        <f>IF(campaignData[[#This Row],[Campaign]]="Old_Campaign", "A", "B")</f>
        <v>A</v>
      </c>
    </row>
    <row r="1999" spans="1:6" x14ac:dyDescent="0.2">
      <c r="A1999" s="1">
        <v>45195</v>
      </c>
      <c r="B1999" s="5" t="s">
        <v>6</v>
      </c>
      <c r="C1999" s="2">
        <v>1153</v>
      </c>
      <c r="D1999" s="2">
        <v>254</v>
      </c>
      <c r="E1999" s="3">
        <v>3908.02</v>
      </c>
      <c r="F1999" s="4" t="str">
        <f>IF(campaignData[[#This Row],[Campaign]]="Old_Campaign", "A", "B")</f>
        <v>B</v>
      </c>
    </row>
    <row r="2000" spans="1:6" x14ac:dyDescent="0.2">
      <c r="A2000" s="1">
        <v>45196</v>
      </c>
      <c r="B2000" s="5" t="s">
        <v>5</v>
      </c>
      <c r="C2000" s="2">
        <v>1190</v>
      </c>
      <c r="D2000" s="2">
        <v>250</v>
      </c>
      <c r="E2000" s="3">
        <v>3413.8</v>
      </c>
      <c r="F2000" s="4" t="str">
        <f>IF(campaignData[[#This Row],[Campaign]]="Old_Campaign", "A", "B")</f>
        <v>A</v>
      </c>
    </row>
    <row r="2001" spans="1:6" x14ac:dyDescent="0.2">
      <c r="A2001" s="1">
        <v>45196</v>
      </c>
      <c r="B2001" s="5" t="s">
        <v>6</v>
      </c>
      <c r="C2001" s="2">
        <v>1156</v>
      </c>
      <c r="D2001" s="2">
        <v>267</v>
      </c>
      <c r="E2001" s="3">
        <v>4451.6899999999996</v>
      </c>
      <c r="F2001" s="4" t="str">
        <f>IF(campaignData[[#This Row],[Campaign]]="Old_Campaign", "A", "B")</f>
        <v>B</v>
      </c>
    </row>
    <row r="2002" spans="1:6" x14ac:dyDescent="0.2">
      <c r="A2002" s="1">
        <v>45197</v>
      </c>
      <c r="B2002" s="5" t="s">
        <v>5</v>
      </c>
      <c r="C2002" s="2">
        <v>1174</v>
      </c>
      <c r="D2002" s="2">
        <v>223</v>
      </c>
      <c r="E2002" s="3">
        <v>3006.13</v>
      </c>
      <c r="F2002" s="4" t="str">
        <f>IF(campaignData[[#This Row],[Campaign]]="Old_Campaign", "A", "B")</f>
        <v>A</v>
      </c>
    </row>
    <row r="2003" spans="1:6" x14ac:dyDescent="0.2">
      <c r="A2003" s="1">
        <v>45197</v>
      </c>
      <c r="B2003" s="5" t="s">
        <v>6</v>
      </c>
      <c r="C2003" s="2">
        <v>1105</v>
      </c>
      <c r="D2003" s="2">
        <v>251</v>
      </c>
      <c r="E2003" s="3">
        <v>3659.57</v>
      </c>
      <c r="F2003" s="4" t="str">
        <f>IF(campaignData[[#This Row],[Campaign]]="Old_Campaign", "A", "B")</f>
        <v>B</v>
      </c>
    </row>
    <row r="2004" spans="1:6" x14ac:dyDescent="0.2">
      <c r="A2004" s="1">
        <v>45198</v>
      </c>
      <c r="B2004" s="5" t="s">
        <v>5</v>
      </c>
      <c r="C2004" s="2">
        <v>1222</v>
      </c>
      <c r="D2004" s="2">
        <v>233</v>
      </c>
      <c r="E2004" s="3">
        <v>3997.41</v>
      </c>
      <c r="F2004" s="4" t="str">
        <f>IF(campaignData[[#This Row],[Campaign]]="Old_Campaign", "A", "B")</f>
        <v>A</v>
      </c>
    </row>
    <row r="2005" spans="1:6" x14ac:dyDescent="0.2">
      <c r="A2005" s="1">
        <v>45198</v>
      </c>
      <c r="B2005" s="5" t="s">
        <v>6</v>
      </c>
      <c r="C2005" s="2">
        <v>1121</v>
      </c>
      <c r="D2005" s="2">
        <v>253</v>
      </c>
      <c r="E2005" s="3">
        <v>4004.37</v>
      </c>
      <c r="F2005" s="4" t="str">
        <f>IF(campaignData[[#This Row],[Campaign]]="Old_Campaign", "A", "B")</f>
        <v>B</v>
      </c>
    </row>
    <row r="2006" spans="1:6" x14ac:dyDescent="0.2">
      <c r="A2006" s="1">
        <v>45199</v>
      </c>
      <c r="B2006" s="5" t="s">
        <v>5</v>
      </c>
      <c r="C2006" s="2">
        <v>1164</v>
      </c>
      <c r="D2006" s="2">
        <v>211</v>
      </c>
      <c r="E2006" s="3">
        <v>2975.56</v>
      </c>
      <c r="F2006" s="4" t="str">
        <f>IF(campaignData[[#This Row],[Campaign]]="Old_Campaign", "A", "B")</f>
        <v>A</v>
      </c>
    </row>
    <row r="2007" spans="1:6" x14ac:dyDescent="0.2">
      <c r="A2007" s="1">
        <v>45199</v>
      </c>
      <c r="B2007" s="5" t="s">
        <v>6</v>
      </c>
      <c r="C2007" s="2">
        <v>1123</v>
      </c>
      <c r="D2007" s="2">
        <v>276</v>
      </c>
      <c r="E2007" s="3">
        <v>4191.83</v>
      </c>
      <c r="F2007" s="4" t="str">
        <f>IF(campaignData[[#This Row],[Campaign]]="Old_Campaign", "A", "B")</f>
        <v>B</v>
      </c>
    </row>
    <row r="2008" spans="1:6" x14ac:dyDescent="0.2">
      <c r="A2008" s="1">
        <v>45200</v>
      </c>
      <c r="B2008" s="5" t="s">
        <v>5</v>
      </c>
      <c r="C2008" s="2">
        <v>1227</v>
      </c>
      <c r="D2008" s="2">
        <v>259</v>
      </c>
      <c r="E2008" s="3">
        <v>4615.74</v>
      </c>
      <c r="F2008" s="4" t="str">
        <f>IF(campaignData[[#This Row],[Campaign]]="Old_Campaign", "A", "B")</f>
        <v>A</v>
      </c>
    </row>
    <row r="2009" spans="1:6" x14ac:dyDescent="0.2">
      <c r="A2009" s="1">
        <v>45200</v>
      </c>
      <c r="B2009" s="5" t="s">
        <v>6</v>
      </c>
      <c r="C2009" s="2">
        <v>1185</v>
      </c>
      <c r="D2009" s="2">
        <v>260</v>
      </c>
      <c r="E2009" s="3">
        <v>3998.95</v>
      </c>
      <c r="F2009" s="4" t="str">
        <f>IF(campaignData[[#This Row],[Campaign]]="Old_Campaign", "A", "B")</f>
        <v>B</v>
      </c>
    </row>
    <row r="2010" spans="1:6" x14ac:dyDescent="0.2">
      <c r="A2010" s="1">
        <v>45201</v>
      </c>
      <c r="B2010" s="5" t="s">
        <v>5</v>
      </c>
      <c r="C2010" s="2">
        <v>1162</v>
      </c>
      <c r="D2010" s="2">
        <v>218</v>
      </c>
      <c r="E2010" s="3">
        <v>3284.29</v>
      </c>
      <c r="F2010" s="4" t="str">
        <f>IF(campaignData[[#This Row],[Campaign]]="Old_Campaign", "A", "B")</f>
        <v>A</v>
      </c>
    </row>
    <row r="2011" spans="1:6" x14ac:dyDescent="0.2">
      <c r="A2011" s="1">
        <v>45201</v>
      </c>
      <c r="B2011" s="5" t="s">
        <v>6</v>
      </c>
      <c r="C2011" s="2">
        <v>1153</v>
      </c>
      <c r="D2011" s="2">
        <v>268</v>
      </c>
      <c r="E2011" s="3">
        <v>4299.38</v>
      </c>
      <c r="F2011" s="4" t="str">
        <f>IF(campaignData[[#This Row],[Campaign]]="Old_Campaign", "A", "B")</f>
        <v>B</v>
      </c>
    </row>
    <row r="2012" spans="1:6" x14ac:dyDescent="0.2">
      <c r="A2012" s="1">
        <v>45202</v>
      </c>
      <c r="B2012" s="5" t="s">
        <v>5</v>
      </c>
      <c r="C2012" s="2">
        <v>1145</v>
      </c>
      <c r="D2012" s="2">
        <v>202</v>
      </c>
      <c r="E2012" s="3">
        <v>3163.67</v>
      </c>
      <c r="F2012" s="4" t="str">
        <f>IF(campaignData[[#This Row],[Campaign]]="Old_Campaign", "A", "B")</f>
        <v>A</v>
      </c>
    </row>
    <row r="2013" spans="1:6" x14ac:dyDescent="0.2">
      <c r="A2013" s="1">
        <v>45202</v>
      </c>
      <c r="B2013" s="5" t="s">
        <v>6</v>
      </c>
      <c r="C2013" s="2">
        <v>1202</v>
      </c>
      <c r="D2013" s="2">
        <v>262</v>
      </c>
      <c r="E2013" s="3">
        <v>4584.88</v>
      </c>
      <c r="F2013" s="4" t="str">
        <f>IF(campaignData[[#This Row],[Campaign]]="Old_Campaign", "A", "B")</f>
        <v>B</v>
      </c>
    </row>
    <row r="2014" spans="1:6" x14ac:dyDescent="0.2">
      <c r="A2014" s="1">
        <v>45203</v>
      </c>
      <c r="B2014" s="5" t="s">
        <v>5</v>
      </c>
      <c r="C2014" s="2">
        <v>1178</v>
      </c>
      <c r="D2014" s="2">
        <v>243</v>
      </c>
      <c r="E2014" s="3">
        <v>2594.61</v>
      </c>
      <c r="F2014" s="4" t="str">
        <f>IF(campaignData[[#This Row],[Campaign]]="Old_Campaign", "A", "B")</f>
        <v>A</v>
      </c>
    </row>
    <row r="2015" spans="1:6" x14ac:dyDescent="0.2">
      <c r="A2015" s="1">
        <v>45203</v>
      </c>
      <c r="B2015" s="5" t="s">
        <v>6</v>
      </c>
      <c r="C2015" s="2">
        <v>1181</v>
      </c>
      <c r="D2015" s="2">
        <v>295</v>
      </c>
      <c r="E2015" s="3">
        <v>5004.6899999999996</v>
      </c>
      <c r="F2015" s="4" t="str">
        <f>IF(campaignData[[#This Row],[Campaign]]="Old_Campaign", "A", "B")</f>
        <v>B</v>
      </c>
    </row>
    <row r="2016" spans="1:6" x14ac:dyDescent="0.2">
      <c r="A2016" s="1">
        <v>45204</v>
      </c>
      <c r="B2016" s="5" t="s">
        <v>5</v>
      </c>
      <c r="C2016" s="2">
        <v>1231</v>
      </c>
      <c r="D2016" s="2">
        <v>237</v>
      </c>
      <c r="E2016" s="3">
        <v>4229.95</v>
      </c>
      <c r="F2016" s="4" t="str">
        <f>IF(campaignData[[#This Row],[Campaign]]="Old_Campaign", "A", "B")</f>
        <v>A</v>
      </c>
    </row>
    <row r="2017" spans="1:6" x14ac:dyDescent="0.2">
      <c r="A2017" s="1">
        <v>45204</v>
      </c>
      <c r="B2017" s="5" t="s">
        <v>6</v>
      </c>
      <c r="C2017" s="2">
        <v>1133</v>
      </c>
      <c r="D2017" s="2">
        <v>263</v>
      </c>
      <c r="E2017" s="3">
        <v>4951.6400000000003</v>
      </c>
      <c r="F2017" s="4" t="str">
        <f>IF(campaignData[[#This Row],[Campaign]]="Old_Campaign", "A", "B")</f>
        <v>B</v>
      </c>
    </row>
    <row r="2018" spans="1:6" x14ac:dyDescent="0.2">
      <c r="A2018" s="1">
        <v>45205</v>
      </c>
      <c r="B2018" s="5" t="s">
        <v>5</v>
      </c>
      <c r="C2018" s="2">
        <v>1199</v>
      </c>
      <c r="D2018" s="2">
        <v>235</v>
      </c>
      <c r="E2018" s="3">
        <v>3247.74</v>
      </c>
      <c r="F2018" s="4" t="str">
        <f>IF(campaignData[[#This Row],[Campaign]]="Old_Campaign", "A", "B")</f>
        <v>A</v>
      </c>
    </row>
    <row r="2019" spans="1:6" x14ac:dyDescent="0.2">
      <c r="A2019" s="1">
        <v>45205</v>
      </c>
      <c r="B2019" s="5" t="s">
        <v>6</v>
      </c>
      <c r="C2019" s="2">
        <v>1123</v>
      </c>
      <c r="D2019" s="2">
        <v>271</v>
      </c>
      <c r="E2019" s="3">
        <v>4515.42</v>
      </c>
      <c r="F2019" s="4" t="str">
        <f>IF(campaignData[[#This Row],[Campaign]]="Old_Campaign", "A", "B")</f>
        <v>B</v>
      </c>
    </row>
    <row r="2020" spans="1:6" x14ac:dyDescent="0.2">
      <c r="A2020" s="1">
        <v>45206</v>
      </c>
      <c r="B2020" s="5" t="s">
        <v>5</v>
      </c>
      <c r="C2020" s="2">
        <v>1218</v>
      </c>
      <c r="D2020" s="2">
        <v>223</v>
      </c>
      <c r="E2020" s="3">
        <v>2783.46</v>
      </c>
      <c r="F2020" s="4" t="str">
        <f>IF(campaignData[[#This Row],[Campaign]]="Old_Campaign", "A", "B")</f>
        <v>A</v>
      </c>
    </row>
    <row r="2021" spans="1:6" x14ac:dyDescent="0.2">
      <c r="A2021" s="1">
        <v>45206</v>
      </c>
      <c r="B2021" s="5" t="s">
        <v>6</v>
      </c>
      <c r="C2021" s="2">
        <v>1085</v>
      </c>
      <c r="D2021" s="2">
        <v>231</v>
      </c>
      <c r="E2021" s="3">
        <v>3231.54</v>
      </c>
      <c r="F2021" s="4" t="str">
        <f>IF(campaignData[[#This Row],[Campaign]]="Old_Campaign", "A", "B")</f>
        <v>B</v>
      </c>
    </row>
    <row r="2022" spans="1:6" x14ac:dyDescent="0.2">
      <c r="A2022" s="1">
        <v>45207</v>
      </c>
      <c r="B2022" s="5" t="s">
        <v>5</v>
      </c>
      <c r="C2022" s="2">
        <v>1218</v>
      </c>
      <c r="D2022" s="2">
        <v>248</v>
      </c>
      <c r="E2022" s="3">
        <v>3804.31</v>
      </c>
      <c r="F2022" s="4" t="str">
        <f>IF(campaignData[[#This Row],[Campaign]]="Old_Campaign", "A", "B")</f>
        <v>A</v>
      </c>
    </row>
    <row r="2023" spans="1:6" x14ac:dyDescent="0.2">
      <c r="A2023" s="1">
        <v>45207</v>
      </c>
      <c r="B2023" s="5" t="s">
        <v>6</v>
      </c>
      <c r="C2023" s="2">
        <v>1118</v>
      </c>
      <c r="D2023" s="2">
        <v>244</v>
      </c>
      <c r="E2023" s="3">
        <v>4246.49</v>
      </c>
      <c r="F2023" s="4" t="str">
        <f>IF(campaignData[[#This Row],[Campaign]]="Old_Campaign", "A", "B")</f>
        <v>B</v>
      </c>
    </row>
    <row r="2024" spans="1:6" x14ac:dyDescent="0.2">
      <c r="A2024" s="1">
        <v>45208</v>
      </c>
      <c r="B2024" s="5" t="s">
        <v>5</v>
      </c>
      <c r="C2024" s="2">
        <v>1236</v>
      </c>
      <c r="D2024" s="2">
        <v>213</v>
      </c>
      <c r="E2024" s="3">
        <v>3499.69</v>
      </c>
      <c r="F2024" s="4" t="str">
        <f>IF(campaignData[[#This Row],[Campaign]]="Old_Campaign", "A", "B")</f>
        <v>A</v>
      </c>
    </row>
    <row r="2025" spans="1:6" x14ac:dyDescent="0.2">
      <c r="A2025" s="1">
        <v>45208</v>
      </c>
      <c r="B2025" s="5" t="s">
        <v>6</v>
      </c>
      <c r="C2025" s="2">
        <v>1147</v>
      </c>
      <c r="D2025" s="2">
        <v>244</v>
      </c>
      <c r="E2025" s="3">
        <v>3712.04</v>
      </c>
      <c r="F2025" s="4" t="str">
        <f>IF(campaignData[[#This Row],[Campaign]]="Old_Campaign", "A", "B")</f>
        <v>B</v>
      </c>
    </row>
    <row r="2026" spans="1:6" x14ac:dyDescent="0.2">
      <c r="A2026" s="1">
        <v>45209</v>
      </c>
      <c r="B2026" s="5" t="s">
        <v>5</v>
      </c>
      <c r="C2026" s="2">
        <v>1139</v>
      </c>
      <c r="D2026" s="2">
        <v>227</v>
      </c>
      <c r="E2026" s="3">
        <v>3228.21</v>
      </c>
      <c r="F2026" s="4" t="str">
        <f>IF(campaignData[[#This Row],[Campaign]]="Old_Campaign", "A", "B")</f>
        <v>A</v>
      </c>
    </row>
    <row r="2027" spans="1:6" x14ac:dyDescent="0.2">
      <c r="A2027" s="1">
        <v>45209</v>
      </c>
      <c r="B2027" s="5" t="s">
        <v>6</v>
      </c>
      <c r="C2027" s="2">
        <v>1096</v>
      </c>
      <c r="D2027" s="2">
        <v>252</v>
      </c>
      <c r="E2027" s="3">
        <v>4715.33</v>
      </c>
      <c r="F2027" s="4" t="str">
        <f>IF(campaignData[[#This Row],[Campaign]]="Old_Campaign", "A", "B")</f>
        <v>B</v>
      </c>
    </row>
    <row r="2028" spans="1:6" x14ac:dyDescent="0.2">
      <c r="A2028" s="1">
        <v>45210</v>
      </c>
      <c r="B2028" s="5" t="s">
        <v>5</v>
      </c>
      <c r="C2028" s="2">
        <v>1172</v>
      </c>
      <c r="D2028" s="2">
        <v>195</v>
      </c>
      <c r="E2028" s="3">
        <v>2447.4899999999998</v>
      </c>
      <c r="F2028" s="4" t="str">
        <f>IF(campaignData[[#This Row],[Campaign]]="Old_Campaign", "A", "B")</f>
        <v>A</v>
      </c>
    </row>
    <row r="2029" spans="1:6" x14ac:dyDescent="0.2">
      <c r="A2029" s="1">
        <v>45210</v>
      </c>
      <c r="B2029" s="5" t="s">
        <v>6</v>
      </c>
      <c r="C2029" s="2">
        <v>1155</v>
      </c>
      <c r="D2029" s="2">
        <v>248</v>
      </c>
      <c r="E2029" s="3">
        <v>3525.18</v>
      </c>
      <c r="F2029" s="4" t="str">
        <f>IF(campaignData[[#This Row],[Campaign]]="Old_Campaign", "A", "B")</f>
        <v>B</v>
      </c>
    </row>
    <row r="2030" spans="1:6" x14ac:dyDescent="0.2">
      <c r="A2030" s="1">
        <v>45211</v>
      </c>
      <c r="B2030" s="5" t="s">
        <v>5</v>
      </c>
      <c r="C2030" s="2">
        <v>1238</v>
      </c>
      <c r="D2030" s="2">
        <v>232</v>
      </c>
      <c r="E2030" s="3">
        <v>3026.24</v>
      </c>
      <c r="F2030" s="4" t="str">
        <f>IF(campaignData[[#This Row],[Campaign]]="Old_Campaign", "A", "B")</f>
        <v>A</v>
      </c>
    </row>
    <row r="2031" spans="1:6" x14ac:dyDescent="0.2">
      <c r="A2031" s="1">
        <v>45211</v>
      </c>
      <c r="B2031" s="5" t="s">
        <v>6</v>
      </c>
      <c r="C2031" s="2">
        <v>1155</v>
      </c>
      <c r="D2031" s="2">
        <v>283</v>
      </c>
      <c r="E2031" s="3">
        <v>4181.37</v>
      </c>
      <c r="F2031" s="4" t="str">
        <f>IF(campaignData[[#This Row],[Campaign]]="Old_Campaign", "A", "B")</f>
        <v>B</v>
      </c>
    </row>
    <row r="2032" spans="1:6" x14ac:dyDescent="0.2">
      <c r="A2032" s="1">
        <v>45212</v>
      </c>
      <c r="B2032" s="5" t="s">
        <v>5</v>
      </c>
      <c r="C2032" s="2">
        <v>1174</v>
      </c>
      <c r="D2032" s="2">
        <v>219</v>
      </c>
      <c r="E2032" s="3">
        <v>3960.64</v>
      </c>
      <c r="F2032" s="4" t="str">
        <f>IF(campaignData[[#This Row],[Campaign]]="Old_Campaign", "A", "B")</f>
        <v>A</v>
      </c>
    </row>
    <row r="2033" spans="1:6" x14ac:dyDescent="0.2">
      <c r="A2033" s="1">
        <v>45212</v>
      </c>
      <c r="B2033" s="5" t="s">
        <v>6</v>
      </c>
      <c r="C2033" s="2">
        <v>1111</v>
      </c>
      <c r="D2033" s="2">
        <v>249</v>
      </c>
      <c r="E2033" s="3">
        <v>3276.9</v>
      </c>
      <c r="F2033" s="4" t="str">
        <f>IF(campaignData[[#This Row],[Campaign]]="Old_Campaign", "A", "B")</f>
        <v>B</v>
      </c>
    </row>
    <row r="2034" spans="1:6" x14ac:dyDescent="0.2">
      <c r="A2034" s="1">
        <v>45213</v>
      </c>
      <c r="B2034" s="5" t="s">
        <v>5</v>
      </c>
      <c r="C2034" s="2">
        <v>1197</v>
      </c>
      <c r="D2034" s="2">
        <v>233</v>
      </c>
      <c r="E2034" s="3">
        <v>3041.97</v>
      </c>
      <c r="F2034" s="4" t="str">
        <f>IF(campaignData[[#This Row],[Campaign]]="Old_Campaign", "A", "B")</f>
        <v>A</v>
      </c>
    </row>
    <row r="2035" spans="1:6" x14ac:dyDescent="0.2">
      <c r="A2035" s="1">
        <v>45213</v>
      </c>
      <c r="B2035" s="5" t="s">
        <v>6</v>
      </c>
      <c r="C2035" s="2">
        <v>1139</v>
      </c>
      <c r="D2035" s="2">
        <v>269</v>
      </c>
      <c r="E2035" s="3">
        <v>4346.8100000000004</v>
      </c>
      <c r="F2035" s="4" t="str">
        <f>IF(campaignData[[#This Row],[Campaign]]="Old_Campaign", "A", "B")</f>
        <v>B</v>
      </c>
    </row>
    <row r="2036" spans="1:6" x14ac:dyDescent="0.2">
      <c r="A2036" s="1">
        <v>45214</v>
      </c>
      <c r="B2036" s="5" t="s">
        <v>5</v>
      </c>
      <c r="C2036" s="2">
        <v>1148</v>
      </c>
      <c r="D2036" s="2">
        <v>267</v>
      </c>
      <c r="E2036" s="3">
        <v>3801.21</v>
      </c>
      <c r="F2036" s="4" t="str">
        <f>IF(campaignData[[#This Row],[Campaign]]="Old_Campaign", "A", "B")</f>
        <v>A</v>
      </c>
    </row>
    <row r="2037" spans="1:6" x14ac:dyDescent="0.2">
      <c r="A2037" s="1">
        <v>45214</v>
      </c>
      <c r="B2037" s="5" t="s">
        <v>6</v>
      </c>
      <c r="C2037" s="2">
        <v>1218</v>
      </c>
      <c r="D2037" s="2">
        <v>306</v>
      </c>
      <c r="E2037" s="3">
        <v>5348.96</v>
      </c>
      <c r="F2037" s="4" t="str">
        <f>IF(campaignData[[#This Row],[Campaign]]="Old_Campaign", "A", "B")</f>
        <v>B</v>
      </c>
    </row>
    <row r="2038" spans="1:6" x14ac:dyDescent="0.2">
      <c r="A2038" s="1">
        <v>45215</v>
      </c>
      <c r="B2038" s="5" t="s">
        <v>5</v>
      </c>
      <c r="C2038" s="2">
        <v>1173</v>
      </c>
      <c r="D2038" s="2">
        <v>220</v>
      </c>
      <c r="E2038" s="3">
        <v>3760</v>
      </c>
      <c r="F2038" s="4" t="str">
        <f>IF(campaignData[[#This Row],[Campaign]]="Old_Campaign", "A", "B")</f>
        <v>A</v>
      </c>
    </row>
    <row r="2039" spans="1:6" x14ac:dyDescent="0.2">
      <c r="A2039" s="1">
        <v>45215</v>
      </c>
      <c r="B2039" s="5" t="s">
        <v>6</v>
      </c>
      <c r="C2039" s="2">
        <v>1145</v>
      </c>
      <c r="D2039" s="2">
        <v>255</v>
      </c>
      <c r="E2039" s="3">
        <v>3977.28</v>
      </c>
      <c r="F2039" s="4" t="str">
        <f>IF(campaignData[[#This Row],[Campaign]]="Old_Campaign", "A", "B")</f>
        <v>B</v>
      </c>
    </row>
    <row r="2040" spans="1:6" x14ac:dyDescent="0.2">
      <c r="A2040" s="1">
        <v>45216</v>
      </c>
      <c r="B2040" s="5" t="s">
        <v>5</v>
      </c>
      <c r="C2040" s="2">
        <v>1137</v>
      </c>
      <c r="D2040" s="2">
        <v>221</v>
      </c>
      <c r="E2040" s="3">
        <v>3948.67</v>
      </c>
      <c r="F2040" s="4" t="str">
        <f>IF(campaignData[[#This Row],[Campaign]]="Old_Campaign", "A", "B")</f>
        <v>A</v>
      </c>
    </row>
    <row r="2041" spans="1:6" x14ac:dyDescent="0.2">
      <c r="A2041" s="1">
        <v>45216</v>
      </c>
      <c r="B2041" s="5" t="s">
        <v>6</v>
      </c>
      <c r="C2041" s="2">
        <v>1144</v>
      </c>
      <c r="D2041" s="2">
        <v>255</v>
      </c>
      <c r="E2041" s="3">
        <v>3131.57</v>
      </c>
      <c r="F2041" s="4" t="str">
        <f>IF(campaignData[[#This Row],[Campaign]]="Old_Campaign", "A", "B")</f>
        <v>B</v>
      </c>
    </row>
    <row r="2042" spans="1:6" x14ac:dyDescent="0.2">
      <c r="A2042" s="1">
        <v>45217</v>
      </c>
      <c r="B2042" s="5" t="s">
        <v>5</v>
      </c>
      <c r="C2042" s="2">
        <v>1195</v>
      </c>
      <c r="D2042" s="2">
        <v>239</v>
      </c>
      <c r="E2042" s="3">
        <v>3714.86</v>
      </c>
      <c r="F2042" s="4" t="str">
        <f>IF(campaignData[[#This Row],[Campaign]]="Old_Campaign", "A", "B")</f>
        <v>A</v>
      </c>
    </row>
    <row r="2043" spans="1:6" x14ac:dyDescent="0.2">
      <c r="A2043" s="1">
        <v>45217</v>
      </c>
      <c r="B2043" s="5" t="s">
        <v>6</v>
      </c>
      <c r="C2043" s="2">
        <v>1195</v>
      </c>
      <c r="D2043" s="2">
        <v>261</v>
      </c>
      <c r="E2043" s="3">
        <v>5006.3999999999996</v>
      </c>
      <c r="F2043" s="4" t="str">
        <f>IF(campaignData[[#This Row],[Campaign]]="Old_Campaign", "A", "B")</f>
        <v>B</v>
      </c>
    </row>
    <row r="2044" spans="1:6" x14ac:dyDescent="0.2">
      <c r="A2044" s="1">
        <v>45218</v>
      </c>
      <c r="B2044" s="5" t="s">
        <v>5</v>
      </c>
      <c r="C2044" s="2">
        <v>1206</v>
      </c>
      <c r="D2044" s="2">
        <v>245</v>
      </c>
      <c r="E2044" s="3">
        <v>3595.59</v>
      </c>
      <c r="F2044" s="4" t="str">
        <f>IF(campaignData[[#This Row],[Campaign]]="Old_Campaign", "A", "B")</f>
        <v>A</v>
      </c>
    </row>
    <row r="2045" spans="1:6" x14ac:dyDescent="0.2">
      <c r="A2045" s="1">
        <v>45218</v>
      </c>
      <c r="B2045" s="5" t="s">
        <v>6</v>
      </c>
      <c r="C2045" s="2">
        <v>1173</v>
      </c>
      <c r="D2045" s="2">
        <v>259</v>
      </c>
      <c r="E2045" s="3">
        <v>4763.1000000000004</v>
      </c>
      <c r="F2045" s="4" t="str">
        <f>IF(campaignData[[#This Row],[Campaign]]="Old_Campaign", "A", "B")</f>
        <v>B</v>
      </c>
    </row>
    <row r="2046" spans="1:6" x14ac:dyDescent="0.2">
      <c r="A2046" s="1">
        <v>45219</v>
      </c>
      <c r="B2046" s="5" t="s">
        <v>5</v>
      </c>
      <c r="C2046" s="2">
        <v>1234</v>
      </c>
      <c r="D2046" s="2">
        <v>237</v>
      </c>
      <c r="E2046" s="3">
        <v>4144.1000000000004</v>
      </c>
      <c r="F2046" s="4" t="str">
        <f>IF(campaignData[[#This Row],[Campaign]]="Old_Campaign", "A", "B")</f>
        <v>A</v>
      </c>
    </row>
    <row r="2047" spans="1:6" x14ac:dyDescent="0.2">
      <c r="A2047" s="1">
        <v>45219</v>
      </c>
      <c r="B2047" s="5" t="s">
        <v>6</v>
      </c>
      <c r="C2047" s="2">
        <v>1176</v>
      </c>
      <c r="D2047" s="2">
        <v>273</v>
      </c>
      <c r="E2047" s="3">
        <v>4765.03</v>
      </c>
      <c r="F2047" s="4" t="str">
        <f>IF(campaignData[[#This Row],[Campaign]]="Old_Campaign", "A", "B")</f>
        <v>B</v>
      </c>
    </row>
    <row r="2048" spans="1:6" x14ac:dyDescent="0.2">
      <c r="A2048" s="1">
        <v>45220</v>
      </c>
      <c r="B2048" s="5" t="s">
        <v>5</v>
      </c>
      <c r="C2048" s="2">
        <v>1154</v>
      </c>
      <c r="D2048" s="2">
        <v>226</v>
      </c>
      <c r="E2048" s="3">
        <v>3335.3</v>
      </c>
      <c r="F2048" s="4" t="str">
        <f>IF(campaignData[[#This Row],[Campaign]]="Old_Campaign", "A", "B")</f>
        <v>A</v>
      </c>
    </row>
    <row r="2049" spans="1:6" x14ac:dyDescent="0.2">
      <c r="A2049" s="1">
        <v>45220</v>
      </c>
      <c r="B2049" s="5" t="s">
        <v>6</v>
      </c>
      <c r="C2049" s="2">
        <v>1193</v>
      </c>
      <c r="D2049" s="2">
        <v>282</v>
      </c>
      <c r="E2049" s="3">
        <v>4922.12</v>
      </c>
      <c r="F2049" s="4" t="str">
        <f>IF(campaignData[[#This Row],[Campaign]]="Old_Campaign", "A", "B")</f>
        <v>B</v>
      </c>
    </row>
    <row r="2050" spans="1:6" x14ac:dyDescent="0.2">
      <c r="A2050" s="1">
        <v>45221</v>
      </c>
      <c r="B2050" s="5" t="s">
        <v>5</v>
      </c>
      <c r="C2050" s="2">
        <v>1190</v>
      </c>
      <c r="D2050" s="2">
        <v>220</v>
      </c>
      <c r="E2050" s="3">
        <v>4113.0600000000004</v>
      </c>
      <c r="F2050" s="4" t="str">
        <f>IF(campaignData[[#This Row],[Campaign]]="Old_Campaign", "A", "B")</f>
        <v>A</v>
      </c>
    </row>
    <row r="2051" spans="1:6" x14ac:dyDescent="0.2">
      <c r="A2051" s="1">
        <v>45221</v>
      </c>
      <c r="B2051" s="5" t="s">
        <v>6</v>
      </c>
      <c r="C2051" s="2">
        <v>1075</v>
      </c>
      <c r="D2051" s="2">
        <v>242</v>
      </c>
      <c r="E2051" s="3">
        <v>4448.22</v>
      </c>
      <c r="F2051" s="4" t="str">
        <f>IF(campaignData[[#This Row],[Campaign]]="Old_Campaign", "A", "B")</f>
        <v>B</v>
      </c>
    </row>
    <row r="2052" spans="1:6" x14ac:dyDescent="0.2">
      <c r="A2052" s="1">
        <v>45222</v>
      </c>
      <c r="B2052" s="5" t="s">
        <v>5</v>
      </c>
      <c r="C2052" s="2">
        <v>1213</v>
      </c>
      <c r="D2052" s="2">
        <v>241</v>
      </c>
      <c r="E2052" s="3">
        <v>3170.43</v>
      </c>
      <c r="F2052" s="4" t="str">
        <f>IF(campaignData[[#This Row],[Campaign]]="Old_Campaign", "A", "B")</f>
        <v>A</v>
      </c>
    </row>
    <row r="2053" spans="1:6" x14ac:dyDescent="0.2">
      <c r="A2053" s="1">
        <v>45222</v>
      </c>
      <c r="B2053" s="5" t="s">
        <v>6</v>
      </c>
      <c r="C2053" s="2">
        <v>1107</v>
      </c>
      <c r="D2053" s="2">
        <v>275</v>
      </c>
      <c r="E2053" s="3">
        <v>3949.34</v>
      </c>
      <c r="F2053" s="4" t="str">
        <f>IF(campaignData[[#This Row],[Campaign]]="Old_Campaign", "A", "B")</f>
        <v>B</v>
      </c>
    </row>
    <row r="2054" spans="1:6" x14ac:dyDescent="0.2">
      <c r="A2054" s="1">
        <v>45223</v>
      </c>
      <c r="B2054" s="5" t="s">
        <v>5</v>
      </c>
      <c r="C2054" s="2">
        <v>1164</v>
      </c>
      <c r="D2054" s="2">
        <v>231</v>
      </c>
      <c r="E2054" s="3">
        <v>3843.91</v>
      </c>
      <c r="F2054" s="4" t="str">
        <f>IF(campaignData[[#This Row],[Campaign]]="Old_Campaign", "A", "B")</f>
        <v>A</v>
      </c>
    </row>
    <row r="2055" spans="1:6" x14ac:dyDescent="0.2">
      <c r="A2055" s="1">
        <v>45223</v>
      </c>
      <c r="B2055" s="5" t="s">
        <v>6</v>
      </c>
      <c r="C2055" s="2">
        <v>1177</v>
      </c>
      <c r="D2055" s="2">
        <v>283</v>
      </c>
      <c r="E2055" s="3">
        <v>4263.26</v>
      </c>
      <c r="F2055" s="4" t="str">
        <f>IF(campaignData[[#This Row],[Campaign]]="Old_Campaign", "A", "B")</f>
        <v>B</v>
      </c>
    </row>
    <row r="2056" spans="1:6" x14ac:dyDescent="0.2">
      <c r="A2056" s="1">
        <v>45224</v>
      </c>
      <c r="B2056" s="5" t="s">
        <v>5</v>
      </c>
      <c r="C2056" s="2">
        <v>1150</v>
      </c>
      <c r="D2056" s="2">
        <v>208</v>
      </c>
      <c r="E2056" s="3">
        <v>3705.99</v>
      </c>
      <c r="F2056" s="4" t="str">
        <f>IF(campaignData[[#This Row],[Campaign]]="Old_Campaign", "A", "B")</f>
        <v>A</v>
      </c>
    </row>
    <row r="2057" spans="1:6" x14ac:dyDescent="0.2">
      <c r="A2057" s="1">
        <v>45224</v>
      </c>
      <c r="B2057" s="5" t="s">
        <v>6</v>
      </c>
      <c r="C2057" s="2">
        <v>1181</v>
      </c>
      <c r="D2057" s="2">
        <v>273</v>
      </c>
      <c r="E2057" s="3">
        <v>4299.34</v>
      </c>
      <c r="F2057" s="4" t="str">
        <f>IF(campaignData[[#This Row],[Campaign]]="Old_Campaign", "A", "B")</f>
        <v>B</v>
      </c>
    </row>
    <row r="2058" spans="1:6" x14ac:dyDescent="0.2">
      <c r="A2058" s="1">
        <v>45225</v>
      </c>
      <c r="B2058" s="5" t="s">
        <v>5</v>
      </c>
      <c r="C2058" s="2">
        <v>1209</v>
      </c>
      <c r="D2058" s="2">
        <v>218</v>
      </c>
      <c r="E2058" s="3">
        <v>3082.33</v>
      </c>
      <c r="F2058" s="4" t="str">
        <f>IF(campaignData[[#This Row],[Campaign]]="Old_Campaign", "A", "B")</f>
        <v>A</v>
      </c>
    </row>
    <row r="2059" spans="1:6" x14ac:dyDescent="0.2">
      <c r="A2059" s="1">
        <v>45225</v>
      </c>
      <c r="B2059" s="5" t="s">
        <v>6</v>
      </c>
      <c r="C2059" s="2">
        <v>1161</v>
      </c>
      <c r="D2059" s="2">
        <v>275</v>
      </c>
      <c r="E2059" s="3">
        <v>5504.66</v>
      </c>
      <c r="F2059" s="4" t="str">
        <f>IF(campaignData[[#This Row],[Campaign]]="Old_Campaign", "A", "B")</f>
        <v>B</v>
      </c>
    </row>
    <row r="2060" spans="1:6" x14ac:dyDescent="0.2">
      <c r="A2060" s="1">
        <v>45226</v>
      </c>
      <c r="B2060" s="5" t="s">
        <v>5</v>
      </c>
      <c r="C2060" s="2">
        <v>1151</v>
      </c>
      <c r="D2060" s="2">
        <v>200</v>
      </c>
      <c r="E2060" s="3">
        <v>3188.01</v>
      </c>
      <c r="F2060" s="4" t="str">
        <f>IF(campaignData[[#This Row],[Campaign]]="Old_Campaign", "A", "B")</f>
        <v>A</v>
      </c>
    </row>
    <row r="2061" spans="1:6" x14ac:dyDescent="0.2">
      <c r="A2061" s="1">
        <v>45226</v>
      </c>
      <c r="B2061" s="5" t="s">
        <v>6</v>
      </c>
      <c r="C2061" s="2">
        <v>1167</v>
      </c>
      <c r="D2061" s="2">
        <v>270</v>
      </c>
      <c r="E2061" s="3">
        <v>4375.83</v>
      </c>
      <c r="F2061" s="4" t="str">
        <f>IF(campaignData[[#This Row],[Campaign]]="Old_Campaign", "A", "B")</f>
        <v>B</v>
      </c>
    </row>
    <row r="2062" spans="1:6" x14ac:dyDescent="0.2">
      <c r="A2062" s="1">
        <v>45227</v>
      </c>
      <c r="B2062" s="5" t="s">
        <v>5</v>
      </c>
      <c r="C2062" s="2">
        <v>1087</v>
      </c>
      <c r="D2062" s="2">
        <v>205</v>
      </c>
      <c r="E2062" s="3">
        <v>2874.34</v>
      </c>
      <c r="F2062" s="4" t="str">
        <f>IF(campaignData[[#This Row],[Campaign]]="Old_Campaign", "A", "B")</f>
        <v>A</v>
      </c>
    </row>
    <row r="2063" spans="1:6" x14ac:dyDescent="0.2">
      <c r="A2063" s="1">
        <v>45227</v>
      </c>
      <c r="B2063" s="5" t="s">
        <v>6</v>
      </c>
      <c r="C2063" s="2">
        <v>1108</v>
      </c>
      <c r="D2063" s="2">
        <v>272</v>
      </c>
      <c r="E2063" s="3">
        <v>2858.56</v>
      </c>
      <c r="F2063" s="4" t="str">
        <f>IF(campaignData[[#This Row],[Campaign]]="Old_Campaign", "A", "B")</f>
        <v>B</v>
      </c>
    </row>
    <row r="2064" spans="1:6" x14ac:dyDescent="0.2">
      <c r="A2064" s="1">
        <v>45228</v>
      </c>
      <c r="B2064" s="5" t="s">
        <v>5</v>
      </c>
      <c r="C2064" s="2">
        <v>1189</v>
      </c>
      <c r="D2064" s="2">
        <v>225</v>
      </c>
      <c r="E2064" s="3">
        <v>2685.33</v>
      </c>
      <c r="F2064" s="4" t="str">
        <f>IF(campaignData[[#This Row],[Campaign]]="Old_Campaign", "A", "B")</f>
        <v>A</v>
      </c>
    </row>
    <row r="2065" spans="1:6" x14ac:dyDescent="0.2">
      <c r="A2065" s="1">
        <v>45228</v>
      </c>
      <c r="B2065" s="5" t="s">
        <v>6</v>
      </c>
      <c r="C2065" s="2">
        <v>1134</v>
      </c>
      <c r="D2065" s="2">
        <v>274</v>
      </c>
      <c r="E2065" s="3">
        <v>4531.58</v>
      </c>
      <c r="F2065" s="4" t="str">
        <f>IF(campaignData[[#This Row],[Campaign]]="Old_Campaign", "A", "B")</f>
        <v>B</v>
      </c>
    </row>
    <row r="2066" spans="1:6" x14ac:dyDescent="0.2">
      <c r="A2066" s="1">
        <v>45229</v>
      </c>
      <c r="B2066" s="5" t="s">
        <v>5</v>
      </c>
      <c r="C2066" s="2">
        <v>1186</v>
      </c>
      <c r="D2066" s="2">
        <v>201</v>
      </c>
      <c r="E2066" s="3">
        <v>3518.44</v>
      </c>
      <c r="F2066" s="4" t="str">
        <f>IF(campaignData[[#This Row],[Campaign]]="Old_Campaign", "A", "B")</f>
        <v>A</v>
      </c>
    </row>
    <row r="2067" spans="1:6" x14ac:dyDescent="0.2">
      <c r="A2067" s="1">
        <v>45229</v>
      </c>
      <c r="B2067" s="5" t="s">
        <v>6</v>
      </c>
      <c r="C2067" s="2">
        <v>1148</v>
      </c>
      <c r="D2067" s="2">
        <v>251</v>
      </c>
      <c r="E2067" s="3">
        <v>4586.5</v>
      </c>
      <c r="F2067" s="4" t="str">
        <f>IF(campaignData[[#This Row],[Campaign]]="Old_Campaign", "A", "B")</f>
        <v>B</v>
      </c>
    </row>
    <row r="2068" spans="1:6" x14ac:dyDescent="0.2">
      <c r="A2068" s="1">
        <v>45230</v>
      </c>
      <c r="B2068" s="5" t="s">
        <v>5</v>
      </c>
      <c r="C2068" s="2">
        <v>1205</v>
      </c>
      <c r="D2068" s="2">
        <v>213</v>
      </c>
      <c r="E2068" s="3">
        <v>3560.15</v>
      </c>
      <c r="F2068" s="4" t="str">
        <f>IF(campaignData[[#This Row],[Campaign]]="Old_Campaign", "A", "B")</f>
        <v>A</v>
      </c>
    </row>
    <row r="2069" spans="1:6" x14ac:dyDescent="0.2">
      <c r="A2069" s="1">
        <v>45230</v>
      </c>
      <c r="B2069" s="5" t="s">
        <v>6</v>
      </c>
      <c r="C2069" s="2">
        <v>1151</v>
      </c>
      <c r="D2069" s="2">
        <v>282</v>
      </c>
      <c r="E2069" s="3">
        <v>5371.9</v>
      </c>
      <c r="F2069" s="4" t="str">
        <f>IF(campaignData[[#This Row],[Campaign]]="Old_Campaign", "A", "B")</f>
        <v>B</v>
      </c>
    </row>
    <row r="2070" spans="1:6" x14ac:dyDescent="0.2">
      <c r="A2070" s="1">
        <v>45231</v>
      </c>
      <c r="B2070" s="5" t="s">
        <v>5</v>
      </c>
      <c r="C2070" s="2">
        <v>1271</v>
      </c>
      <c r="D2070" s="2">
        <v>242</v>
      </c>
      <c r="E2070" s="3">
        <v>3412.02</v>
      </c>
      <c r="F2070" s="4" t="str">
        <f>IF(campaignData[[#This Row],[Campaign]]="Old_Campaign", "A", "B")</f>
        <v>A</v>
      </c>
    </row>
    <row r="2071" spans="1:6" x14ac:dyDescent="0.2">
      <c r="A2071" s="1">
        <v>45231</v>
      </c>
      <c r="B2071" s="5" t="s">
        <v>6</v>
      </c>
      <c r="C2071" s="2">
        <v>1129</v>
      </c>
      <c r="D2071" s="2">
        <v>250</v>
      </c>
      <c r="E2071" s="3">
        <v>4203.42</v>
      </c>
      <c r="F2071" s="4" t="str">
        <f>IF(campaignData[[#This Row],[Campaign]]="Old_Campaign", "A", "B")</f>
        <v>B</v>
      </c>
    </row>
    <row r="2072" spans="1:6" x14ac:dyDescent="0.2">
      <c r="A2072" s="1">
        <v>45232</v>
      </c>
      <c r="B2072" s="5" t="s">
        <v>5</v>
      </c>
      <c r="C2072" s="2">
        <v>1155</v>
      </c>
      <c r="D2072" s="2">
        <v>221</v>
      </c>
      <c r="E2072" s="3">
        <v>3395.52</v>
      </c>
      <c r="F2072" s="4" t="str">
        <f>IF(campaignData[[#This Row],[Campaign]]="Old_Campaign", "A", "B")</f>
        <v>A</v>
      </c>
    </row>
    <row r="2073" spans="1:6" x14ac:dyDescent="0.2">
      <c r="A2073" s="1">
        <v>45232</v>
      </c>
      <c r="B2073" s="5" t="s">
        <v>6</v>
      </c>
      <c r="C2073" s="2">
        <v>1135</v>
      </c>
      <c r="D2073" s="2">
        <v>273</v>
      </c>
      <c r="E2073" s="3">
        <v>4854.97</v>
      </c>
      <c r="F2073" s="4" t="str">
        <f>IF(campaignData[[#This Row],[Campaign]]="Old_Campaign", "A", "B")</f>
        <v>B</v>
      </c>
    </row>
    <row r="2074" spans="1:6" x14ac:dyDescent="0.2">
      <c r="A2074" s="1">
        <v>45233</v>
      </c>
      <c r="B2074" s="5" t="s">
        <v>5</v>
      </c>
      <c r="C2074" s="2">
        <v>1213</v>
      </c>
      <c r="D2074" s="2">
        <v>232</v>
      </c>
      <c r="E2074" s="3">
        <v>3341.66</v>
      </c>
      <c r="F2074" s="4" t="str">
        <f>IF(campaignData[[#This Row],[Campaign]]="Old_Campaign", "A", "B")</f>
        <v>A</v>
      </c>
    </row>
    <row r="2075" spans="1:6" x14ac:dyDescent="0.2">
      <c r="A2075" s="1">
        <v>45233</v>
      </c>
      <c r="B2075" s="5" t="s">
        <v>6</v>
      </c>
      <c r="C2075" s="2">
        <v>1089</v>
      </c>
      <c r="D2075" s="2">
        <v>245</v>
      </c>
      <c r="E2075" s="3">
        <v>3580.89</v>
      </c>
      <c r="F2075" s="4" t="str">
        <f>IF(campaignData[[#This Row],[Campaign]]="Old_Campaign", "A", "B")</f>
        <v>B</v>
      </c>
    </row>
    <row r="2076" spans="1:6" x14ac:dyDescent="0.2">
      <c r="A2076" s="1">
        <v>45234</v>
      </c>
      <c r="B2076" s="5" t="s">
        <v>5</v>
      </c>
      <c r="C2076" s="2">
        <v>1231</v>
      </c>
      <c r="D2076" s="2">
        <v>246</v>
      </c>
      <c r="E2076" s="3">
        <v>2853.04</v>
      </c>
      <c r="F2076" s="4" t="str">
        <f>IF(campaignData[[#This Row],[Campaign]]="Old_Campaign", "A", "B")</f>
        <v>A</v>
      </c>
    </row>
    <row r="2077" spans="1:6" x14ac:dyDescent="0.2">
      <c r="A2077" s="1">
        <v>45234</v>
      </c>
      <c r="B2077" s="5" t="s">
        <v>6</v>
      </c>
      <c r="C2077" s="2">
        <v>1161</v>
      </c>
      <c r="D2077" s="2">
        <v>266</v>
      </c>
      <c r="E2077" s="3">
        <v>4455</v>
      </c>
      <c r="F2077" s="4" t="str">
        <f>IF(campaignData[[#This Row],[Campaign]]="Old_Campaign", "A", "B")</f>
        <v>B</v>
      </c>
    </row>
    <row r="2078" spans="1:6" x14ac:dyDescent="0.2">
      <c r="A2078" s="1">
        <v>45235</v>
      </c>
      <c r="B2078" s="5" t="s">
        <v>5</v>
      </c>
      <c r="C2078" s="2">
        <v>1197</v>
      </c>
      <c r="D2078" s="2">
        <v>214</v>
      </c>
      <c r="E2078" s="3">
        <v>3690.83</v>
      </c>
      <c r="F2078" s="4" t="str">
        <f>IF(campaignData[[#This Row],[Campaign]]="Old_Campaign", "A", "B")</f>
        <v>A</v>
      </c>
    </row>
    <row r="2079" spans="1:6" x14ac:dyDescent="0.2">
      <c r="A2079" s="1">
        <v>45235</v>
      </c>
      <c r="B2079" s="5" t="s">
        <v>6</v>
      </c>
      <c r="C2079" s="2">
        <v>1179</v>
      </c>
      <c r="D2079" s="2">
        <v>269</v>
      </c>
      <c r="E2079" s="3">
        <v>4668.22</v>
      </c>
      <c r="F2079" s="4" t="str">
        <f>IF(campaignData[[#This Row],[Campaign]]="Old_Campaign", "A", "B")</f>
        <v>B</v>
      </c>
    </row>
    <row r="2080" spans="1:6" x14ac:dyDescent="0.2">
      <c r="A2080" s="1">
        <v>45236</v>
      </c>
      <c r="B2080" s="5" t="s">
        <v>5</v>
      </c>
      <c r="C2080" s="2">
        <v>1203</v>
      </c>
      <c r="D2080" s="2">
        <v>261</v>
      </c>
      <c r="E2080" s="3">
        <v>3734.92</v>
      </c>
      <c r="F2080" s="4" t="str">
        <f>IF(campaignData[[#This Row],[Campaign]]="Old_Campaign", "A", "B")</f>
        <v>A</v>
      </c>
    </row>
    <row r="2081" spans="1:6" x14ac:dyDescent="0.2">
      <c r="A2081" s="1">
        <v>45236</v>
      </c>
      <c r="B2081" s="5" t="s">
        <v>6</v>
      </c>
      <c r="C2081" s="2">
        <v>1179</v>
      </c>
      <c r="D2081" s="2">
        <v>262</v>
      </c>
      <c r="E2081" s="3">
        <v>4310.96</v>
      </c>
      <c r="F2081" s="4" t="str">
        <f>IF(campaignData[[#This Row],[Campaign]]="Old_Campaign", "A", "B")</f>
        <v>B</v>
      </c>
    </row>
    <row r="2082" spans="1:6" x14ac:dyDescent="0.2">
      <c r="A2082" s="1">
        <v>45237</v>
      </c>
      <c r="B2082" s="5" t="s">
        <v>5</v>
      </c>
      <c r="C2082" s="2">
        <v>1211</v>
      </c>
      <c r="D2082" s="2">
        <v>256</v>
      </c>
      <c r="E2082" s="3">
        <v>3935.8</v>
      </c>
      <c r="F2082" s="4" t="str">
        <f>IF(campaignData[[#This Row],[Campaign]]="Old_Campaign", "A", "B")</f>
        <v>A</v>
      </c>
    </row>
    <row r="2083" spans="1:6" x14ac:dyDescent="0.2">
      <c r="A2083" s="1">
        <v>45237</v>
      </c>
      <c r="B2083" s="5" t="s">
        <v>6</v>
      </c>
      <c r="C2083" s="2">
        <v>1133</v>
      </c>
      <c r="D2083" s="2">
        <v>250</v>
      </c>
      <c r="E2083" s="3">
        <v>4194.21</v>
      </c>
      <c r="F2083" s="4" t="str">
        <f>IF(campaignData[[#This Row],[Campaign]]="Old_Campaign", "A", "B")</f>
        <v>B</v>
      </c>
    </row>
    <row r="2084" spans="1:6" x14ac:dyDescent="0.2">
      <c r="A2084" s="1">
        <v>45238</v>
      </c>
      <c r="B2084" s="5" t="s">
        <v>5</v>
      </c>
      <c r="C2084" s="2">
        <v>1217</v>
      </c>
      <c r="D2084" s="2">
        <v>225</v>
      </c>
      <c r="E2084" s="3">
        <v>3196.1</v>
      </c>
      <c r="F2084" s="4" t="str">
        <f>IF(campaignData[[#This Row],[Campaign]]="Old_Campaign", "A", "B")</f>
        <v>A</v>
      </c>
    </row>
    <row r="2085" spans="1:6" x14ac:dyDescent="0.2">
      <c r="A2085" s="1">
        <v>45238</v>
      </c>
      <c r="B2085" s="5" t="s">
        <v>6</v>
      </c>
      <c r="C2085" s="2">
        <v>1129</v>
      </c>
      <c r="D2085" s="2">
        <v>254</v>
      </c>
      <c r="E2085" s="3">
        <v>3360.66</v>
      </c>
      <c r="F2085" s="4" t="str">
        <f>IF(campaignData[[#This Row],[Campaign]]="Old_Campaign", "A", "B")</f>
        <v>B</v>
      </c>
    </row>
    <row r="2086" spans="1:6" x14ac:dyDescent="0.2">
      <c r="A2086" s="1">
        <v>45239</v>
      </c>
      <c r="B2086" s="5" t="s">
        <v>5</v>
      </c>
      <c r="C2086" s="2">
        <v>1141</v>
      </c>
      <c r="D2086" s="2">
        <v>223</v>
      </c>
      <c r="E2086" s="3">
        <v>3336.91</v>
      </c>
      <c r="F2086" s="4" t="str">
        <f>IF(campaignData[[#This Row],[Campaign]]="Old_Campaign", "A", "B")</f>
        <v>A</v>
      </c>
    </row>
    <row r="2087" spans="1:6" x14ac:dyDescent="0.2">
      <c r="A2087" s="1">
        <v>45239</v>
      </c>
      <c r="B2087" s="5" t="s">
        <v>6</v>
      </c>
      <c r="C2087" s="2">
        <v>1125</v>
      </c>
      <c r="D2087" s="2">
        <v>262</v>
      </c>
      <c r="E2087" s="3">
        <v>4345.68</v>
      </c>
      <c r="F2087" s="4" t="str">
        <f>IF(campaignData[[#This Row],[Campaign]]="Old_Campaign", "A", "B")</f>
        <v>B</v>
      </c>
    </row>
    <row r="2088" spans="1:6" x14ac:dyDescent="0.2">
      <c r="A2088" s="1">
        <v>45240</v>
      </c>
      <c r="B2088" s="5" t="s">
        <v>5</v>
      </c>
      <c r="C2088" s="2">
        <v>1146</v>
      </c>
      <c r="D2088" s="2">
        <v>188</v>
      </c>
      <c r="E2088" s="3">
        <v>3272.55</v>
      </c>
      <c r="F2088" s="4" t="str">
        <f>IF(campaignData[[#This Row],[Campaign]]="Old_Campaign", "A", "B")</f>
        <v>A</v>
      </c>
    </row>
    <row r="2089" spans="1:6" x14ac:dyDescent="0.2">
      <c r="A2089" s="1">
        <v>45240</v>
      </c>
      <c r="B2089" s="5" t="s">
        <v>6</v>
      </c>
      <c r="C2089" s="2">
        <v>1205</v>
      </c>
      <c r="D2089" s="2">
        <v>272</v>
      </c>
      <c r="E2089" s="3">
        <v>3541.83</v>
      </c>
      <c r="F2089" s="4" t="str">
        <f>IF(campaignData[[#This Row],[Campaign]]="Old_Campaign", "A", "B")</f>
        <v>B</v>
      </c>
    </row>
    <row r="2090" spans="1:6" x14ac:dyDescent="0.2">
      <c r="A2090" s="1">
        <v>45241</v>
      </c>
      <c r="B2090" s="5" t="s">
        <v>5</v>
      </c>
      <c r="C2090" s="2">
        <v>1163</v>
      </c>
      <c r="D2090" s="2">
        <v>228</v>
      </c>
      <c r="E2090" s="3">
        <v>2806.71</v>
      </c>
      <c r="F2090" s="4" t="str">
        <f>IF(campaignData[[#This Row],[Campaign]]="Old_Campaign", "A", "B")</f>
        <v>A</v>
      </c>
    </row>
    <row r="2091" spans="1:6" x14ac:dyDescent="0.2">
      <c r="A2091" s="1">
        <v>45241</v>
      </c>
      <c r="B2091" s="5" t="s">
        <v>6</v>
      </c>
      <c r="C2091" s="2">
        <v>1168</v>
      </c>
      <c r="D2091" s="2">
        <v>281</v>
      </c>
      <c r="E2091" s="3">
        <v>3891.79</v>
      </c>
      <c r="F2091" s="4" t="str">
        <f>IF(campaignData[[#This Row],[Campaign]]="Old_Campaign", "A", "B")</f>
        <v>B</v>
      </c>
    </row>
    <row r="2092" spans="1:6" x14ac:dyDescent="0.2">
      <c r="A2092" s="1">
        <v>45242</v>
      </c>
      <c r="B2092" s="5" t="s">
        <v>5</v>
      </c>
      <c r="C2092" s="2">
        <v>1193</v>
      </c>
      <c r="D2092" s="2">
        <v>216</v>
      </c>
      <c r="E2092" s="3">
        <v>3496.98</v>
      </c>
      <c r="F2092" s="4" t="str">
        <f>IF(campaignData[[#This Row],[Campaign]]="Old_Campaign", "A", "B")</f>
        <v>A</v>
      </c>
    </row>
    <row r="2093" spans="1:6" x14ac:dyDescent="0.2">
      <c r="A2093" s="1">
        <v>45242</v>
      </c>
      <c r="B2093" s="5" t="s">
        <v>6</v>
      </c>
      <c r="C2093" s="2">
        <v>1180</v>
      </c>
      <c r="D2093" s="2">
        <v>296</v>
      </c>
      <c r="E2093" s="3">
        <v>4372.9799999999996</v>
      </c>
      <c r="F2093" s="4" t="str">
        <f>IF(campaignData[[#This Row],[Campaign]]="Old_Campaign", "A", "B")</f>
        <v>B</v>
      </c>
    </row>
    <row r="2094" spans="1:6" x14ac:dyDescent="0.2">
      <c r="A2094" s="1">
        <v>45243</v>
      </c>
      <c r="B2094" s="5" t="s">
        <v>5</v>
      </c>
      <c r="C2094" s="2">
        <v>1211</v>
      </c>
      <c r="D2094" s="2">
        <v>241</v>
      </c>
      <c r="E2094" s="3">
        <v>3616.05</v>
      </c>
      <c r="F2094" s="4" t="str">
        <f>IF(campaignData[[#This Row],[Campaign]]="Old_Campaign", "A", "B")</f>
        <v>A</v>
      </c>
    </row>
    <row r="2095" spans="1:6" x14ac:dyDescent="0.2">
      <c r="A2095" s="1">
        <v>45243</v>
      </c>
      <c r="B2095" s="5" t="s">
        <v>6</v>
      </c>
      <c r="C2095" s="2">
        <v>1181</v>
      </c>
      <c r="D2095" s="2">
        <v>243</v>
      </c>
      <c r="E2095" s="3">
        <v>3219.71</v>
      </c>
      <c r="F2095" s="4" t="str">
        <f>IF(campaignData[[#This Row],[Campaign]]="Old_Campaign", "A", "B")</f>
        <v>B</v>
      </c>
    </row>
    <row r="2096" spans="1:6" x14ac:dyDescent="0.2">
      <c r="A2096" s="1">
        <v>45244</v>
      </c>
      <c r="B2096" s="5" t="s">
        <v>5</v>
      </c>
      <c r="C2096" s="2">
        <v>1184</v>
      </c>
      <c r="D2096" s="2">
        <v>223</v>
      </c>
      <c r="E2096" s="3">
        <v>3531.66</v>
      </c>
      <c r="F2096" s="4" t="str">
        <f>IF(campaignData[[#This Row],[Campaign]]="Old_Campaign", "A", "B")</f>
        <v>A</v>
      </c>
    </row>
    <row r="2097" spans="1:6" x14ac:dyDescent="0.2">
      <c r="A2097" s="1">
        <v>45244</v>
      </c>
      <c r="B2097" s="5" t="s">
        <v>6</v>
      </c>
      <c r="C2097" s="2">
        <v>1084</v>
      </c>
      <c r="D2097" s="2">
        <v>251</v>
      </c>
      <c r="E2097" s="3">
        <v>3766.68</v>
      </c>
      <c r="F2097" s="4" t="str">
        <f>IF(campaignData[[#This Row],[Campaign]]="Old_Campaign", "A", "B")</f>
        <v>B</v>
      </c>
    </row>
    <row r="2098" spans="1:6" x14ac:dyDescent="0.2">
      <c r="A2098" s="1">
        <v>45245</v>
      </c>
      <c r="B2098" s="5" t="s">
        <v>5</v>
      </c>
      <c r="C2098" s="2">
        <v>1204</v>
      </c>
      <c r="D2098" s="2">
        <v>222</v>
      </c>
      <c r="E2098" s="3">
        <v>3027.16</v>
      </c>
      <c r="F2098" s="4" t="str">
        <f>IF(campaignData[[#This Row],[Campaign]]="Old_Campaign", "A", "B")</f>
        <v>A</v>
      </c>
    </row>
    <row r="2099" spans="1:6" x14ac:dyDescent="0.2">
      <c r="A2099" s="1">
        <v>45245</v>
      </c>
      <c r="B2099" s="5" t="s">
        <v>6</v>
      </c>
      <c r="C2099" s="2">
        <v>1163</v>
      </c>
      <c r="D2099" s="2">
        <v>288</v>
      </c>
      <c r="E2099" s="3">
        <v>5271.75</v>
      </c>
      <c r="F2099" s="4" t="str">
        <f>IF(campaignData[[#This Row],[Campaign]]="Old_Campaign", "A", "B")</f>
        <v>B</v>
      </c>
    </row>
    <row r="2100" spans="1:6" x14ac:dyDescent="0.2">
      <c r="A2100" s="1">
        <v>45246</v>
      </c>
      <c r="B2100" s="5" t="s">
        <v>5</v>
      </c>
      <c r="C2100" s="2">
        <v>1238</v>
      </c>
      <c r="D2100" s="2">
        <v>224</v>
      </c>
      <c r="E2100" s="3">
        <v>3303.25</v>
      </c>
      <c r="F2100" s="4" t="str">
        <f>IF(campaignData[[#This Row],[Campaign]]="Old_Campaign", "A", "B")</f>
        <v>A</v>
      </c>
    </row>
    <row r="2101" spans="1:6" x14ac:dyDescent="0.2">
      <c r="A2101" s="1">
        <v>45246</v>
      </c>
      <c r="B2101" s="5" t="s">
        <v>6</v>
      </c>
      <c r="C2101" s="2">
        <v>1137</v>
      </c>
      <c r="D2101" s="2">
        <v>244</v>
      </c>
      <c r="E2101" s="3">
        <v>3635.06</v>
      </c>
      <c r="F2101" s="4" t="str">
        <f>IF(campaignData[[#This Row],[Campaign]]="Old_Campaign", "A", "B")</f>
        <v>B</v>
      </c>
    </row>
    <row r="2102" spans="1:6" x14ac:dyDescent="0.2">
      <c r="A2102" s="1">
        <v>45247</v>
      </c>
      <c r="B2102" s="5" t="s">
        <v>5</v>
      </c>
      <c r="C2102" s="2">
        <v>1203</v>
      </c>
      <c r="D2102" s="2">
        <v>226</v>
      </c>
      <c r="E2102" s="3">
        <v>1617.08</v>
      </c>
      <c r="F2102" s="4" t="str">
        <f>IF(campaignData[[#This Row],[Campaign]]="Old_Campaign", "A", "B")</f>
        <v>A</v>
      </c>
    </row>
    <row r="2103" spans="1:6" x14ac:dyDescent="0.2">
      <c r="A2103" s="1">
        <v>45247</v>
      </c>
      <c r="B2103" s="5" t="s">
        <v>6</v>
      </c>
      <c r="C2103" s="2">
        <v>1146</v>
      </c>
      <c r="D2103" s="2">
        <v>256</v>
      </c>
      <c r="E2103" s="3">
        <v>4241.3</v>
      </c>
      <c r="F2103" s="4" t="str">
        <f>IF(campaignData[[#This Row],[Campaign]]="Old_Campaign", "A", "B")</f>
        <v>B</v>
      </c>
    </row>
    <row r="2104" spans="1:6" x14ac:dyDescent="0.2">
      <c r="A2104" s="1">
        <v>45248</v>
      </c>
      <c r="B2104" s="5" t="s">
        <v>5</v>
      </c>
      <c r="C2104" s="2">
        <v>1288</v>
      </c>
      <c r="D2104" s="2">
        <v>252</v>
      </c>
      <c r="E2104" s="3">
        <v>3220.69</v>
      </c>
      <c r="F2104" s="4" t="str">
        <f>IF(campaignData[[#This Row],[Campaign]]="Old_Campaign", "A", "B")</f>
        <v>A</v>
      </c>
    </row>
    <row r="2105" spans="1:6" x14ac:dyDescent="0.2">
      <c r="A2105" s="1">
        <v>45248</v>
      </c>
      <c r="B2105" s="5" t="s">
        <v>6</v>
      </c>
      <c r="C2105" s="2">
        <v>1153</v>
      </c>
      <c r="D2105" s="2">
        <v>255</v>
      </c>
      <c r="E2105" s="3">
        <v>4244.8599999999997</v>
      </c>
      <c r="F2105" s="4" t="str">
        <f>IF(campaignData[[#This Row],[Campaign]]="Old_Campaign", "A", "B")</f>
        <v>B</v>
      </c>
    </row>
    <row r="2106" spans="1:6" x14ac:dyDescent="0.2">
      <c r="A2106" s="1">
        <v>45249</v>
      </c>
      <c r="B2106" s="5" t="s">
        <v>5</v>
      </c>
      <c r="C2106" s="2">
        <v>1191</v>
      </c>
      <c r="D2106" s="2">
        <v>222</v>
      </c>
      <c r="E2106" s="3">
        <v>3695.27</v>
      </c>
      <c r="F2106" s="4" t="str">
        <f>IF(campaignData[[#This Row],[Campaign]]="Old_Campaign", "A", "B")</f>
        <v>A</v>
      </c>
    </row>
    <row r="2107" spans="1:6" x14ac:dyDescent="0.2">
      <c r="A2107" s="1">
        <v>45249</v>
      </c>
      <c r="B2107" s="5" t="s">
        <v>6</v>
      </c>
      <c r="C2107" s="2">
        <v>1108</v>
      </c>
      <c r="D2107" s="2">
        <v>244</v>
      </c>
      <c r="E2107" s="3">
        <v>4067.63</v>
      </c>
      <c r="F2107" s="4" t="str">
        <f>IF(campaignData[[#This Row],[Campaign]]="Old_Campaign", "A", "B")</f>
        <v>B</v>
      </c>
    </row>
    <row r="2108" spans="1:6" x14ac:dyDescent="0.2">
      <c r="A2108" s="1">
        <v>45250</v>
      </c>
      <c r="B2108" s="5" t="s">
        <v>5</v>
      </c>
      <c r="C2108" s="2">
        <v>1230</v>
      </c>
      <c r="D2108" s="2">
        <v>266</v>
      </c>
      <c r="E2108" s="3">
        <v>3928.72</v>
      </c>
      <c r="F2108" s="4" t="str">
        <f>IF(campaignData[[#This Row],[Campaign]]="Old_Campaign", "A", "B")</f>
        <v>A</v>
      </c>
    </row>
    <row r="2109" spans="1:6" x14ac:dyDescent="0.2">
      <c r="A2109" s="1">
        <v>45250</v>
      </c>
      <c r="B2109" s="5" t="s">
        <v>6</v>
      </c>
      <c r="C2109" s="2">
        <v>1168</v>
      </c>
      <c r="D2109" s="2">
        <v>271</v>
      </c>
      <c r="E2109" s="3">
        <v>3694.77</v>
      </c>
      <c r="F2109" s="4" t="str">
        <f>IF(campaignData[[#This Row],[Campaign]]="Old_Campaign", "A", "B")</f>
        <v>B</v>
      </c>
    </row>
    <row r="2110" spans="1:6" x14ac:dyDescent="0.2">
      <c r="A2110" s="1">
        <v>45251</v>
      </c>
      <c r="B2110" s="5" t="s">
        <v>5</v>
      </c>
      <c r="C2110" s="2">
        <v>1176</v>
      </c>
      <c r="D2110" s="2">
        <v>242</v>
      </c>
      <c r="E2110" s="3">
        <v>2627.09</v>
      </c>
      <c r="F2110" s="4" t="str">
        <f>IF(campaignData[[#This Row],[Campaign]]="Old_Campaign", "A", "B")</f>
        <v>A</v>
      </c>
    </row>
    <row r="2111" spans="1:6" x14ac:dyDescent="0.2">
      <c r="A2111" s="1">
        <v>45251</v>
      </c>
      <c r="B2111" s="5" t="s">
        <v>6</v>
      </c>
      <c r="C2111" s="2">
        <v>1115</v>
      </c>
      <c r="D2111" s="2">
        <v>264</v>
      </c>
      <c r="E2111" s="3">
        <v>4115.8</v>
      </c>
      <c r="F2111" s="4" t="str">
        <f>IF(campaignData[[#This Row],[Campaign]]="Old_Campaign", "A", "B")</f>
        <v>B</v>
      </c>
    </row>
    <row r="2112" spans="1:6" x14ac:dyDescent="0.2">
      <c r="A2112" s="1">
        <v>45252</v>
      </c>
      <c r="B2112" s="5" t="s">
        <v>5</v>
      </c>
      <c r="C2112" s="2">
        <v>1257</v>
      </c>
      <c r="D2112" s="2">
        <v>244</v>
      </c>
      <c r="E2112" s="3">
        <v>3715.78</v>
      </c>
      <c r="F2112" s="4" t="str">
        <f>IF(campaignData[[#This Row],[Campaign]]="Old_Campaign", "A", "B")</f>
        <v>A</v>
      </c>
    </row>
    <row r="2113" spans="1:6" x14ac:dyDescent="0.2">
      <c r="A2113" s="1">
        <v>45252</v>
      </c>
      <c r="B2113" s="5" t="s">
        <v>6</v>
      </c>
      <c r="C2113" s="2">
        <v>1170</v>
      </c>
      <c r="D2113" s="2">
        <v>246</v>
      </c>
      <c r="E2113" s="3">
        <v>3936.89</v>
      </c>
      <c r="F2113" s="4" t="str">
        <f>IF(campaignData[[#This Row],[Campaign]]="Old_Campaign", "A", "B")</f>
        <v>B</v>
      </c>
    </row>
    <row r="2114" spans="1:6" x14ac:dyDescent="0.2">
      <c r="A2114" s="1">
        <v>45253</v>
      </c>
      <c r="B2114" s="5" t="s">
        <v>5</v>
      </c>
      <c r="C2114" s="2">
        <v>1179</v>
      </c>
      <c r="D2114" s="2">
        <v>221</v>
      </c>
      <c r="E2114" s="3">
        <v>2568.89</v>
      </c>
      <c r="F2114" s="4" t="str">
        <f>IF(campaignData[[#This Row],[Campaign]]="Old_Campaign", "A", "B")</f>
        <v>A</v>
      </c>
    </row>
    <row r="2115" spans="1:6" x14ac:dyDescent="0.2">
      <c r="A2115" s="1">
        <v>45253</v>
      </c>
      <c r="B2115" s="5" t="s">
        <v>6</v>
      </c>
      <c r="C2115" s="2">
        <v>1114</v>
      </c>
      <c r="D2115" s="2">
        <v>285</v>
      </c>
      <c r="E2115" s="3">
        <v>4217.57</v>
      </c>
      <c r="F2115" s="4" t="str">
        <f>IF(campaignData[[#This Row],[Campaign]]="Old_Campaign", "A", "B")</f>
        <v>B</v>
      </c>
    </row>
    <row r="2116" spans="1:6" x14ac:dyDescent="0.2">
      <c r="A2116" s="1">
        <v>45254</v>
      </c>
      <c r="B2116" s="5" t="s">
        <v>5</v>
      </c>
      <c r="C2116" s="2">
        <v>1179</v>
      </c>
      <c r="D2116" s="2">
        <v>229</v>
      </c>
      <c r="E2116" s="3">
        <v>4426.8100000000004</v>
      </c>
      <c r="F2116" s="4" t="str">
        <f>IF(campaignData[[#This Row],[Campaign]]="Old_Campaign", "A", "B")</f>
        <v>A</v>
      </c>
    </row>
    <row r="2117" spans="1:6" x14ac:dyDescent="0.2">
      <c r="A2117" s="1">
        <v>45254</v>
      </c>
      <c r="B2117" s="5" t="s">
        <v>6</v>
      </c>
      <c r="C2117" s="2">
        <v>1171</v>
      </c>
      <c r="D2117" s="2">
        <v>272</v>
      </c>
      <c r="E2117" s="3">
        <v>4925.71</v>
      </c>
      <c r="F2117" s="4" t="str">
        <f>IF(campaignData[[#This Row],[Campaign]]="Old_Campaign", "A", "B")</f>
        <v>B</v>
      </c>
    </row>
    <row r="2118" spans="1:6" x14ac:dyDescent="0.2">
      <c r="A2118" s="1">
        <v>45255</v>
      </c>
      <c r="B2118" s="5" t="s">
        <v>5</v>
      </c>
      <c r="C2118" s="2">
        <v>1218</v>
      </c>
      <c r="D2118" s="2">
        <v>230</v>
      </c>
      <c r="E2118" s="3">
        <v>3251.74</v>
      </c>
      <c r="F2118" s="4" t="str">
        <f>IF(campaignData[[#This Row],[Campaign]]="Old_Campaign", "A", "B")</f>
        <v>A</v>
      </c>
    </row>
    <row r="2119" spans="1:6" x14ac:dyDescent="0.2">
      <c r="A2119" s="1">
        <v>45255</v>
      </c>
      <c r="B2119" s="5" t="s">
        <v>6</v>
      </c>
      <c r="C2119" s="2">
        <v>1187</v>
      </c>
      <c r="D2119" s="2">
        <v>281</v>
      </c>
      <c r="E2119" s="3">
        <v>4361.8999999999996</v>
      </c>
      <c r="F2119" s="4" t="str">
        <f>IF(campaignData[[#This Row],[Campaign]]="Old_Campaign", "A", "B")</f>
        <v>B</v>
      </c>
    </row>
    <row r="2120" spans="1:6" x14ac:dyDescent="0.2">
      <c r="A2120" s="1">
        <v>45256</v>
      </c>
      <c r="B2120" s="5" t="s">
        <v>5</v>
      </c>
      <c r="C2120" s="2">
        <v>1225</v>
      </c>
      <c r="D2120" s="2">
        <v>246</v>
      </c>
      <c r="E2120" s="3">
        <v>4027.89</v>
      </c>
      <c r="F2120" s="4" t="str">
        <f>IF(campaignData[[#This Row],[Campaign]]="Old_Campaign", "A", "B")</f>
        <v>A</v>
      </c>
    </row>
    <row r="2121" spans="1:6" x14ac:dyDescent="0.2">
      <c r="A2121" s="1">
        <v>45256</v>
      </c>
      <c r="B2121" s="5" t="s">
        <v>6</v>
      </c>
      <c r="C2121" s="2">
        <v>1183</v>
      </c>
      <c r="D2121" s="2">
        <v>283</v>
      </c>
      <c r="E2121" s="3">
        <v>4164.7299999999996</v>
      </c>
      <c r="F2121" s="4" t="str">
        <f>IF(campaignData[[#This Row],[Campaign]]="Old_Campaign", "A", "B")</f>
        <v>B</v>
      </c>
    </row>
    <row r="2122" spans="1:6" x14ac:dyDescent="0.2">
      <c r="A2122" s="1">
        <v>45257</v>
      </c>
      <c r="B2122" s="5" t="s">
        <v>5</v>
      </c>
      <c r="C2122" s="2">
        <v>1216</v>
      </c>
      <c r="D2122" s="2">
        <v>235</v>
      </c>
      <c r="E2122" s="3">
        <v>3774.48</v>
      </c>
      <c r="F2122" s="4" t="str">
        <f>IF(campaignData[[#This Row],[Campaign]]="Old_Campaign", "A", "B")</f>
        <v>A</v>
      </c>
    </row>
    <row r="2123" spans="1:6" x14ac:dyDescent="0.2">
      <c r="A2123" s="1">
        <v>45257</v>
      </c>
      <c r="B2123" s="5" t="s">
        <v>6</v>
      </c>
      <c r="C2123" s="2">
        <v>1138</v>
      </c>
      <c r="D2123" s="2">
        <v>246</v>
      </c>
      <c r="E2123" s="3">
        <v>3407.99</v>
      </c>
      <c r="F2123" s="4" t="str">
        <f>IF(campaignData[[#This Row],[Campaign]]="Old_Campaign", "A", "B")</f>
        <v>B</v>
      </c>
    </row>
    <row r="2124" spans="1:6" x14ac:dyDescent="0.2">
      <c r="A2124" s="1">
        <v>45258</v>
      </c>
      <c r="B2124" s="5" t="s">
        <v>5</v>
      </c>
      <c r="C2124" s="2">
        <v>1160</v>
      </c>
      <c r="D2124" s="2">
        <v>214</v>
      </c>
      <c r="E2124" s="3">
        <v>4021.54</v>
      </c>
      <c r="F2124" s="4" t="str">
        <f>IF(campaignData[[#This Row],[Campaign]]="Old_Campaign", "A", "B")</f>
        <v>A</v>
      </c>
    </row>
    <row r="2125" spans="1:6" x14ac:dyDescent="0.2">
      <c r="A2125" s="1">
        <v>45258</v>
      </c>
      <c r="B2125" s="5" t="s">
        <v>6</v>
      </c>
      <c r="C2125" s="2">
        <v>1165</v>
      </c>
      <c r="D2125" s="2">
        <v>252</v>
      </c>
      <c r="E2125" s="3">
        <v>3346.14</v>
      </c>
      <c r="F2125" s="4" t="str">
        <f>IF(campaignData[[#This Row],[Campaign]]="Old_Campaign", "A", "B")</f>
        <v>B</v>
      </c>
    </row>
    <row r="2126" spans="1:6" x14ac:dyDescent="0.2">
      <c r="A2126" s="1">
        <v>45259</v>
      </c>
      <c r="B2126" s="5" t="s">
        <v>5</v>
      </c>
      <c r="C2126" s="2">
        <v>1212</v>
      </c>
      <c r="D2126" s="2">
        <v>221</v>
      </c>
      <c r="E2126" s="3">
        <v>3253</v>
      </c>
      <c r="F2126" s="4" t="str">
        <f>IF(campaignData[[#This Row],[Campaign]]="Old_Campaign", "A", "B")</f>
        <v>A</v>
      </c>
    </row>
    <row r="2127" spans="1:6" x14ac:dyDescent="0.2">
      <c r="A2127" s="1">
        <v>45259</v>
      </c>
      <c r="B2127" s="5" t="s">
        <v>6</v>
      </c>
      <c r="C2127" s="2">
        <v>1110</v>
      </c>
      <c r="D2127" s="2">
        <v>263</v>
      </c>
      <c r="E2127" s="3">
        <v>4031.52</v>
      </c>
      <c r="F2127" s="4" t="str">
        <f>IF(campaignData[[#This Row],[Campaign]]="Old_Campaign", "A", "B")</f>
        <v>B</v>
      </c>
    </row>
    <row r="2128" spans="1:6" x14ac:dyDescent="0.2">
      <c r="A2128" s="1">
        <v>45260</v>
      </c>
      <c r="B2128" s="5" t="s">
        <v>5</v>
      </c>
      <c r="C2128" s="2">
        <v>1140</v>
      </c>
      <c r="D2128" s="2">
        <v>224</v>
      </c>
      <c r="E2128" s="3">
        <v>4082.57</v>
      </c>
      <c r="F2128" s="4" t="str">
        <f>IF(campaignData[[#This Row],[Campaign]]="Old_Campaign", "A", "B")</f>
        <v>A</v>
      </c>
    </row>
    <row r="2129" spans="1:6" x14ac:dyDescent="0.2">
      <c r="A2129" s="1">
        <v>45260</v>
      </c>
      <c r="B2129" s="5" t="s">
        <v>6</v>
      </c>
      <c r="C2129" s="2">
        <v>1164</v>
      </c>
      <c r="D2129" s="2">
        <v>284</v>
      </c>
      <c r="E2129" s="3">
        <v>5081.68</v>
      </c>
      <c r="F2129" s="4" t="str">
        <f>IF(campaignData[[#This Row],[Campaign]]="Old_Campaign", "A", "B")</f>
        <v>B</v>
      </c>
    </row>
    <row r="2130" spans="1:6" x14ac:dyDescent="0.2">
      <c r="A2130" s="1">
        <v>45261</v>
      </c>
      <c r="B2130" s="5" t="s">
        <v>5</v>
      </c>
      <c r="C2130" s="2">
        <v>1178</v>
      </c>
      <c r="D2130" s="2">
        <v>235</v>
      </c>
      <c r="E2130" s="3">
        <v>4024.05</v>
      </c>
      <c r="F2130" s="4" t="str">
        <f>IF(campaignData[[#This Row],[Campaign]]="Old_Campaign", "A", "B")</f>
        <v>A</v>
      </c>
    </row>
    <row r="2131" spans="1:6" x14ac:dyDescent="0.2">
      <c r="A2131" s="1">
        <v>45261</v>
      </c>
      <c r="B2131" s="5" t="s">
        <v>6</v>
      </c>
      <c r="C2131" s="2">
        <v>1196</v>
      </c>
      <c r="D2131" s="2">
        <v>272</v>
      </c>
      <c r="E2131" s="3">
        <v>5121.2299999999996</v>
      </c>
      <c r="F2131" s="4" t="str">
        <f>IF(campaignData[[#This Row],[Campaign]]="Old_Campaign", "A", "B")</f>
        <v>B</v>
      </c>
    </row>
    <row r="2132" spans="1:6" x14ac:dyDescent="0.2">
      <c r="A2132" s="1">
        <v>45262</v>
      </c>
      <c r="B2132" s="5" t="s">
        <v>5</v>
      </c>
      <c r="C2132" s="2">
        <v>1218</v>
      </c>
      <c r="D2132" s="2">
        <v>226</v>
      </c>
      <c r="E2132" s="3">
        <v>3305.45</v>
      </c>
      <c r="F2132" s="4" t="str">
        <f>IF(campaignData[[#This Row],[Campaign]]="Old_Campaign", "A", "B")</f>
        <v>A</v>
      </c>
    </row>
    <row r="2133" spans="1:6" x14ac:dyDescent="0.2">
      <c r="A2133" s="1">
        <v>45262</v>
      </c>
      <c r="B2133" s="5" t="s">
        <v>6</v>
      </c>
      <c r="C2133" s="2">
        <v>1158</v>
      </c>
      <c r="D2133" s="2">
        <v>295</v>
      </c>
      <c r="E2133" s="3">
        <v>4776.32</v>
      </c>
      <c r="F2133" s="4" t="str">
        <f>IF(campaignData[[#This Row],[Campaign]]="Old_Campaign", "A", "B")</f>
        <v>B</v>
      </c>
    </row>
    <row r="2134" spans="1:6" x14ac:dyDescent="0.2">
      <c r="A2134" s="1">
        <v>45263</v>
      </c>
      <c r="B2134" s="5" t="s">
        <v>5</v>
      </c>
      <c r="C2134" s="2">
        <v>1150</v>
      </c>
      <c r="D2134" s="2">
        <v>233</v>
      </c>
      <c r="E2134" s="3">
        <v>3516.73</v>
      </c>
      <c r="F2134" s="4" t="str">
        <f>IF(campaignData[[#This Row],[Campaign]]="Old_Campaign", "A", "B")</f>
        <v>A</v>
      </c>
    </row>
    <row r="2135" spans="1:6" x14ac:dyDescent="0.2">
      <c r="A2135" s="1">
        <v>45263</v>
      </c>
      <c r="B2135" s="5" t="s">
        <v>6</v>
      </c>
      <c r="C2135" s="2">
        <v>1139</v>
      </c>
      <c r="D2135" s="2">
        <v>264</v>
      </c>
      <c r="E2135" s="3">
        <v>3948.97</v>
      </c>
      <c r="F2135" s="4" t="str">
        <f>IF(campaignData[[#This Row],[Campaign]]="Old_Campaign", "A", "B")</f>
        <v>B</v>
      </c>
    </row>
    <row r="2136" spans="1:6" x14ac:dyDescent="0.2">
      <c r="A2136" s="1">
        <v>45264</v>
      </c>
      <c r="B2136" s="5" t="s">
        <v>5</v>
      </c>
      <c r="C2136" s="2">
        <v>1168</v>
      </c>
      <c r="D2136" s="2">
        <v>194</v>
      </c>
      <c r="E2136" s="3">
        <v>3031.08</v>
      </c>
      <c r="F2136" s="4" t="str">
        <f>IF(campaignData[[#This Row],[Campaign]]="Old_Campaign", "A", "B")</f>
        <v>A</v>
      </c>
    </row>
    <row r="2137" spans="1:6" x14ac:dyDescent="0.2">
      <c r="A2137" s="1">
        <v>45264</v>
      </c>
      <c r="B2137" s="5" t="s">
        <v>6</v>
      </c>
      <c r="C2137" s="2">
        <v>1139</v>
      </c>
      <c r="D2137" s="2">
        <v>264</v>
      </c>
      <c r="E2137" s="3">
        <v>4677.17</v>
      </c>
      <c r="F2137" s="4" t="str">
        <f>IF(campaignData[[#This Row],[Campaign]]="Old_Campaign", "A", "B")</f>
        <v>B</v>
      </c>
    </row>
    <row r="2138" spans="1:6" x14ac:dyDescent="0.2">
      <c r="A2138" s="1">
        <v>45265</v>
      </c>
      <c r="B2138" s="5" t="s">
        <v>5</v>
      </c>
      <c r="C2138" s="2">
        <v>1220</v>
      </c>
      <c r="D2138" s="2">
        <v>239</v>
      </c>
      <c r="E2138" s="3">
        <v>3492.75</v>
      </c>
      <c r="F2138" s="4" t="str">
        <f>IF(campaignData[[#This Row],[Campaign]]="Old_Campaign", "A", "B")</f>
        <v>A</v>
      </c>
    </row>
    <row r="2139" spans="1:6" x14ac:dyDescent="0.2">
      <c r="A2139" s="1">
        <v>45265</v>
      </c>
      <c r="B2139" s="5" t="s">
        <v>6</v>
      </c>
      <c r="C2139" s="2">
        <v>1147</v>
      </c>
      <c r="D2139" s="2">
        <v>270</v>
      </c>
      <c r="E2139" s="3">
        <v>3357.66</v>
      </c>
      <c r="F2139" s="4" t="str">
        <f>IF(campaignData[[#This Row],[Campaign]]="Old_Campaign", "A", "B")</f>
        <v>B</v>
      </c>
    </row>
    <row r="2140" spans="1:6" x14ac:dyDescent="0.2">
      <c r="A2140" s="1">
        <v>45266</v>
      </c>
      <c r="B2140" s="5" t="s">
        <v>5</v>
      </c>
      <c r="C2140" s="2">
        <v>1210</v>
      </c>
      <c r="D2140" s="2">
        <v>240</v>
      </c>
      <c r="E2140" s="3">
        <v>3172.87</v>
      </c>
      <c r="F2140" s="4" t="str">
        <f>IF(campaignData[[#This Row],[Campaign]]="Old_Campaign", "A", "B")</f>
        <v>A</v>
      </c>
    </row>
    <row r="2141" spans="1:6" x14ac:dyDescent="0.2">
      <c r="A2141" s="1">
        <v>45266</v>
      </c>
      <c r="B2141" s="5" t="s">
        <v>6</v>
      </c>
      <c r="C2141" s="2">
        <v>1204</v>
      </c>
      <c r="D2141" s="2">
        <v>277</v>
      </c>
      <c r="E2141" s="3">
        <v>3899.73</v>
      </c>
      <c r="F2141" s="4" t="str">
        <f>IF(campaignData[[#This Row],[Campaign]]="Old_Campaign", "A", "B")</f>
        <v>B</v>
      </c>
    </row>
    <row r="2142" spans="1:6" x14ac:dyDescent="0.2">
      <c r="A2142" s="1">
        <v>45267</v>
      </c>
      <c r="B2142" s="5" t="s">
        <v>5</v>
      </c>
      <c r="C2142" s="2">
        <v>1160</v>
      </c>
      <c r="D2142" s="2">
        <v>226</v>
      </c>
      <c r="E2142" s="3">
        <v>3701.2</v>
      </c>
      <c r="F2142" s="4" t="str">
        <f>IF(campaignData[[#This Row],[Campaign]]="Old_Campaign", "A", "B")</f>
        <v>A</v>
      </c>
    </row>
    <row r="2143" spans="1:6" x14ac:dyDescent="0.2">
      <c r="A2143" s="1">
        <v>45267</v>
      </c>
      <c r="B2143" s="5" t="s">
        <v>6</v>
      </c>
      <c r="C2143" s="2">
        <v>1157</v>
      </c>
      <c r="D2143" s="2">
        <v>286</v>
      </c>
      <c r="E2143" s="3">
        <v>4441.8599999999997</v>
      </c>
      <c r="F2143" s="4" t="str">
        <f>IF(campaignData[[#This Row],[Campaign]]="Old_Campaign", "A", "B")</f>
        <v>B</v>
      </c>
    </row>
    <row r="2144" spans="1:6" x14ac:dyDescent="0.2">
      <c r="A2144" s="1">
        <v>45268</v>
      </c>
      <c r="B2144" s="5" t="s">
        <v>5</v>
      </c>
      <c r="C2144" s="2">
        <v>1132</v>
      </c>
      <c r="D2144" s="2">
        <v>204</v>
      </c>
      <c r="E2144" s="3">
        <v>3404.87</v>
      </c>
      <c r="F2144" s="4" t="str">
        <f>IF(campaignData[[#This Row],[Campaign]]="Old_Campaign", "A", "B")</f>
        <v>A</v>
      </c>
    </row>
    <row r="2145" spans="1:6" x14ac:dyDescent="0.2">
      <c r="A2145" s="1">
        <v>45268</v>
      </c>
      <c r="B2145" s="5" t="s">
        <v>6</v>
      </c>
      <c r="C2145" s="2">
        <v>1141</v>
      </c>
      <c r="D2145" s="2">
        <v>260</v>
      </c>
      <c r="E2145" s="3">
        <v>4473.97</v>
      </c>
      <c r="F2145" s="4" t="str">
        <f>IF(campaignData[[#This Row],[Campaign]]="Old_Campaign", "A", "B")</f>
        <v>B</v>
      </c>
    </row>
    <row r="2146" spans="1:6" x14ac:dyDescent="0.2">
      <c r="A2146" s="1">
        <v>45269</v>
      </c>
      <c r="B2146" s="5" t="s">
        <v>5</v>
      </c>
      <c r="C2146" s="2">
        <v>1184</v>
      </c>
      <c r="D2146" s="2">
        <v>226</v>
      </c>
      <c r="E2146" s="3">
        <v>3627.72</v>
      </c>
      <c r="F2146" s="4" t="str">
        <f>IF(campaignData[[#This Row],[Campaign]]="Old_Campaign", "A", "B")</f>
        <v>A</v>
      </c>
    </row>
    <row r="2147" spans="1:6" x14ac:dyDescent="0.2">
      <c r="A2147" s="1">
        <v>45269</v>
      </c>
      <c r="B2147" s="5" t="s">
        <v>6</v>
      </c>
      <c r="C2147" s="2">
        <v>1140</v>
      </c>
      <c r="D2147" s="2">
        <v>261</v>
      </c>
      <c r="E2147" s="3">
        <v>4303.3100000000004</v>
      </c>
      <c r="F2147" s="4" t="str">
        <f>IF(campaignData[[#This Row],[Campaign]]="Old_Campaign", "A", "B")</f>
        <v>B</v>
      </c>
    </row>
    <row r="2148" spans="1:6" x14ac:dyDescent="0.2">
      <c r="A2148" s="1">
        <v>45270</v>
      </c>
      <c r="B2148" s="5" t="s">
        <v>5</v>
      </c>
      <c r="C2148" s="2">
        <v>1178</v>
      </c>
      <c r="D2148" s="2">
        <v>216</v>
      </c>
      <c r="E2148" s="3">
        <v>3859.33</v>
      </c>
      <c r="F2148" s="4" t="str">
        <f>IF(campaignData[[#This Row],[Campaign]]="Old_Campaign", "A", "B")</f>
        <v>A</v>
      </c>
    </row>
    <row r="2149" spans="1:6" x14ac:dyDescent="0.2">
      <c r="A2149" s="1">
        <v>45270</v>
      </c>
      <c r="B2149" s="5" t="s">
        <v>6</v>
      </c>
      <c r="C2149" s="2">
        <v>1126</v>
      </c>
      <c r="D2149" s="2">
        <v>268</v>
      </c>
      <c r="E2149" s="3">
        <v>4390.62</v>
      </c>
      <c r="F2149" s="4" t="str">
        <f>IF(campaignData[[#This Row],[Campaign]]="Old_Campaign", "A", "B")</f>
        <v>B</v>
      </c>
    </row>
    <row r="2150" spans="1:6" x14ac:dyDescent="0.2">
      <c r="A2150" s="1">
        <v>45271</v>
      </c>
      <c r="B2150" s="5" t="s">
        <v>5</v>
      </c>
      <c r="C2150" s="2">
        <v>1238</v>
      </c>
      <c r="D2150" s="2">
        <v>245</v>
      </c>
      <c r="E2150" s="3">
        <v>3382.28</v>
      </c>
      <c r="F2150" s="4" t="str">
        <f>IF(campaignData[[#This Row],[Campaign]]="Old_Campaign", "A", "B")</f>
        <v>A</v>
      </c>
    </row>
    <row r="2151" spans="1:6" x14ac:dyDescent="0.2">
      <c r="A2151" s="1">
        <v>45271</v>
      </c>
      <c r="B2151" s="5" t="s">
        <v>6</v>
      </c>
      <c r="C2151" s="2">
        <v>1134</v>
      </c>
      <c r="D2151" s="2">
        <v>252</v>
      </c>
      <c r="E2151" s="3">
        <v>4087.65</v>
      </c>
      <c r="F2151" s="4" t="str">
        <f>IF(campaignData[[#This Row],[Campaign]]="Old_Campaign", "A", "B")</f>
        <v>B</v>
      </c>
    </row>
    <row r="2152" spans="1:6" x14ac:dyDescent="0.2">
      <c r="A2152" s="1">
        <v>45272</v>
      </c>
      <c r="B2152" s="5" t="s">
        <v>5</v>
      </c>
      <c r="C2152" s="2">
        <v>1226</v>
      </c>
      <c r="D2152" s="2">
        <v>244</v>
      </c>
      <c r="E2152" s="3">
        <v>4061.62</v>
      </c>
      <c r="F2152" s="4" t="str">
        <f>IF(campaignData[[#This Row],[Campaign]]="Old_Campaign", "A", "B")</f>
        <v>A</v>
      </c>
    </row>
    <row r="2153" spans="1:6" x14ac:dyDescent="0.2">
      <c r="A2153" s="1">
        <v>45272</v>
      </c>
      <c r="B2153" s="5" t="s">
        <v>6</v>
      </c>
      <c r="C2153" s="2">
        <v>1164</v>
      </c>
      <c r="D2153" s="2">
        <v>272</v>
      </c>
      <c r="E2153" s="3">
        <v>4374.6000000000004</v>
      </c>
      <c r="F2153" s="4" t="str">
        <f>IF(campaignData[[#This Row],[Campaign]]="Old_Campaign", "A", "B")</f>
        <v>B</v>
      </c>
    </row>
    <row r="2154" spans="1:6" x14ac:dyDescent="0.2">
      <c r="A2154" s="1">
        <v>45273</v>
      </c>
      <c r="B2154" s="5" t="s">
        <v>5</v>
      </c>
      <c r="C2154" s="2">
        <v>1201</v>
      </c>
      <c r="D2154" s="2">
        <v>212</v>
      </c>
      <c r="E2154" s="3">
        <v>2457.2399999999998</v>
      </c>
      <c r="F2154" s="4" t="str">
        <f>IF(campaignData[[#This Row],[Campaign]]="Old_Campaign", "A", "B")</f>
        <v>A</v>
      </c>
    </row>
    <row r="2155" spans="1:6" x14ac:dyDescent="0.2">
      <c r="A2155" s="1">
        <v>45273</v>
      </c>
      <c r="B2155" s="5" t="s">
        <v>6</v>
      </c>
      <c r="C2155" s="2">
        <v>1176</v>
      </c>
      <c r="D2155" s="2">
        <v>251</v>
      </c>
      <c r="E2155" s="3">
        <v>3974.27</v>
      </c>
      <c r="F2155" s="4" t="str">
        <f>IF(campaignData[[#This Row],[Campaign]]="Old_Campaign", "A", "B")</f>
        <v>B</v>
      </c>
    </row>
    <row r="2156" spans="1:6" x14ac:dyDescent="0.2">
      <c r="A2156" s="1">
        <v>45274</v>
      </c>
      <c r="B2156" s="5" t="s">
        <v>5</v>
      </c>
      <c r="C2156" s="2">
        <v>1164</v>
      </c>
      <c r="D2156" s="2">
        <v>231</v>
      </c>
      <c r="E2156" s="3">
        <v>3324.39</v>
      </c>
      <c r="F2156" s="4" t="str">
        <f>IF(campaignData[[#This Row],[Campaign]]="Old_Campaign", "A", "B")</f>
        <v>A</v>
      </c>
    </row>
    <row r="2157" spans="1:6" x14ac:dyDescent="0.2">
      <c r="A2157" s="1">
        <v>45274</v>
      </c>
      <c r="B2157" s="5" t="s">
        <v>6</v>
      </c>
      <c r="C2157" s="2">
        <v>1166</v>
      </c>
      <c r="D2157" s="2">
        <v>270</v>
      </c>
      <c r="E2157" s="3">
        <v>4151.0200000000004</v>
      </c>
      <c r="F2157" s="4" t="str">
        <f>IF(campaignData[[#This Row],[Campaign]]="Old_Campaign", "A", "B")</f>
        <v>B</v>
      </c>
    </row>
    <row r="2158" spans="1:6" x14ac:dyDescent="0.2">
      <c r="A2158" s="1">
        <v>45275</v>
      </c>
      <c r="B2158" s="5" t="s">
        <v>5</v>
      </c>
      <c r="C2158" s="2">
        <v>1137</v>
      </c>
      <c r="D2158" s="2">
        <v>204</v>
      </c>
      <c r="E2158" s="3">
        <v>2722.06</v>
      </c>
      <c r="F2158" s="4" t="str">
        <f>IF(campaignData[[#This Row],[Campaign]]="Old_Campaign", "A", "B")</f>
        <v>A</v>
      </c>
    </row>
    <row r="2159" spans="1:6" x14ac:dyDescent="0.2">
      <c r="A2159" s="1">
        <v>45275</v>
      </c>
      <c r="B2159" s="5" t="s">
        <v>6</v>
      </c>
      <c r="C2159" s="2">
        <v>1203</v>
      </c>
      <c r="D2159" s="2">
        <v>292</v>
      </c>
      <c r="E2159" s="3">
        <v>4742.2</v>
      </c>
      <c r="F2159" s="4" t="str">
        <f>IF(campaignData[[#This Row],[Campaign]]="Old_Campaign", "A", "B")</f>
        <v>B</v>
      </c>
    </row>
    <row r="2160" spans="1:6" x14ac:dyDescent="0.2">
      <c r="A2160" s="1">
        <v>45276</v>
      </c>
      <c r="B2160" s="5" t="s">
        <v>5</v>
      </c>
      <c r="C2160" s="2">
        <v>1169</v>
      </c>
      <c r="D2160" s="2">
        <v>243</v>
      </c>
      <c r="E2160" s="3">
        <v>3536.83</v>
      </c>
      <c r="F2160" s="4" t="str">
        <f>IF(campaignData[[#This Row],[Campaign]]="Old_Campaign", "A", "B")</f>
        <v>A</v>
      </c>
    </row>
    <row r="2161" spans="1:6" x14ac:dyDescent="0.2">
      <c r="A2161" s="1">
        <v>45276</v>
      </c>
      <c r="B2161" s="5" t="s">
        <v>6</v>
      </c>
      <c r="C2161" s="2">
        <v>1122</v>
      </c>
      <c r="D2161" s="2">
        <v>273</v>
      </c>
      <c r="E2161" s="3">
        <v>3449.65</v>
      </c>
      <c r="F2161" s="4" t="str">
        <f>IF(campaignData[[#This Row],[Campaign]]="Old_Campaign", "A", "B")</f>
        <v>B</v>
      </c>
    </row>
    <row r="2162" spans="1:6" x14ac:dyDescent="0.2">
      <c r="A2162" s="1">
        <v>45277</v>
      </c>
      <c r="B2162" s="5" t="s">
        <v>5</v>
      </c>
      <c r="C2162" s="2">
        <v>1251</v>
      </c>
      <c r="D2162" s="2">
        <v>221</v>
      </c>
      <c r="E2162" s="3">
        <v>3120.12</v>
      </c>
      <c r="F2162" s="4" t="str">
        <f>IF(campaignData[[#This Row],[Campaign]]="Old_Campaign", "A", "B")</f>
        <v>A</v>
      </c>
    </row>
    <row r="2163" spans="1:6" x14ac:dyDescent="0.2">
      <c r="A2163" s="1">
        <v>45277</v>
      </c>
      <c r="B2163" s="5" t="s">
        <v>6</v>
      </c>
      <c r="C2163" s="2">
        <v>1114</v>
      </c>
      <c r="D2163" s="2">
        <v>248</v>
      </c>
      <c r="E2163" s="3">
        <v>3414.24</v>
      </c>
      <c r="F2163" s="4" t="str">
        <f>IF(campaignData[[#This Row],[Campaign]]="Old_Campaign", "A", "B")</f>
        <v>B</v>
      </c>
    </row>
    <row r="2164" spans="1:6" x14ac:dyDescent="0.2">
      <c r="A2164" s="1">
        <v>45278</v>
      </c>
      <c r="B2164" s="5" t="s">
        <v>5</v>
      </c>
      <c r="C2164" s="2">
        <v>1169</v>
      </c>
      <c r="D2164" s="2">
        <v>212</v>
      </c>
      <c r="E2164" s="3">
        <v>3963.83</v>
      </c>
      <c r="F2164" s="4" t="str">
        <f>IF(campaignData[[#This Row],[Campaign]]="Old_Campaign", "A", "B")</f>
        <v>A</v>
      </c>
    </row>
    <row r="2165" spans="1:6" x14ac:dyDescent="0.2">
      <c r="A2165" s="1">
        <v>45278</v>
      </c>
      <c r="B2165" s="5" t="s">
        <v>6</v>
      </c>
      <c r="C2165" s="2">
        <v>1177</v>
      </c>
      <c r="D2165" s="2">
        <v>270</v>
      </c>
      <c r="E2165" s="3">
        <v>3613.87</v>
      </c>
      <c r="F2165" s="4" t="str">
        <f>IF(campaignData[[#This Row],[Campaign]]="Old_Campaign", "A", "B")</f>
        <v>B</v>
      </c>
    </row>
    <row r="2166" spans="1:6" x14ac:dyDescent="0.2">
      <c r="A2166" s="1">
        <v>45279</v>
      </c>
      <c r="B2166" s="5" t="s">
        <v>5</v>
      </c>
      <c r="C2166" s="2">
        <v>1179</v>
      </c>
      <c r="D2166" s="2">
        <v>213</v>
      </c>
      <c r="E2166" s="3">
        <v>3008.05</v>
      </c>
      <c r="F2166" s="4" t="str">
        <f>IF(campaignData[[#This Row],[Campaign]]="Old_Campaign", "A", "B")</f>
        <v>A</v>
      </c>
    </row>
    <row r="2167" spans="1:6" x14ac:dyDescent="0.2">
      <c r="A2167" s="1">
        <v>45279</v>
      </c>
      <c r="B2167" s="5" t="s">
        <v>6</v>
      </c>
      <c r="C2167" s="2">
        <v>1147</v>
      </c>
      <c r="D2167" s="2">
        <v>246</v>
      </c>
      <c r="E2167" s="3">
        <v>3375.58</v>
      </c>
      <c r="F2167" s="4" t="str">
        <f>IF(campaignData[[#This Row],[Campaign]]="Old_Campaign", "A", "B")</f>
        <v>B</v>
      </c>
    </row>
    <row r="2168" spans="1:6" x14ac:dyDescent="0.2">
      <c r="A2168" s="1">
        <v>45280</v>
      </c>
      <c r="B2168" s="5" t="s">
        <v>5</v>
      </c>
      <c r="C2168" s="2">
        <v>1228</v>
      </c>
      <c r="D2168" s="2">
        <v>232</v>
      </c>
      <c r="E2168" s="3">
        <v>4132.22</v>
      </c>
      <c r="F2168" s="4" t="str">
        <f>IF(campaignData[[#This Row],[Campaign]]="Old_Campaign", "A", "B")</f>
        <v>A</v>
      </c>
    </row>
    <row r="2169" spans="1:6" x14ac:dyDescent="0.2">
      <c r="A2169" s="1">
        <v>45280</v>
      </c>
      <c r="B2169" s="5" t="s">
        <v>6</v>
      </c>
      <c r="C2169" s="2">
        <v>1146</v>
      </c>
      <c r="D2169" s="2">
        <v>271</v>
      </c>
      <c r="E2169" s="3">
        <v>4444.8</v>
      </c>
      <c r="F2169" s="4" t="str">
        <f>IF(campaignData[[#This Row],[Campaign]]="Old_Campaign", "A", "B")</f>
        <v>B</v>
      </c>
    </row>
    <row r="2170" spans="1:6" x14ac:dyDescent="0.2">
      <c r="A2170" s="1">
        <v>45281</v>
      </c>
      <c r="B2170" s="5" t="s">
        <v>5</v>
      </c>
      <c r="C2170" s="2">
        <v>1191</v>
      </c>
      <c r="D2170" s="2">
        <v>234</v>
      </c>
      <c r="E2170" s="3">
        <v>3184.06</v>
      </c>
      <c r="F2170" s="4" t="str">
        <f>IF(campaignData[[#This Row],[Campaign]]="Old_Campaign", "A", "B")</f>
        <v>A</v>
      </c>
    </row>
    <row r="2171" spans="1:6" x14ac:dyDescent="0.2">
      <c r="A2171" s="1">
        <v>45281</v>
      </c>
      <c r="B2171" s="5" t="s">
        <v>6</v>
      </c>
      <c r="C2171" s="2">
        <v>1156</v>
      </c>
      <c r="D2171" s="2">
        <v>247</v>
      </c>
      <c r="E2171" s="3">
        <v>4872.91</v>
      </c>
      <c r="F2171" s="4" t="str">
        <f>IF(campaignData[[#This Row],[Campaign]]="Old_Campaign", "A", "B")</f>
        <v>B</v>
      </c>
    </row>
    <row r="2172" spans="1:6" x14ac:dyDescent="0.2">
      <c r="A2172" s="1">
        <v>45282</v>
      </c>
      <c r="B2172" s="5" t="s">
        <v>5</v>
      </c>
      <c r="C2172" s="2">
        <v>1235</v>
      </c>
      <c r="D2172" s="2">
        <v>235</v>
      </c>
      <c r="E2172" s="3">
        <v>4701.49</v>
      </c>
      <c r="F2172" s="4" t="str">
        <f>IF(campaignData[[#This Row],[Campaign]]="Old_Campaign", "A", "B")</f>
        <v>A</v>
      </c>
    </row>
    <row r="2173" spans="1:6" x14ac:dyDescent="0.2">
      <c r="A2173" s="1">
        <v>45282</v>
      </c>
      <c r="B2173" s="5" t="s">
        <v>6</v>
      </c>
      <c r="C2173" s="2">
        <v>1128</v>
      </c>
      <c r="D2173" s="2">
        <v>270</v>
      </c>
      <c r="E2173" s="3">
        <v>4058.65</v>
      </c>
      <c r="F2173" s="4" t="str">
        <f>IF(campaignData[[#This Row],[Campaign]]="Old_Campaign", "A", "B")</f>
        <v>B</v>
      </c>
    </row>
    <row r="2174" spans="1:6" x14ac:dyDescent="0.2">
      <c r="A2174" s="1">
        <v>45283</v>
      </c>
      <c r="B2174" s="5" t="s">
        <v>5</v>
      </c>
      <c r="C2174" s="2">
        <v>1193</v>
      </c>
      <c r="D2174" s="2">
        <v>217</v>
      </c>
      <c r="E2174" s="3">
        <v>3395.77</v>
      </c>
      <c r="F2174" s="4" t="str">
        <f>IF(campaignData[[#This Row],[Campaign]]="Old_Campaign", "A", "B")</f>
        <v>A</v>
      </c>
    </row>
    <row r="2175" spans="1:6" x14ac:dyDescent="0.2">
      <c r="A2175" s="1">
        <v>45283</v>
      </c>
      <c r="B2175" s="5" t="s">
        <v>6</v>
      </c>
      <c r="C2175" s="2">
        <v>1215</v>
      </c>
      <c r="D2175" s="2">
        <v>273</v>
      </c>
      <c r="E2175" s="3">
        <v>3802.16</v>
      </c>
      <c r="F2175" s="4" t="str">
        <f>IF(campaignData[[#This Row],[Campaign]]="Old_Campaign", "A", "B")</f>
        <v>B</v>
      </c>
    </row>
    <row r="2176" spans="1:6" x14ac:dyDescent="0.2">
      <c r="A2176" s="1">
        <v>45284</v>
      </c>
      <c r="B2176" s="5" t="s">
        <v>5</v>
      </c>
      <c r="C2176" s="2">
        <v>1187</v>
      </c>
      <c r="D2176" s="2">
        <v>235</v>
      </c>
      <c r="E2176" s="3">
        <v>2964.11</v>
      </c>
      <c r="F2176" s="4" t="str">
        <f>IF(campaignData[[#This Row],[Campaign]]="Old_Campaign", "A", "B")</f>
        <v>A</v>
      </c>
    </row>
    <row r="2177" spans="1:6" x14ac:dyDescent="0.2">
      <c r="A2177" s="1">
        <v>45284</v>
      </c>
      <c r="B2177" s="5" t="s">
        <v>6</v>
      </c>
      <c r="C2177" s="2">
        <v>1130</v>
      </c>
      <c r="D2177" s="2">
        <v>286</v>
      </c>
      <c r="E2177" s="3">
        <v>3527.43</v>
      </c>
      <c r="F2177" s="4" t="str">
        <f>IF(campaignData[[#This Row],[Campaign]]="Old_Campaign", "A", "B")</f>
        <v>B</v>
      </c>
    </row>
    <row r="2178" spans="1:6" x14ac:dyDescent="0.2">
      <c r="A2178" s="1">
        <v>45285</v>
      </c>
      <c r="B2178" s="5" t="s">
        <v>5</v>
      </c>
      <c r="C2178" s="2">
        <v>1166</v>
      </c>
      <c r="D2178" s="2">
        <v>234</v>
      </c>
      <c r="E2178" s="3">
        <v>2962.76</v>
      </c>
      <c r="F2178" s="4" t="str">
        <f>IF(campaignData[[#This Row],[Campaign]]="Old_Campaign", "A", "B")</f>
        <v>A</v>
      </c>
    </row>
    <row r="2179" spans="1:6" x14ac:dyDescent="0.2">
      <c r="A2179" s="1">
        <v>45285</v>
      </c>
      <c r="B2179" s="5" t="s">
        <v>6</v>
      </c>
      <c r="C2179" s="2">
        <v>1145</v>
      </c>
      <c r="D2179" s="2">
        <v>235</v>
      </c>
      <c r="E2179" s="3">
        <v>3689.43</v>
      </c>
      <c r="F2179" s="4" t="str">
        <f>IF(campaignData[[#This Row],[Campaign]]="Old_Campaign", "A", "B")</f>
        <v>B</v>
      </c>
    </row>
    <row r="2180" spans="1:6" x14ac:dyDescent="0.2">
      <c r="A2180" s="1">
        <v>45286</v>
      </c>
      <c r="B2180" s="5" t="s">
        <v>5</v>
      </c>
      <c r="C2180" s="2">
        <v>1142</v>
      </c>
      <c r="D2180" s="2">
        <v>216</v>
      </c>
      <c r="E2180" s="3">
        <v>3273.3</v>
      </c>
      <c r="F2180" s="4" t="str">
        <f>IF(campaignData[[#This Row],[Campaign]]="Old_Campaign", "A", "B")</f>
        <v>A</v>
      </c>
    </row>
    <row r="2181" spans="1:6" x14ac:dyDescent="0.2">
      <c r="A2181" s="1">
        <v>45286</v>
      </c>
      <c r="B2181" s="5" t="s">
        <v>6</v>
      </c>
      <c r="C2181" s="2">
        <v>1133</v>
      </c>
      <c r="D2181" s="2">
        <v>274</v>
      </c>
      <c r="E2181" s="3">
        <v>4962.5200000000004</v>
      </c>
      <c r="F2181" s="4" t="str">
        <f>IF(campaignData[[#This Row],[Campaign]]="Old_Campaign", "A", "B")</f>
        <v>B</v>
      </c>
    </row>
    <row r="2182" spans="1:6" x14ac:dyDescent="0.2">
      <c r="A2182" s="1">
        <v>45287</v>
      </c>
      <c r="B2182" s="5" t="s">
        <v>5</v>
      </c>
      <c r="C2182" s="2">
        <v>1183</v>
      </c>
      <c r="D2182" s="2">
        <v>235</v>
      </c>
      <c r="E2182" s="3">
        <v>4239.09</v>
      </c>
      <c r="F2182" s="4" t="str">
        <f>IF(campaignData[[#This Row],[Campaign]]="Old_Campaign", "A", "B")</f>
        <v>A</v>
      </c>
    </row>
    <row r="2183" spans="1:6" x14ac:dyDescent="0.2">
      <c r="A2183" s="1">
        <v>45287</v>
      </c>
      <c r="B2183" s="5" t="s">
        <v>6</v>
      </c>
      <c r="C2183" s="2">
        <v>1134</v>
      </c>
      <c r="D2183" s="2">
        <v>267</v>
      </c>
      <c r="E2183" s="3">
        <v>4334.3</v>
      </c>
      <c r="F2183" s="4" t="str">
        <f>IF(campaignData[[#This Row],[Campaign]]="Old_Campaign", "A", "B")</f>
        <v>B</v>
      </c>
    </row>
    <row r="2184" spans="1:6" x14ac:dyDescent="0.2">
      <c r="A2184" s="1">
        <v>45288</v>
      </c>
      <c r="B2184" s="5" t="s">
        <v>5</v>
      </c>
      <c r="C2184" s="2">
        <v>1222</v>
      </c>
      <c r="D2184" s="2">
        <v>245</v>
      </c>
      <c r="E2184" s="3">
        <v>3636.82</v>
      </c>
      <c r="F2184" s="4" t="str">
        <f>IF(campaignData[[#This Row],[Campaign]]="Old_Campaign", "A", "B")</f>
        <v>A</v>
      </c>
    </row>
    <row r="2185" spans="1:6" x14ac:dyDescent="0.2">
      <c r="A2185" s="1">
        <v>45288</v>
      </c>
      <c r="B2185" s="5" t="s">
        <v>6</v>
      </c>
      <c r="C2185" s="2">
        <v>1162</v>
      </c>
      <c r="D2185" s="2">
        <v>284</v>
      </c>
      <c r="E2185" s="3">
        <v>4856.16</v>
      </c>
      <c r="F2185" s="4" t="str">
        <f>IF(campaignData[[#This Row],[Campaign]]="Old_Campaign", "A", "B")</f>
        <v>B</v>
      </c>
    </row>
    <row r="2186" spans="1:6" x14ac:dyDescent="0.2">
      <c r="A2186" s="1">
        <v>45289</v>
      </c>
      <c r="B2186" s="5" t="s">
        <v>5</v>
      </c>
      <c r="C2186" s="2">
        <v>1227</v>
      </c>
      <c r="D2186" s="2">
        <v>243</v>
      </c>
      <c r="E2186" s="3">
        <v>3024.34</v>
      </c>
      <c r="F2186" s="4" t="str">
        <f>IF(campaignData[[#This Row],[Campaign]]="Old_Campaign", "A", "B")</f>
        <v>A</v>
      </c>
    </row>
    <row r="2187" spans="1:6" x14ac:dyDescent="0.2">
      <c r="A2187" s="1">
        <v>45289</v>
      </c>
      <c r="B2187" s="5" t="s">
        <v>6</v>
      </c>
      <c r="C2187" s="2">
        <v>1166</v>
      </c>
      <c r="D2187" s="2">
        <v>247</v>
      </c>
      <c r="E2187" s="3">
        <v>3416.9</v>
      </c>
      <c r="F2187" s="4" t="str">
        <f>IF(campaignData[[#This Row],[Campaign]]="Old_Campaign", "A", "B")</f>
        <v>B</v>
      </c>
    </row>
    <row r="2188" spans="1:6" x14ac:dyDescent="0.2">
      <c r="A2188" s="1">
        <v>45290</v>
      </c>
      <c r="B2188" s="5" t="s">
        <v>5</v>
      </c>
      <c r="C2188" s="2">
        <v>1187</v>
      </c>
      <c r="D2188" s="2">
        <v>222</v>
      </c>
      <c r="E2188" s="3">
        <v>3181.44</v>
      </c>
      <c r="F2188" s="4" t="str">
        <f>IF(campaignData[[#This Row],[Campaign]]="Old_Campaign", "A", "B")</f>
        <v>A</v>
      </c>
    </row>
    <row r="2189" spans="1:6" x14ac:dyDescent="0.2">
      <c r="A2189" s="1">
        <v>45290</v>
      </c>
      <c r="B2189" s="5" t="s">
        <v>6</v>
      </c>
      <c r="C2189" s="2">
        <v>1193</v>
      </c>
      <c r="D2189" s="2">
        <v>276</v>
      </c>
      <c r="E2189" s="3">
        <v>4728.2299999999996</v>
      </c>
      <c r="F2189" s="4" t="str">
        <f>IF(campaignData[[#This Row],[Campaign]]="Old_Campaign", "A", "B")</f>
        <v>B</v>
      </c>
    </row>
    <row r="2190" spans="1:6" x14ac:dyDescent="0.2">
      <c r="A2190" s="1">
        <v>45291</v>
      </c>
      <c r="B2190" s="5" t="s">
        <v>5</v>
      </c>
      <c r="C2190" s="2">
        <v>1231</v>
      </c>
      <c r="D2190" s="2">
        <v>231</v>
      </c>
      <c r="E2190" s="3">
        <v>3464.72</v>
      </c>
      <c r="F2190" s="4" t="str">
        <f>IF(campaignData[[#This Row],[Campaign]]="Old_Campaign", "A", "B")</f>
        <v>A</v>
      </c>
    </row>
    <row r="2191" spans="1:6" x14ac:dyDescent="0.2">
      <c r="A2191" s="1">
        <v>45291</v>
      </c>
      <c r="B2191" s="5" t="s">
        <v>6</v>
      </c>
      <c r="C2191" s="2">
        <v>1139</v>
      </c>
      <c r="D2191" s="2">
        <v>250</v>
      </c>
      <c r="E2191" s="3">
        <v>4598.3100000000004</v>
      </c>
      <c r="F2191" s="4" t="str">
        <f>IF(campaignData[[#This Row],[Campaign]]="Old_Campaign", "A", "B")</f>
        <v>B</v>
      </c>
    </row>
    <row r="2192" spans="1:6" x14ac:dyDescent="0.2">
      <c r="A2192" s="1">
        <v>45292</v>
      </c>
      <c r="B2192" s="5" t="s">
        <v>5</v>
      </c>
      <c r="C2192" s="2">
        <v>1245</v>
      </c>
      <c r="D2192" s="2">
        <v>229</v>
      </c>
      <c r="E2192" s="3">
        <v>2558.69</v>
      </c>
      <c r="F2192" s="4" t="str">
        <f>IF(campaignData[[#This Row],[Campaign]]="Old_Campaign", "A", "B")</f>
        <v>A</v>
      </c>
    </row>
    <row r="2193" spans="1:6" x14ac:dyDescent="0.2">
      <c r="A2193" s="1">
        <v>45292</v>
      </c>
      <c r="B2193" s="5" t="s">
        <v>6</v>
      </c>
      <c r="C2193" s="2">
        <v>1144</v>
      </c>
      <c r="D2193" s="2">
        <v>268</v>
      </c>
      <c r="E2193" s="3">
        <v>3770.74</v>
      </c>
      <c r="F2193" s="4" t="str">
        <f>IF(campaignData[[#This Row],[Campaign]]="Old_Campaign", "A", "B")</f>
        <v>B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E7B28-05A3-3C40-8699-AABD4B8EA261}">
  <dimension ref="A3:B18"/>
  <sheetViews>
    <sheetView workbookViewId="0">
      <selection activeCell="B16" sqref="B16"/>
    </sheetView>
  </sheetViews>
  <sheetFormatPr baseColWidth="10" defaultRowHeight="16" x14ac:dyDescent="0.2"/>
  <cols>
    <col min="1" max="1" width="12.1640625" bestFit="1" customWidth="1"/>
    <col min="2" max="2" width="17.6640625" bestFit="1" customWidth="1"/>
    <col min="3" max="3" width="7.1640625" bestFit="1" customWidth="1"/>
    <col min="4" max="4" width="10.5" bestFit="1" customWidth="1"/>
  </cols>
  <sheetData>
    <row r="3" spans="1:2" x14ac:dyDescent="0.2">
      <c r="A3" s="36" t="s">
        <v>1</v>
      </c>
      <c r="B3" t="s">
        <v>54</v>
      </c>
    </row>
    <row r="4" spans="1:2" x14ac:dyDescent="0.2">
      <c r="A4" s="14" t="s">
        <v>11</v>
      </c>
      <c r="B4" s="37">
        <v>249706</v>
      </c>
    </row>
    <row r="5" spans="1:2" x14ac:dyDescent="0.2">
      <c r="A5" s="14" t="s">
        <v>12</v>
      </c>
      <c r="B5" s="37">
        <v>289624</v>
      </c>
    </row>
    <row r="6" spans="1:2" x14ac:dyDescent="0.2">
      <c r="A6" s="14" t="s">
        <v>53</v>
      </c>
      <c r="B6" s="37">
        <v>539330</v>
      </c>
    </row>
    <row r="9" spans="1:2" x14ac:dyDescent="0.2">
      <c r="A9" s="36" t="s">
        <v>1</v>
      </c>
      <c r="B9" t="s">
        <v>55</v>
      </c>
    </row>
    <row r="10" spans="1:2" x14ac:dyDescent="0.2">
      <c r="A10" s="14" t="s">
        <v>11</v>
      </c>
      <c r="B10" s="37">
        <v>1314454</v>
      </c>
    </row>
    <row r="11" spans="1:2" x14ac:dyDescent="0.2">
      <c r="A11" s="14" t="s">
        <v>12</v>
      </c>
      <c r="B11" s="37">
        <v>1260344</v>
      </c>
    </row>
    <row r="12" spans="1:2" x14ac:dyDescent="0.2">
      <c r="A12" s="14" t="s">
        <v>53</v>
      </c>
      <c r="B12" s="37">
        <v>2574798</v>
      </c>
    </row>
    <row r="15" spans="1:2" x14ac:dyDescent="0.2">
      <c r="A15" s="36" t="s">
        <v>1</v>
      </c>
      <c r="B15" t="s">
        <v>56</v>
      </c>
    </row>
    <row r="16" spans="1:2" x14ac:dyDescent="0.2">
      <c r="A16" s="14" t="s">
        <v>11</v>
      </c>
      <c r="B16" s="37">
        <v>3749685.950000003</v>
      </c>
    </row>
    <row r="17" spans="1:2" x14ac:dyDescent="0.2">
      <c r="A17" s="14" t="s">
        <v>12</v>
      </c>
      <c r="B17" s="37">
        <v>4632015.1500000022</v>
      </c>
    </row>
    <row r="18" spans="1:2" x14ac:dyDescent="0.2">
      <c r="A18" s="14" t="s">
        <v>53</v>
      </c>
      <c r="B18" s="37">
        <v>8381701.1000000052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F9FC-FE42-7D48-9290-812E3FF06E0B}">
  <dimension ref="A3:D40"/>
  <sheetViews>
    <sheetView topLeftCell="A6" workbookViewId="0">
      <selection activeCell="H32" sqref="H32"/>
    </sheetView>
  </sheetViews>
  <sheetFormatPr baseColWidth="10" defaultRowHeight="16" x14ac:dyDescent="0.2"/>
  <cols>
    <col min="1" max="1" width="14.5" bestFit="1" customWidth="1"/>
    <col min="2" max="2" width="15.5" bestFit="1" customWidth="1"/>
    <col min="3" max="3" width="16.1640625" bestFit="1" customWidth="1"/>
    <col min="4" max="4" width="11.1640625" bestFit="1" customWidth="1"/>
    <col min="5" max="5" width="10.1640625" bestFit="1" customWidth="1"/>
  </cols>
  <sheetData>
    <row r="3" spans="1:4" x14ac:dyDescent="0.2">
      <c r="A3" s="46" t="s">
        <v>74</v>
      </c>
      <c r="B3" s="47"/>
      <c r="C3" s="48" t="s">
        <v>10</v>
      </c>
      <c r="D3" s="49"/>
    </row>
    <row r="4" spans="1:4" x14ac:dyDescent="0.2">
      <c r="A4" s="48" t="s">
        <v>72</v>
      </c>
      <c r="B4" s="48" t="s">
        <v>73</v>
      </c>
      <c r="C4" s="53" t="s">
        <v>11</v>
      </c>
      <c r="D4" s="47" t="s">
        <v>12</v>
      </c>
    </row>
    <row r="5" spans="1:4" x14ac:dyDescent="0.2">
      <c r="A5" s="50" t="s">
        <v>57</v>
      </c>
      <c r="B5" s="50" t="s">
        <v>60</v>
      </c>
      <c r="C5" s="42">
        <v>111392.23000000001</v>
      </c>
      <c r="D5" s="43">
        <v>125544.02</v>
      </c>
    </row>
    <row r="6" spans="1:4" x14ac:dyDescent="0.2">
      <c r="A6" s="51"/>
      <c r="B6" s="51" t="s">
        <v>61</v>
      </c>
      <c r="C6" s="44">
        <v>94172.12999999999</v>
      </c>
      <c r="D6" s="40">
        <v>114098.70000000001</v>
      </c>
    </row>
    <row r="7" spans="1:4" x14ac:dyDescent="0.2">
      <c r="A7" s="51"/>
      <c r="B7" s="51" t="s">
        <v>62</v>
      </c>
      <c r="C7" s="44">
        <v>102210.52000000002</v>
      </c>
      <c r="D7" s="40">
        <v>132768.90999999997</v>
      </c>
    </row>
    <row r="8" spans="1:4" x14ac:dyDescent="0.2">
      <c r="A8" s="51"/>
      <c r="B8" s="51" t="s">
        <v>63</v>
      </c>
      <c r="C8" s="44">
        <v>105619.24000000002</v>
      </c>
      <c r="D8" s="40">
        <v>125263.55000000002</v>
      </c>
    </row>
    <row r="9" spans="1:4" x14ac:dyDescent="0.2">
      <c r="A9" s="51"/>
      <c r="B9" s="51" t="s">
        <v>64</v>
      </c>
      <c r="C9" s="44">
        <v>107743.33999999998</v>
      </c>
      <c r="D9" s="40">
        <v>133521.74000000002</v>
      </c>
    </row>
    <row r="10" spans="1:4" x14ac:dyDescent="0.2">
      <c r="A10" s="51"/>
      <c r="B10" s="51" t="s">
        <v>65</v>
      </c>
      <c r="C10" s="44">
        <v>105256.35000000002</v>
      </c>
      <c r="D10" s="40">
        <v>130498.51999999997</v>
      </c>
    </row>
    <row r="11" spans="1:4" x14ac:dyDescent="0.2">
      <c r="A11" s="51"/>
      <c r="B11" s="51" t="s">
        <v>66</v>
      </c>
      <c r="C11" s="44">
        <v>107393.62</v>
      </c>
      <c r="D11" s="40">
        <v>133630.57999999999</v>
      </c>
    </row>
    <row r="12" spans="1:4" x14ac:dyDescent="0.2">
      <c r="A12" s="51"/>
      <c r="B12" s="51" t="s">
        <v>67</v>
      </c>
      <c r="C12" s="44">
        <v>105252.69000000002</v>
      </c>
      <c r="D12" s="40">
        <v>130257.33</v>
      </c>
    </row>
    <row r="13" spans="1:4" x14ac:dyDescent="0.2">
      <c r="A13" s="51"/>
      <c r="B13" s="51" t="s">
        <v>68</v>
      </c>
      <c r="C13" s="44">
        <v>101814.37000000001</v>
      </c>
      <c r="D13" s="40">
        <v>123411.83</v>
      </c>
    </row>
    <row r="14" spans="1:4" x14ac:dyDescent="0.2">
      <c r="A14" s="51"/>
      <c r="B14" s="51" t="s">
        <v>69</v>
      </c>
      <c r="C14" s="44">
        <v>111871.82999999999</v>
      </c>
      <c r="D14" s="40">
        <v>132394.46000000002</v>
      </c>
    </row>
    <row r="15" spans="1:4" x14ac:dyDescent="0.2">
      <c r="A15" s="51"/>
      <c r="B15" s="51" t="s">
        <v>70</v>
      </c>
      <c r="C15" s="44">
        <v>97739.840000000011</v>
      </c>
      <c r="D15" s="40">
        <v>129170.84</v>
      </c>
    </row>
    <row r="16" spans="1:4" x14ac:dyDescent="0.2">
      <c r="A16" s="51"/>
      <c r="B16" s="52" t="s">
        <v>71</v>
      </c>
      <c r="C16" s="44">
        <v>107104.60999999999</v>
      </c>
      <c r="D16" s="40">
        <v>130943.32999999999</v>
      </c>
    </row>
    <row r="17" spans="1:4" x14ac:dyDescent="0.2">
      <c r="A17" s="51" t="s">
        <v>58</v>
      </c>
      <c r="B17" s="50" t="s">
        <v>60</v>
      </c>
      <c r="C17" s="44">
        <v>110423.21999999999</v>
      </c>
      <c r="D17" s="40">
        <v>129661.98999999999</v>
      </c>
    </row>
    <row r="18" spans="1:4" x14ac:dyDescent="0.2">
      <c r="A18" s="51"/>
      <c r="B18" s="51" t="s">
        <v>61</v>
      </c>
      <c r="C18" s="44">
        <v>96638.65</v>
      </c>
      <c r="D18" s="40">
        <v>114684.12</v>
      </c>
    </row>
    <row r="19" spans="1:4" x14ac:dyDescent="0.2">
      <c r="A19" s="51"/>
      <c r="B19" s="51" t="s">
        <v>62</v>
      </c>
      <c r="C19" s="44">
        <v>103278.73</v>
      </c>
      <c r="D19" s="40">
        <v>127801.28000000003</v>
      </c>
    </row>
    <row r="20" spans="1:4" x14ac:dyDescent="0.2">
      <c r="A20" s="51"/>
      <c r="B20" s="51" t="s">
        <v>63</v>
      </c>
      <c r="C20" s="44">
        <v>97592.489999999991</v>
      </c>
      <c r="D20" s="40">
        <v>122953.31999999999</v>
      </c>
    </row>
    <row r="21" spans="1:4" x14ac:dyDescent="0.2">
      <c r="A21" s="51"/>
      <c r="B21" s="51" t="s">
        <v>64</v>
      </c>
      <c r="C21" s="44">
        <v>104612.28999999998</v>
      </c>
      <c r="D21" s="40">
        <v>130597.53</v>
      </c>
    </row>
    <row r="22" spans="1:4" x14ac:dyDescent="0.2">
      <c r="A22" s="51"/>
      <c r="B22" s="51" t="s">
        <v>65</v>
      </c>
      <c r="C22" s="44">
        <v>104286.81999999999</v>
      </c>
      <c r="D22" s="40">
        <v>127138.96000000004</v>
      </c>
    </row>
    <row r="23" spans="1:4" x14ac:dyDescent="0.2">
      <c r="A23" s="51"/>
      <c r="B23" s="51" t="s">
        <v>66</v>
      </c>
      <c r="C23" s="44">
        <v>105106.94</v>
      </c>
      <c r="D23" s="40">
        <v>131694.41</v>
      </c>
    </row>
    <row r="24" spans="1:4" x14ac:dyDescent="0.2">
      <c r="A24" s="51"/>
      <c r="B24" s="51" t="s">
        <v>67</v>
      </c>
      <c r="C24" s="44">
        <v>104160.12999999999</v>
      </c>
      <c r="D24" s="40">
        <v>132552.46999999997</v>
      </c>
    </row>
    <row r="25" spans="1:4" x14ac:dyDescent="0.2">
      <c r="A25" s="51"/>
      <c r="B25" s="51" t="s">
        <v>68</v>
      </c>
      <c r="C25" s="44">
        <v>101999.04000000002</v>
      </c>
      <c r="D25" s="40">
        <v>125889.51999999999</v>
      </c>
    </row>
    <row r="26" spans="1:4" x14ac:dyDescent="0.2">
      <c r="A26" s="51"/>
      <c r="B26" s="51" t="s">
        <v>69</v>
      </c>
      <c r="C26" s="44">
        <v>106446.32000000002</v>
      </c>
      <c r="D26" s="40">
        <v>127408.95999999999</v>
      </c>
    </row>
    <row r="27" spans="1:4" x14ac:dyDescent="0.2">
      <c r="A27" s="51"/>
      <c r="B27" s="51" t="s">
        <v>70</v>
      </c>
      <c r="C27" s="44">
        <v>98533.960000000021</v>
      </c>
      <c r="D27" s="40">
        <v>128548.65000000001</v>
      </c>
    </row>
    <row r="28" spans="1:4" x14ac:dyDescent="0.2">
      <c r="A28" s="51"/>
      <c r="B28" s="52" t="s">
        <v>71</v>
      </c>
      <c r="C28" s="44">
        <v>104782.69000000003</v>
      </c>
      <c r="D28" s="40">
        <v>137830.79999999999</v>
      </c>
    </row>
    <row r="29" spans="1:4" x14ac:dyDescent="0.2">
      <c r="A29" s="51" t="s">
        <v>59</v>
      </c>
      <c r="B29" s="50" t="s">
        <v>60</v>
      </c>
      <c r="C29" s="44">
        <v>106883.68000000001</v>
      </c>
      <c r="D29" s="40">
        <v>131389.36000000002</v>
      </c>
    </row>
    <row r="30" spans="1:4" x14ac:dyDescent="0.2">
      <c r="A30" s="51"/>
      <c r="B30" s="51" t="s">
        <v>61</v>
      </c>
      <c r="C30" s="44">
        <v>94855.900000000009</v>
      </c>
      <c r="D30" s="40">
        <v>120823.73999999999</v>
      </c>
    </row>
    <row r="31" spans="1:4" x14ac:dyDescent="0.2">
      <c r="A31" s="51"/>
      <c r="B31" s="51" t="s">
        <v>62</v>
      </c>
      <c r="C31" s="44">
        <v>107608.6</v>
      </c>
      <c r="D31" s="40">
        <v>131314.63999999998</v>
      </c>
    </row>
    <row r="32" spans="1:4" x14ac:dyDescent="0.2">
      <c r="A32" s="51"/>
      <c r="B32" s="51" t="s">
        <v>63</v>
      </c>
      <c r="C32" s="44">
        <v>100031.9</v>
      </c>
      <c r="D32" s="40">
        <v>122435.29000000001</v>
      </c>
    </row>
    <row r="33" spans="1:4" x14ac:dyDescent="0.2">
      <c r="A33" s="51"/>
      <c r="B33" s="51" t="s">
        <v>64</v>
      </c>
      <c r="C33" s="44">
        <v>102492.23000000003</v>
      </c>
      <c r="D33" s="40">
        <v>136289.15</v>
      </c>
    </row>
    <row r="34" spans="1:4" x14ac:dyDescent="0.2">
      <c r="A34" s="51"/>
      <c r="B34" s="51" t="s">
        <v>65</v>
      </c>
      <c r="C34" s="44">
        <v>106499.46</v>
      </c>
      <c r="D34" s="40">
        <v>132796.53</v>
      </c>
    </row>
    <row r="35" spans="1:4" x14ac:dyDescent="0.2">
      <c r="A35" s="51"/>
      <c r="B35" s="51" t="s">
        <v>66</v>
      </c>
      <c r="C35" s="44">
        <v>109352.42</v>
      </c>
      <c r="D35" s="40">
        <v>131705.26999999999</v>
      </c>
    </row>
    <row r="36" spans="1:4" x14ac:dyDescent="0.2">
      <c r="A36" s="51"/>
      <c r="B36" s="51" t="s">
        <v>67</v>
      </c>
      <c r="C36" s="44">
        <v>103422.63</v>
      </c>
      <c r="D36" s="40">
        <v>128532.43000000004</v>
      </c>
    </row>
    <row r="37" spans="1:4" x14ac:dyDescent="0.2">
      <c r="A37" s="51"/>
      <c r="B37" s="51" t="s">
        <v>68</v>
      </c>
      <c r="C37" s="44">
        <v>104543.36000000002</v>
      </c>
      <c r="D37" s="40">
        <v>126619.89000000001</v>
      </c>
    </row>
    <row r="38" spans="1:4" x14ac:dyDescent="0.2">
      <c r="A38" s="51"/>
      <c r="B38" s="51" t="s">
        <v>69</v>
      </c>
      <c r="C38" s="44">
        <v>106969.73</v>
      </c>
      <c r="D38" s="40">
        <v>134694.26999999999</v>
      </c>
    </row>
    <row r="39" spans="1:4" x14ac:dyDescent="0.2">
      <c r="A39" s="51"/>
      <c r="B39" s="51" t="s">
        <v>70</v>
      </c>
      <c r="C39" s="44">
        <v>102162.70999999999</v>
      </c>
      <c r="D39" s="40">
        <v>123512.30000000002</v>
      </c>
    </row>
    <row r="40" spans="1:4" x14ac:dyDescent="0.2">
      <c r="A40" s="52"/>
      <c r="B40" s="52" t="s">
        <v>71</v>
      </c>
      <c r="C40" s="45">
        <v>106872.59000000001</v>
      </c>
      <c r="D40" s="41">
        <v>129865.71999999997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425C-BFA1-7D40-BC5D-1C10DD79B8F0}">
  <dimension ref="A1:F8"/>
  <sheetViews>
    <sheetView workbookViewId="0">
      <selection activeCell="M7" sqref="M7"/>
    </sheetView>
  </sheetViews>
  <sheetFormatPr baseColWidth="10" defaultRowHeight="16" x14ac:dyDescent="0.2"/>
  <cols>
    <col min="1" max="1" width="12.1640625" bestFit="1" customWidth="1"/>
    <col min="2" max="2" width="15" bestFit="1" customWidth="1"/>
    <col min="3" max="3" width="14.33203125" customWidth="1"/>
    <col min="4" max="4" width="14.5" customWidth="1"/>
    <col min="5" max="5" width="17.1640625" bestFit="1" customWidth="1"/>
    <col min="6" max="6" width="13.5" bestFit="1" customWidth="1"/>
  </cols>
  <sheetData>
    <row r="1" spans="1:6" x14ac:dyDescent="0.2">
      <c r="A1" t="s">
        <v>1</v>
      </c>
      <c r="B1" t="s">
        <v>7</v>
      </c>
      <c r="C1" t="s">
        <v>8</v>
      </c>
      <c r="D1" t="s">
        <v>9</v>
      </c>
      <c r="E1" t="s">
        <v>13</v>
      </c>
      <c r="F1" t="s">
        <v>14</v>
      </c>
    </row>
    <row r="2" spans="1:6" x14ac:dyDescent="0.2">
      <c r="A2" s="4" t="s">
        <v>11</v>
      </c>
      <c r="B2">
        <f>SUMIF(campaignData[Campaign New], campaignData[[#This Row],[Campaign New]], campaignData[Conversions])</f>
        <v>249706</v>
      </c>
      <c r="C2">
        <f>SUMIF(campaignData[Campaign New], campaignData[[#This Row],[Campaign New]], campaignData[Visitors])</f>
        <v>1314454</v>
      </c>
      <c r="D2">
        <f>C2 - B2</f>
        <v>1064748</v>
      </c>
      <c r="E2" s="13">
        <f>summaryTable[[#This Row],[Total Conversions]]/summaryTable[[#This Row],[Total Visitors]]</f>
        <v>0.18996937131310795</v>
      </c>
      <c r="F2" s="13">
        <f>summaryTable[[#This Row],[Total Failures]]/summaryTable[[#This Row],[Total Visitors]]</f>
        <v>0.81003062868689202</v>
      </c>
    </row>
    <row r="3" spans="1:6" x14ac:dyDescent="0.2">
      <c r="A3" s="4" t="s">
        <v>12</v>
      </c>
      <c r="B3">
        <f>SUMIF(campaignData[Campaign New], campaignData[[#This Row],[Campaign New]], campaignData[Conversions])</f>
        <v>289624</v>
      </c>
      <c r="C3">
        <f>SUMIF(campaignData[Campaign New], campaignData[[#This Row],[Campaign New]], campaignData[Visitors])</f>
        <v>1260344</v>
      </c>
      <c r="D3">
        <f>C3 - B3</f>
        <v>970720</v>
      </c>
      <c r="E3" s="13">
        <f>summaryTable[[#This Row],[Total Conversions]]/summaryTable[[#This Row],[Total Visitors]]</f>
        <v>0.22979757907364973</v>
      </c>
      <c r="F3" s="13">
        <f>summaryTable[[#This Row],[Total Failures]]/summaryTable[[#This Row],[Total Visitors]]</f>
        <v>0.77020242092635027</v>
      </c>
    </row>
    <row r="6" spans="1:6" x14ac:dyDescent="0.2">
      <c r="A6" s="38" t="s">
        <v>1</v>
      </c>
      <c r="B6" s="39" t="s">
        <v>75</v>
      </c>
    </row>
    <row r="7" spans="1:6" x14ac:dyDescent="0.2">
      <c r="A7" s="54" t="s">
        <v>11</v>
      </c>
      <c r="B7" s="55">
        <v>0.18996937131310795</v>
      </c>
    </row>
    <row r="8" spans="1:6" x14ac:dyDescent="0.2">
      <c r="A8" s="56" t="s">
        <v>12</v>
      </c>
      <c r="B8" s="57">
        <v>0.22979757907364973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71CB3-8BBA-544A-8542-1AC5416A9F36}">
  <dimension ref="A1:H19"/>
  <sheetViews>
    <sheetView workbookViewId="0">
      <selection activeCell="C4" sqref="C4"/>
    </sheetView>
  </sheetViews>
  <sheetFormatPr baseColWidth="10" defaultRowHeight="16" x14ac:dyDescent="0.2"/>
  <cols>
    <col min="1" max="1" width="12" customWidth="1"/>
    <col min="2" max="2" width="21.6640625" customWidth="1"/>
    <col min="3" max="3" width="18" customWidth="1"/>
    <col min="4" max="4" width="12.33203125" customWidth="1"/>
  </cols>
  <sheetData>
    <row r="1" spans="1:8" x14ac:dyDescent="0.2">
      <c r="A1" s="16" t="s">
        <v>17</v>
      </c>
      <c r="B1" s="16"/>
      <c r="C1" s="16"/>
      <c r="D1" s="16"/>
    </row>
    <row r="2" spans="1:8" x14ac:dyDescent="0.2">
      <c r="A2" s="15"/>
      <c r="B2" s="15"/>
      <c r="C2" s="15"/>
    </row>
    <row r="3" spans="1:8" x14ac:dyDescent="0.2">
      <c r="A3" s="14" t="s">
        <v>1</v>
      </c>
      <c r="B3" s="14" t="s">
        <v>3</v>
      </c>
      <c r="C3" s="14" t="s">
        <v>16</v>
      </c>
      <c r="D3" s="14" t="s">
        <v>15</v>
      </c>
    </row>
    <row r="4" spans="1:8" x14ac:dyDescent="0.2">
      <c r="A4" s="4" t="s">
        <v>11</v>
      </c>
      <c r="B4">
        <f>summaryTable!B2</f>
        <v>249706</v>
      </c>
      <c r="C4">
        <f>summaryTable!D2</f>
        <v>1064748</v>
      </c>
      <c r="D4">
        <f>B4 + C4</f>
        <v>1314454</v>
      </c>
    </row>
    <row r="5" spans="1:8" x14ac:dyDescent="0.2">
      <c r="A5" s="4" t="s">
        <v>12</v>
      </c>
      <c r="B5">
        <f>summaryTable!B3</f>
        <v>289624</v>
      </c>
      <c r="C5">
        <f>summaryTable!D3</f>
        <v>970720</v>
      </c>
      <c r="D5">
        <f>B5 + C5</f>
        <v>1260344</v>
      </c>
    </row>
    <row r="6" spans="1:8" x14ac:dyDescent="0.2">
      <c r="A6" s="4" t="s">
        <v>15</v>
      </c>
      <c r="B6">
        <f>B4 + B5</f>
        <v>539330</v>
      </c>
      <c r="C6">
        <f>C4 + C5</f>
        <v>2035468</v>
      </c>
      <c r="D6">
        <f>D4 + D5</f>
        <v>2574798</v>
      </c>
    </row>
    <row r="8" spans="1:8" x14ac:dyDescent="0.2">
      <c r="A8" s="16" t="s">
        <v>18</v>
      </c>
      <c r="B8" s="16"/>
      <c r="C8" s="16"/>
      <c r="D8" s="16"/>
    </row>
    <row r="9" spans="1:8" x14ac:dyDescent="0.2">
      <c r="A9" s="21" t="s">
        <v>24</v>
      </c>
      <c r="B9" s="21"/>
      <c r="C9" s="21"/>
      <c r="D9" s="21"/>
    </row>
    <row r="11" spans="1:8" x14ac:dyDescent="0.2">
      <c r="A11" t="s">
        <v>1</v>
      </c>
      <c r="B11" t="s">
        <v>19</v>
      </c>
      <c r="C11" t="s">
        <v>20</v>
      </c>
      <c r="E11" s="22"/>
      <c r="F11" s="22"/>
      <c r="G11" s="22"/>
      <c r="H11" s="22"/>
    </row>
    <row r="12" spans="1:8" x14ac:dyDescent="0.2">
      <c r="A12" s="4" t="s">
        <v>11</v>
      </c>
      <c r="B12" s="11">
        <f t="shared" ref="B12:B13" si="0">(D4 * B5) / D5</f>
        <v>302058.34700367518</v>
      </c>
      <c r="C12" s="11">
        <f t="shared" ref="C12:C13" si="1">(D4 * C5) / D5</f>
        <v>1012395.6529963248</v>
      </c>
    </row>
    <row r="13" spans="1:8" x14ac:dyDescent="0.2">
      <c r="A13" s="4" t="s">
        <v>12</v>
      </c>
      <c r="B13" s="11">
        <f t="shared" si="0"/>
        <v>263997.92508771562</v>
      </c>
      <c r="C13" s="11">
        <f t="shared" si="1"/>
        <v>996346.07491228438</v>
      </c>
    </row>
    <row r="15" spans="1:8" x14ac:dyDescent="0.2">
      <c r="A15" s="16" t="s">
        <v>21</v>
      </c>
      <c r="B15" s="16"/>
      <c r="C15" s="16"/>
      <c r="D15" s="16"/>
    </row>
    <row r="17" spans="1:2" x14ac:dyDescent="0.2">
      <c r="A17" s="26" t="s">
        <v>22</v>
      </c>
      <c r="B17" s="18">
        <f>_xlfn.CHISQ.TEST(B4:C5, B12:C13)</f>
        <v>0</v>
      </c>
    </row>
    <row r="18" spans="1:2" ht="34" x14ac:dyDescent="0.2">
      <c r="A18" s="30" t="s">
        <v>23</v>
      </c>
      <c r="B18" s="19" t="str">
        <f>IF(B17 &lt; 0.05, "Statstically significant difference detected", "No statistically significant difference detected")</f>
        <v>Statstically significant difference detected</v>
      </c>
    </row>
    <row r="19" spans="1:2" ht="17" customHeight="1" x14ac:dyDescent="0.2"/>
  </sheetData>
  <mergeCells count="4">
    <mergeCell ref="A8:D8"/>
    <mergeCell ref="A1:D1"/>
    <mergeCell ref="A15:D15"/>
    <mergeCell ref="A9:D9"/>
  </mergeCell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1DF81-A986-9F49-877A-AA1CCC593287}">
  <dimension ref="A1:F31"/>
  <sheetViews>
    <sheetView workbookViewId="0">
      <selection activeCell="C6" sqref="C6"/>
    </sheetView>
  </sheetViews>
  <sheetFormatPr baseColWidth="10" defaultRowHeight="16" x14ac:dyDescent="0.2"/>
  <cols>
    <col min="1" max="1" width="16.1640625" bestFit="1" customWidth="1"/>
    <col min="2" max="2" width="17" customWidth="1"/>
  </cols>
  <sheetData>
    <row r="1" spans="1:3" x14ac:dyDescent="0.2">
      <c r="A1" s="16" t="s">
        <v>25</v>
      </c>
      <c r="B1" s="16"/>
      <c r="C1" s="16"/>
    </row>
    <row r="3" spans="1:3" x14ac:dyDescent="0.2">
      <c r="A3" t="s">
        <v>1</v>
      </c>
      <c r="B3" t="s">
        <v>13</v>
      </c>
    </row>
    <row r="4" spans="1:3" x14ac:dyDescent="0.2">
      <c r="A4" t="s">
        <v>11</v>
      </c>
      <c r="B4" s="23">
        <f>summaryTable!E2</f>
        <v>0.18996937131310795</v>
      </c>
    </row>
    <row r="5" spans="1:3" x14ac:dyDescent="0.2">
      <c r="A5" t="s">
        <v>12</v>
      </c>
      <c r="B5" s="23">
        <f>summaryTable!E3</f>
        <v>0.22979757907364973</v>
      </c>
    </row>
    <row r="7" spans="1:3" x14ac:dyDescent="0.2">
      <c r="A7" s="16" t="s">
        <v>30</v>
      </c>
      <c r="B7" s="16"/>
      <c r="C7" s="16"/>
    </row>
    <row r="8" spans="1:3" x14ac:dyDescent="0.2">
      <c r="A8" s="12"/>
      <c r="B8" s="12"/>
      <c r="C8" s="12"/>
    </row>
    <row r="9" spans="1:3" x14ac:dyDescent="0.2">
      <c r="A9" s="24" t="s">
        <v>26</v>
      </c>
      <c r="B9" s="10">
        <f>ABS(B5 - B4)</f>
        <v>3.9828207760541773E-2</v>
      </c>
    </row>
    <row r="11" spans="1:3" x14ac:dyDescent="0.2">
      <c r="A11" s="16" t="s">
        <v>27</v>
      </c>
      <c r="B11" s="16"/>
      <c r="C11" s="16"/>
    </row>
    <row r="13" spans="1:3" x14ac:dyDescent="0.2">
      <c r="A13" s="25" t="s">
        <v>7</v>
      </c>
      <c r="B13">
        <f>summaryTable!B2 + summaryTable!B3</f>
        <v>539330</v>
      </c>
    </row>
    <row r="14" spans="1:3" x14ac:dyDescent="0.2">
      <c r="A14" s="25" t="s">
        <v>8</v>
      </c>
      <c r="B14">
        <f>summaryTable!C2 + summaryTable!C3</f>
        <v>2574798</v>
      </c>
    </row>
    <row r="15" spans="1:3" x14ac:dyDescent="0.2">
      <c r="A15" s="25" t="s">
        <v>28</v>
      </c>
      <c r="B15" s="10">
        <f>B13/B14</f>
        <v>0.20946497550487456</v>
      </c>
    </row>
    <row r="17" spans="1:6" x14ac:dyDescent="0.2">
      <c r="A17" s="16" t="s">
        <v>29</v>
      </c>
      <c r="B17" s="16"/>
      <c r="C17" s="16"/>
    </row>
    <row r="19" spans="1:6" x14ac:dyDescent="0.2">
      <c r="A19" s="25" t="s">
        <v>31</v>
      </c>
      <c r="B19" s="10">
        <f>SQRT(B15 * (1 - B15) * ((1 / summaryTable!C2) + (1 / summaryTable!C3)))</f>
        <v>5.0730670449333098E-4</v>
      </c>
    </row>
    <row r="21" spans="1:6" x14ac:dyDescent="0.2">
      <c r="A21" s="16" t="s">
        <v>32</v>
      </c>
      <c r="B21" s="16"/>
      <c r="C21" s="16"/>
    </row>
    <row r="23" spans="1:6" x14ac:dyDescent="0.2">
      <c r="A23" s="25" t="s">
        <v>33</v>
      </c>
      <c r="B23">
        <v>0.05</v>
      </c>
    </row>
    <row r="24" spans="1:6" x14ac:dyDescent="0.2">
      <c r="A24" s="25" t="s">
        <v>34</v>
      </c>
      <c r="B24" s="11">
        <f>ABS(_xlfn.NORM.S.INV(B23 / 2))</f>
        <v>1.9599639845400538</v>
      </c>
    </row>
    <row r="26" spans="1:6" x14ac:dyDescent="0.2">
      <c r="A26" s="16" t="s">
        <v>35</v>
      </c>
      <c r="B26" s="16"/>
      <c r="C26" s="16"/>
    </row>
    <row r="27" spans="1:6" x14ac:dyDescent="0.2">
      <c r="A27" s="20" t="s">
        <v>38</v>
      </c>
      <c r="B27" s="20"/>
      <c r="C27" s="20"/>
      <c r="D27" s="20"/>
      <c r="E27" s="20"/>
      <c r="F27" s="20"/>
    </row>
    <row r="29" spans="1:6" x14ac:dyDescent="0.2">
      <c r="A29" s="27" t="s">
        <v>36</v>
      </c>
      <c r="B29" s="28">
        <f>(B9 - B24 * B19) / B19</f>
        <v>76.549165517936999</v>
      </c>
    </row>
    <row r="30" spans="1:6" x14ac:dyDescent="0.2">
      <c r="A30" s="27" t="s">
        <v>37</v>
      </c>
      <c r="B30" s="28">
        <f>_xlfn.NORM.S.DIST(B29, TRUE)</f>
        <v>1</v>
      </c>
    </row>
    <row r="31" spans="1:6" ht="85" x14ac:dyDescent="0.2">
      <c r="A31" s="29" t="s">
        <v>23</v>
      </c>
      <c r="B31" s="17" t="str">
        <f>IF(B30 &gt;= 0.8, "Sample size is sufficient to detect the effect size at the specified significance level", "Sample size may be too small, increasing the risk of a Type-II error (failing to detect a true effect)")</f>
        <v>Sample size is sufficient to detect the effect size at the specified significance level</v>
      </c>
    </row>
  </sheetData>
  <mergeCells count="7">
    <mergeCell ref="A27:F27"/>
    <mergeCell ref="A1:C1"/>
    <mergeCell ref="A7:C7"/>
    <mergeCell ref="A11:C11"/>
    <mergeCell ref="A17:C17"/>
    <mergeCell ref="A21:C21"/>
    <mergeCell ref="A26:C26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F74B-4F2D-FC44-BA6A-84F51B3FEF14}">
  <dimension ref="A1:E2193"/>
  <sheetViews>
    <sheetView workbookViewId="0">
      <selection activeCell="C11" sqref="C11"/>
    </sheetView>
  </sheetViews>
  <sheetFormatPr baseColWidth="10" defaultRowHeight="16" x14ac:dyDescent="0.2"/>
  <cols>
    <col min="1" max="1" width="10.1640625" bestFit="1" customWidth="1"/>
    <col min="2" max="2" width="12.6640625" bestFit="1" customWidth="1"/>
    <col min="3" max="3" width="16.5" bestFit="1" customWidth="1"/>
    <col min="4" max="4" width="13.1640625" bestFit="1" customWidth="1"/>
    <col min="5" max="5" width="18.6640625" bestFit="1" customWidth="1"/>
  </cols>
  <sheetData>
    <row r="1" spans="1:5" x14ac:dyDescent="0.2">
      <c r="A1" s="6" t="s">
        <v>0</v>
      </c>
      <c r="B1" s="8" t="s">
        <v>2</v>
      </c>
      <c r="C1" s="8" t="s">
        <v>3</v>
      </c>
      <c r="D1" s="9" t="s">
        <v>4</v>
      </c>
      <c r="E1" s="4" t="s">
        <v>10</v>
      </c>
    </row>
    <row r="2" spans="1:5" hidden="1" x14ac:dyDescent="0.2">
      <c r="A2" s="1">
        <v>44197</v>
      </c>
      <c r="B2" s="2">
        <v>1187</v>
      </c>
      <c r="C2" s="2">
        <v>216</v>
      </c>
      <c r="D2" s="3">
        <v>3138.85</v>
      </c>
      <c r="E2" s="4" t="s">
        <v>11</v>
      </c>
    </row>
    <row r="3" spans="1:5" x14ac:dyDescent="0.2">
      <c r="A3" s="1">
        <v>44197</v>
      </c>
      <c r="B3" s="2">
        <v>1160</v>
      </c>
      <c r="C3" s="2">
        <v>241</v>
      </c>
      <c r="D3" s="3">
        <v>3743.15</v>
      </c>
      <c r="E3" s="4" t="s">
        <v>12</v>
      </c>
    </row>
    <row r="4" spans="1:5" hidden="1" x14ac:dyDescent="0.2">
      <c r="A4" s="1">
        <v>44198</v>
      </c>
      <c r="B4" s="2">
        <v>1238</v>
      </c>
      <c r="C4" s="2">
        <v>238</v>
      </c>
      <c r="D4" s="3">
        <v>3685.17</v>
      </c>
      <c r="E4" s="4" t="s">
        <v>11</v>
      </c>
    </row>
    <row r="5" spans="1:5" x14ac:dyDescent="0.2">
      <c r="A5" s="1">
        <v>44198</v>
      </c>
      <c r="B5" s="2">
        <v>1143</v>
      </c>
      <c r="C5" s="2">
        <v>285</v>
      </c>
      <c r="D5" s="3">
        <v>3469.43</v>
      </c>
      <c r="E5" s="4" t="s">
        <v>12</v>
      </c>
    </row>
    <row r="6" spans="1:5" hidden="1" x14ac:dyDescent="0.2">
      <c r="A6" s="1">
        <v>44199</v>
      </c>
      <c r="B6" s="2">
        <v>1178</v>
      </c>
      <c r="C6" s="2">
        <v>222</v>
      </c>
      <c r="D6" s="3">
        <v>3359.98</v>
      </c>
      <c r="E6" s="4" t="s">
        <v>11</v>
      </c>
    </row>
    <row r="7" spans="1:5" x14ac:dyDescent="0.2">
      <c r="A7" s="1">
        <v>44199</v>
      </c>
      <c r="B7" s="2">
        <v>1159</v>
      </c>
      <c r="C7" s="2">
        <v>287</v>
      </c>
      <c r="D7" s="3">
        <v>3774.19</v>
      </c>
      <c r="E7" s="4" t="s">
        <v>12</v>
      </c>
    </row>
    <row r="8" spans="1:5" hidden="1" x14ac:dyDescent="0.2">
      <c r="A8" s="1">
        <v>44200</v>
      </c>
      <c r="B8" s="2">
        <v>1180</v>
      </c>
      <c r="C8" s="2">
        <v>207</v>
      </c>
      <c r="D8" s="3">
        <v>3099.41</v>
      </c>
      <c r="E8" s="4" t="s">
        <v>11</v>
      </c>
    </row>
    <row r="9" spans="1:5" x14ac:dyDescent="0.2">
      <c r="A9" s="1">
        <v>44200</v>
      </c>
      <c r="B9" s="2">
        <v>1125</v>
      </c>
      <c r="C9" s="2">
        <v>257</v>
      </c>
      <c r="D9" s="3">
        <v>3568.34</v>
      </c>
      <c r="E9" s="4" t="s">
        <v>12</v>
      </c>
    </row>
    <row r="10" spans="1:5" hidden="1" x14ac:dyDescent="0.2">
      <c r="A10" s="1">
        <v>44201</v>
      </c>
      <c r="B10" s="2">
        <v>1205</v>
      </c>
      <c r="C10" s="2">
        <v>257</v>
      </c>
      <c r="D10" s="3">
        <v>4234.57</v>
      </c>
      <c r="E10" s="4" t="s">
        <v>11</v>
      </c>
    </row>
    <row r="11" spans="1:5" x14ac:dyDescent="0.2">
      <c r="A11" s="1">
        <v>44201</v>
      </c>
      <c r="B11" s="2">
        <v>1095</v>
      </c>
      <c r="C11" s="2">
        <v>245</v>
      </c>
      <c r="D11" s="3">
        <v>4003.97</v>
      </c>
      <c r="E11" s="4" t="s">
        <v>12</v>
      </c>
    </row>
    <row r="12" spans="1:5" hidden="1" x14ac:dyDescent="0.2">
      <c r="A12" s="1">
        <v>44202</v>
      </c>
      <c r="B12" s="2">
        <v>1189</v>
      </c>
      <c r="C12" s="2">
        <v>235</v>
      </c>
      <c r="D12" s="3">
        <v>3686.5</v>
      </c>
      <c r="E12" s="4" t="s">
        <v>11</v>
      </c>
    </row>
    <row r="13" spans="1:5" x14ac:dyDescent="0.2">
      <c r="A13" s="1">
        <v>44202</v>
      </c>
      <c r="B13" s="2">
        <v>1108</v>
      </c>
      <c r="C13" s="2">
        <v>231</v>
      </c>
      <c r="D13" s="3">
        <v>2881.48</v>
      </c>
      <c r="E13" s="4" t="s">
        <v>12</v>
      </c>
    </row>
    <row r="14" spans="1:5" hidden="1" x14ac:dyDescent="0.2">
      <c r="A14" s="1">
        <v>44203</v>
      </c>
      <c r="B14" s="2">
        <v>1229</v>
      </c>
      <c r="C14" s="2">
        <v>212</v>
      </c>
      <c r="D14" s="3">
        <v>3617.14</v>
      </c>
      <c r="E14" s="4" t="s">
        <v>11</v>
      </c>
    </row>
    <row r="15" spans="1:5" x14ac:dyDescent="0.2">
      <c r="A15" s="1">
        <v>44203</v>
      </c>
      <c r="B15" s="2">
        <v>1178</v>
      </c>
      <c r="C15" s="2">
        <v>283</v>
      </c>
      <c r="D15" s="3">
        <v>5055.1000000000004</v>
      </c>
      <c r="E15" s="4" t="s">
        <v>12</v>
      </c>
    </row>
    <row r="16" spans="1:5" hidden="1" x14ac:dyDescent="0.2">
      <c r="A16" s="1">
        <v>44204</v>
      </c>
      <c r="B16" s="2">
        <v>1243</v>
      </c>
      <c r="C16" s="2">
        <v>248</v>
      </c>
      <c r="D16" s="3">
        <v>3171.26</v>
      </c>
      <c r="E16" s="4" t="s">
        <v>11</v>
      </c>
    </row>
    <row r="17" spans="1:5" x14ac:dyDescent="0.2">
      <c r="A17" s="1">
        <v>44204</v>
      </c>
      <c r="B17" s="2">
        <v>1173</v>
      </c>
      <c r="C17" s="2">
        <v>255</v>
      </c>
      <c r="D17" s="3">
        <v>3469.93</v>
      </c>
      <c r="E17" s="4" t="s">
        <v>12</v>
      </c>
    </row>
    <row r="18" spans="1:5" hidden="1" x14ac:dyDescent="0.2">
      <c r="A18" s="1">
        <v>44205</v>
      </c>
      <c r="B18" s="2">
        <v>1228</v>
      </c>
      <c r="C18" s="2">
        <v>243</v>
      </c>
      <c r="D18" s="3">
        <v>3687.3</v>
      </c>
      <c r="E18" s="4" t="s">
        <v>11</v>
      </c>
    </row>
    <row r="19" spans="1:5" x14ac:dyDescent="0.2">
      <c r="A19" s="1">
        <v>44205</v>
      </c>
      <c r="B19" s="2">
        <v>1131</v>
      </c>
      <c r="C19" s="2">
        <v>284</v>
      </c>
      <c r="D19" s="3">
        <v>4374.16</v>
      </c>
      <c r="E19" s="4" t="s">
        <v>12</v>
      </c>
    </row>
    <row r="20" spans="1:5" hidden="1" x14ac:dyDescent="0.2">
      <c r="A20" s="1">
        <v>44206</v>
      </c>
      <c r="B20" s="2">
        <v>1191</v>
      </c>
      <c r="C20" s="2">
        <v>233</v>
      </c>
      <c r="D20" s="3">
        <v>3118.24</v>
      </c>
      <c r="E20" s="4" t="s">
        <v>11</v>
      </c>
    </row>
    <row r="21" spans="1:5" x14ac:dyDescent="0.2">
      <c r="A21" s="1">
        <v>44206</v>
      </c>
      <c r="B21" s="2">
        <v>1213</v>
      </c>
      <c r="C21" s="2">
        <v>282</v>
      </c>
      <c r="D21" s="3">
        <v>4229.01</v>
      </c>
      <c r="E21" s="4" t="s">
        <v>12</v>
      </c>
    </row>
    <row r="22" spans="1:5" hidden="1" x14ac:dyDescent="0.2">
      <c r="A22" s="1">
        <v>44207</v>
      </c>
      <c r="B22" s="2">
        <v>1233</v>
      </c>
      <c r="C22" s="2">
        <v>254</v>
      </c>
      <c r="D22" s="3">
        <v>3453.36</v>
      </c>
      <c r="E22" s="4" t="s">
        <v>11</v>
      </c>
    </row>
    <row r="23" spans="1:5" x14ac:dyDescent="0.2">
      <c r="A23" s="1">
        <v>44207</v>
      </c>
      <c r="B23" s="2">
        <v>1121</v>
      </c>
      <c r="C23" s="2">
        <v>244</v>
      </c>
      <c r="D23" s="3">
        <v>3744.1</v>
      </c>
      <c r="E23" s="4" t="s">
        <v>12</v>
      </c>
    </row>
    <row r="24" spans="1:5" hidden="1" x14ac:dyDescent="0.2">
      <c r="A24" s="1">
        <v>44208</v>
      </c>
      <c r="B24" s="2">
        <v>1192</v>
      </c>
      <c r="C24" s="2">
        <v>222</v>
      </c>
      <c r="D24" s="3">
        <v>3258.39</v>
      </c>
      <c r="E24" s="4" t="s">
        <v>11</v>
      </c>
    </row>
    <row r="25" spans="1:5" x14ac:dyDescent="0.2">
      <c r="A25" s="1">
        <v>44208</v>
      </c>
      <c r="B25" s="2">
        <v>1152</v>
      </c>
      <c r="C25" s="2">
        <v>254</v>
      </c>
      <c r="D25" s="3">
        <v>4269.26</v>
      </c>
      <c r="E25" s="4" t="s">
        <v>12</v>
      </c>
    </row>
    <row r="26" spans="1:5" hidden="1" x14ac:dyDescent="0.2">
      <c r="A26" s="1">
        <v>44209</v>
      </c>
      <c r="B26" s="2">
        <v>1294</v>
      </c>
      <c r="C26" s="2">
        <v>259</v>
      </c>
      <c r="D26" s="3">
        <v>3916.2</v>
      </c>
      <c r="E26" s="4" t="s">
        <v>11</v>
      </c>
    </row>
    <row r="27" spans="1:5" x14ac:dyDescent="0.2">
      <c r="A27" s="1">
        <v>44209</v>
      </c>
      <c r="B27" s="2">
        <v>1075</v>
      </c>
      <c r="C27" s="2">
        <v>270</v>
      </c>
      <c r="D27" s="3">
        <v>5650.15</v>
      </c>
      <c r="E27" s="4" t="s">
        <v>12</v>
      </c>
    </row>
    <row r="28" spans="1:5" hidden="1" x14ac:dyDescent="0.2">
      <c r="A28" s="1">
        <v>44210</v>
      </c>
      <c r="B28" s="2">
        <v>1158</v>
      </c>
      <c r="C28" s="2">
        <v>211</v>
      </c>
      <c r="D28" s="3">
        <v>3756.98</v>
      </c>
      <c r="E28" s="4" t="s">
        <v>11</v>
      </c>
    </row>
    <row r="29" spans="1:5" x14ac:dyDescent="0.2">
      <c r="A29" s="1">
        <v>44210</v>
      </c>
      <c r="B29" s="2">
        <v>1163</v>
      </c>
      <c r="C29" s="2">
        <v>248</v>
      </c>
      <c r="D29" s="3">
        <v>3272.68</v>
      </c>
      <c r="E29" s="4" t="s">
        <v>12</v>
      </c>
    </row>
    <row r="30" spans="1:5" hidden="1" x14ac:dyDescent="0.2">
      <c r="A30" s="1">
        <v>44211</v>
      </c>
      <c r="B30" s="2">
        <v>1182</v>
      </c>
      <c r="C30" s="2">
        <v>211</v>
      </c>
      <c r="D30" s="3">
        <v>2510.62</v>
      </c>
      <c r="E30" s="4" t="s">
        <v>11</v>
      </c>
    </row>
    <row r="31" spans="1:5" x14ac:dyDescent="0.2">
      <c r="A31" s="1">
        <v>44211</v>
      </c>
      <c r="B31" s="2">
        <v>1164</v>
      </c>
      <c r="C31" s="2">
        <v>247</v>
      </c>
      <c r="D31" s="3">
        <v>3985.87</v>
      </c>
      <c r="E31" s="4" t="s">
        <v>12</v>
      </c>
    </row>
    <row r="32" spans="1:5" hidden="1" x14ac:dyDescent="0.2">
      <c r="A32" s="1">
        <v>44212</v>
      </c>
      <c r="B32" s="2">
        <v>1268</v>
      </c>
      <c r="C32" s="2">
        <v>252</v>
      </c>
      <c r="D32" s="3">
        <v>4190.01</v>
      </c>
      <c r="E32" s="4" t="s">
        <v>11</v>
      </c>
    </row>
    <row r="33" spans="1:5" x14ac:dyDescent="0.2">
      <c r="A33" s="1">
        <v>44212</v>
      </c>
      <c r="B33" s="2">
        <v>1185</v>
      </c>
      <c r="C33" s="2">
        <v>288</v>
      </c>
      <c r="D33" s="3">
        <v>3899.02</v>
      </c>
      <c r="E33" s="4" t="s">
        <v>12</v>
      </c>
    </row>
    <row r="34" spans="1:5" hidden="1" x14ac:dyDescent="0.2">
      <c r="A34" s="1">
        <v>44213</v>
      </c>
      <c r="B34" s="2">
        <v>1145</v>
      </c>
      <c r="C34" s="2">
        <v>222</v>
      </c>
      <c r="D34" s="3">
        <v>3561.74</v>
      </c>
      <c r="E34" s="4" t="s">
        <v>11</v>
      </c>
    </row>
    <row r="35" spans="1:5" x14ac:dyDescent="0.2">
      <c r="A35" s="1">
        <v>44213</v>
      </c>
      <c r="B35" s="2">
        <v>1198</v>
      </c>
      <c r="C35" s="2">
        <v>300</v>
      </c>
      <c r="D35" s="3">
        <v>4978.1899999999996</v>
      </c>
      <c r="E35" s="4" t="s">
        <v>12</v>
      </c>
    </row>
    <row r="36" spans="1:5" hidden="1" x14ac:dyDescent="0.2">
      <c r="A36" s="1">
        <v>44214</v>
      </c>
      <c r="B36" s="2">
        <v>1161</v>
      </c>
      <c r="C36" s="2">
        <v>244</v>
      </c>
      <c r="D36" s="3">
        <v>3803.02</v>
      </c>
      <c r="E36" s="4" t="s">
        <v>11</v>
      </c>
    </row>
    <row r="37" spans="1:5" x14ac:dyDescent="0.2">
      <c r="A37" s="1">
        <v>44214</v>
      </c>
      <c r="B37" s="2">
        <v>1155</v>
      </c>
      <c r="C37" s="2">
        <v>286</v>
      </c>
      <c r="D37" s="3">
        <v>4167.3900000000003</v>
      </c>
      <c r="E37" s="4" t="s">
        <v>12</v>
      </c>
    </row>
    <row r="38" spans="1:5" hidden="1" x14ac:dyDescent="0.2">
      <c r="A38" s="1">
        <v>44215</v>
      </c>
      <c r="B38" s="2">
        <v>1222</v>
      </c>
      <c r="C38" s="2">
        <v>226</v>
      </c>
      <c r="D38" s="3">
        <v>3825.45</v>
      </c>
      <c r="E38" s="4" t="s">
        <v>11</v>
      </c>
    </row>
    <row r="39" spans="1:5" x14ac:dyDescent="0.2">
      <c r="A39" s="1">
        <v>44215</v>
      </c>
      <c r="B39" s="2">
        <v>1166</v>
      </c>
      <c r="C39" s="2">
        <v>262</v>
      </c>
      <c r="D39" s="3">
        <v>4408.3</v>
      </c>
      <c r="E39" s="4" t="s">
        <v>12</v>
      </c>
    </row>
    <row r="40" spans="1:5" hidden="1" x14ac:dyDescent="0.2">
      <c r="A40" s="1">
        <v>44216</v>
      </c>
      <c r="B40" s="2">
        <v>1175</v>
      </c>
      <c r="C40" s="2">
        <v>255</v>
      </c>
      <c r="D40" s="3">
        <v>3966.11</v>
      </c>
      <c r="E40" s="4" t="s">
        <v>11</v>
      </c>
    </row>
    <row r="41" spans="1:5" x14ac:dyDescent="0.2">
      <c r="A41" s="1">
        <v>44216</v>
      </c>
      <c r="B41" s="2">
        <v>1182</v>
      </c>
      <c r="C41" s="2">
        <v>283</v>
      </c>
      <c r="D41" s="3">
        <v>4996.1899999999996</v>
      </c>
      <c r="E41" s="4" t="s">
        <v>12</v>
      </c>
    </row>
    <row r="42" spans="1:5" hidden="1" x14ac:dyDescent="0.2">
      <c r="A42" s="1">
        <v>44217</v>
      </c>
      <c r="B42" s="2">
        <v>1166</v>
      </c>
      <c r="C42" s="2">
        <v>232</v>
      </c>
      <c r="D42" s="3">
        <v>2983.11</v>
      </c>
      <c r="E42" s="4" t="s">
        <v>11</v>
      </c>
    </row>
    <row r="43" spans="1:5" x14ac:dyDescent="0.2">
      <c r="A43" s="1">
        <v>44217</v>
      </c>
      <c r="B43" s="2">
        <v>1206</v>
      </c>
      <c r="C43" s="2">
        <v>251</v>
      </c>
      <c r="D43" s="3">
        <v>4258.2</v>
      </c>
      <c r="E43" s="4" t="s">
        <v>12</v>
      </c>
    </row>
    <row r="44" spans="1:5" hidden="1" x14ac:dyDescent="0.2">
      <c r="A44" s="1">
        <v>44218</v>
      </c>
      <c r="B44" s="2">
        <v>1193</v>
      </c>
      <c r="C44" s="2">
        <v>254</v>
      </c>
      <c r="D44" s="3">
        <v>3379.83</v>
      </c>
      <c r="E44" s="4" t="s">
        <v>11</v>
      </c>
    </row>
    <row r="45" spans="1:5" x14ac:dyDescent="0.2">
      <c r="A45" s="1">
        <v>44218</v>
      </c>
      <c r="B45" s="2">
        <v>1190</v>
      </c>
      <c r="C45" s="2">
        <v>264</v>
      </c>
      <c r="D45" s="3">
        <v>3424.16</v>
      </c>
      <c r="E45" s="4" t="s">
        <v>12</v>
      </c>
    </row>
    <row r="46" spans="1:5" hidden="1" x14ac:dyDescent="0.2">
      <c r="A46" s="1">
        <v>44219</v>
      </c>
      <c r="B46" s="2">
        <v>1268</v>
      </c>
      <c r="C46" s="2">
        <v>262</v>
      </c>
      <c r="D46" s="3">
        <v>3960.5</v>
      </c>
      <c r="E46" s="4" t="s">
        <v>11</v>
      </c>
    </row>
    <row r="47" spans="1:5" x14ac:dyDescent="0.2">
      <c r="A47" s="1">
        <v>44219</v>
      </c>
      <c r="B47" s="2">
        <v>1196</v>
      </c>
      <c r="C47" s="2">
        <v>282</v>
      </c>
      <c r="D47" s="3">
        <v>3867.36</v>
      </c>
      <c r="E47" s="4" t="s">
        <v>12</v>
      </c>
    </row>
    <row r="48" spans="1:5" hidden="1" x14ac:dyDescent="0.2">
      <c r="A48" s="1">
        <v>44220</v>
      </c>
      <c r="B48" s="2">
        <v>1234</v>
      </c>
      <c r="C48" s="2">
        <v>242</v>
      </c>
      <c r="D48" s="3">
        <v>3906.31</v>
      </c>
      <c r="E48" s="4" t="s">
        <v>11</v>
      </c>
    </row>
    <row r="49" spans="1:5" x14ac:dyDescent="0.2">
      <c r="A49" s="1">
        <v>44220</v>
      </c>
      <c r="B49" s="2">
        <v>1170</v>
      </c>
      <c r="C49" s="2">
        <v>289</v>
      </c>
      <c r="D49" s="3">
        <v>5280.36</v>
      </c>
      <c r="E49" s="4" t="s">
        <v>12</v>
      </c>
    </row>
    <row r="50" spans="1:5" hidden="1" x14ac:dyDescent="0.2">
      <c r="A50" s="1">
        <v>44221</v>
      </c>
      <c r="B50" s="2">
        <v>1187</v>
      </c>
      <c r="C50" s="2">
        <v>247</v>
      </c>
      <c r="D50" s="3">
        <v>4848.4399999999996</v>
      </c>
      <c r="E50" s="4" t="s">
        <v>11</v>
      </c>
    </row>
    <row r="51" spans="1:5" x14ac:dyDescent="0.2">
      <c r="A51" s="1">
        <v>44221</v>
      </c>
      <c r="B51" s="2">
        <v>1128</v>
      </c>
      <c r="C51" s="2">
        <v>259</v>
      </c>
      <c r="D51" s="3">
        <v>3176.76</v>
      </c>
      <c r="E51" s="4" t="s">
        <v>12</v>
      </c>
    </row>
    <row r="52" spans="1:5" hidden="1" x14ac:dyDescent="0.2">
      <c r="A52" s="1">
        <v>44222</v>
      </c>
      <c r="B52" s="2">
        <v>1236</v>
      </c>
      <c r="C52" s="2">
        <v>226</v>
      </c>
      <c r="D52" s="3">
        <v>3066.68</v>
      </c>
      <c r="E52" s="4" t="s">
        <v>11</v>
      </c>
    </row>
    <row r="53" spans="1:5" x14ac:dyDescent="0.2">
      <c r="A53" s="1">
        <v>44222</v>
      </c>
      <c r="B53" s="2">
        <v>1162</v>
      </c>
      <c r="C53" s="2">
        <v>255</v>
      </c>
      <c r="D53" s="3">
        <v>4426.59</v>
      </c>
      <c r="E53" s="4" t="s">
        <v>12</v>
      </c>
    </row>
    <row r="54" spans="1:5" hidden="1" x14ac:dyDescent="0.2">
      <c r="A54" s="1">
        <v>44223</v>
      </c>
      <c r="B54" s="2">
        <v>1204</v>
      </c>
      <c r="C54" s="2">
        <v>241</v>
      </c>
      <c r="D54" s="3">
        <v>3296.02</v>
      </c>
      <c r="E54" s="4" t="s">
        <v>11</v>
      </c>
    </row>
    <row r="55" spans="1:5" x14ac:dyDescent="0.2">
      <c r="A55" s="1">
        <v>44223</v>
      </c>
      <c r="B55" s="2">
        <v>1144</v>
      </c>
      <c r="C55" s="2">
        <v>238</v>
      </c>
      <c r="D55" s="3">
        <v>4213.76</v>
      </c>
      <c r="E55" s="4" t="s">
        <v>12</v>
      </c>
    </row>
    <row r="56" spans="1:5" hidden="1" x14ac:dyDescent="0.2">
      <c r="A56" s="1">
        <v>44224</v>
      </c>
      <c r="B56" s="2">
        <v>1238</v>
      </c>
      <c r="C56" s="2">
        <v>247</v>
      </c>
      <c r="D56" s="3">
        <v>3470.38</v>
      </c>
      <c r="E56" s="4" t="s">
        <v>11</v>
      </c>
    </row>
    <row r="57" spans="1:5" x14ac:dyDescent="0.2">
      <c r="A57" s="1">
        <v>44224</v>
      </c>
      <c r="B57" s="2">
        <v>1155</v>
      </c>
      <c r="C57" s="2">
        <v>239</v>
      </c>
      <c r="D57" s="3">
        <v>3511.71</v>
      </c>
      <c r="E57" s="4" t="s">
        <v>12</v>
      </c>
    </row>
    <row r="58" spans="1:5" hidden="1" x14ac:dyDescent="0.2">
      <c r="A58" s="1">
        <v>44225</v>
      </c>
      <c r="B58" s="2">
        <v>1205</v>
      </c>
      <c r="C58" s="2">
        <v>240</v>
      </c>
      <c r="D58" s="3">
        <v>4208.12</v>
      </c>
      <c r="E58" s="4" t="s">
        <v>11</v>
      </c>
    </row>
    <row r="59" spans="1:5" x14ac:dyDescent="0.2">
      <c r="A59" s="1">
        <v>44225</v>
      </c>
      <c r="B59" s="2">
        <v>1069</v>
      </c>
      <c r="C59" s="2">
        <v>263</v>
      </c>
      <c r="D59" s="3">
        <v>3835.77</v>
      </c>
      <c r="E59" s="4" t="s">
        <v>12</v>
      </c>
    </row>
    <row r="60" spans="1:5" hidden="1" x14ac:dyDescent="0.2">
      <c r="A60" s="1">
        <v>44226</v>
      </c>
      <c r="B60" s="2">
        <v>1199</v>
      </c>
      <c r="C60" s="2">
        <v>224</v>
      </c>
      <c r="D60" s="3">
        <v>4091.32</v>
      </c>
      <c r="E60" s="4" t="s">
        <v>11</v>
      </c>
    </row>
    <row r="61" spans="1:5" x14ac:dyDescent="0.2">
      <c r="A61" s="1">
        <v>44226</v>
      </c>
      <c r="B61" s="2">
        <v>1163</v>
      </c>
      <c r="C61" s="2">
        <v>266</v>
      </c>
      <c r="D61" s="3">
        <v>3495.16</v>
      </c>
      <c r="E61" s="4" t="s">
        <v>12</v>
      </c>
    </row>
    <row r="62" spans="1:5" hidden="1" x14ac:dyDescent="0.2">
      <c r="A62" s="1">
        <v>44227</v>
      </c>
      <c r="B62" s="2">
        <v>1200</v>
      </c>
      <c r="C62" s="2">
        <v>204</v>
      </c>
      <c r="D62" s="3">
        <v>3141.22</v>
      </c>
      <c r="E62" s="4" t="s">
        <v>11</v>
      </c>
    </row>
    <row r="63" spans="1:5" x14ac:dyDescent="0.2">
      <c r="A63" s="1">
        <v>44227</v>
      </c>
      <c r="B63" s="2">
        <v>1219</v>
      </c>
      <c r="C63" s="2">
        <v>278</v>
      </c>
      <c r="D63" s="3">
        <v>4114.28</v>
      </c>
      <c r="E63" s="4" t="s">
        <v>12</v>
      </c>
    </row>
    <row r="64" spans="1:5" hidden="1" x14ac:dyDescent="0.2">
      <c r="A64" s="1">
        <v>44228</v>
      </c>
      <c r="B64" s="2">
        <v>1196</v>
      </c>
      <c r="C64" s="2">
        <v>194</v>
      </c>
      <c r="D64" s="3">
        <v>3019.02</v>
      </c>
      <c r="E64" s="4" t="s">
        <v>11</v>
      </c>
    </row>
    <row r="65" spans="1:5" x14ac:dyDescent="0.2">
      <c r="A65" s="1">
        <v>44228</v>
      </c>
      <c r="B65" s="2">
        <v>1088</v>
      </c>
      <c r="C65" s="2">
        <v>261</v>
      </c>
      <c r="D65" s="3">
        <v>3850.95</v>
      </c>
      <c r="E65" s="4" t="s">
        <v>12</v>
      </c>
    </row>
    <row r="66" spans="1:5" hidden="1" x14ac:dyDescent="0.2">
      <c r="A66" s="1">
        <v>44229</v>
      </c>
      <c r="B66" s="2">
        <v>1235</v>
      </c>
      <c r="C66" s="2">
        <v>220</v>
      </c>
      <c r="D66" s="3">
        <v>3695.82</v>
      </c>
      <c r="E66" s="4" t="s">
        <v>11</v>
      </c>
    </row>
    <row r="67" spans="1:5" x14ac:dyDescent="0.2">
      <c r="A67" s="1">
        <v>44229</v>
      </c>
      <c r="B67" s="2">
        <v>1174</v>
      </c>
      <c r="C67" s="2">
        <v>277</v>
      </c>
      <c r="D67" s="3">
        <v>4602.24</v>
      </c>
      <c r="E67" s="4" t="s">
        <v>12</v>
      </c>
    </row>
    <row r="68" spans="1:5" hidden="1" x14ac:dyDescent="0.2">
      <c r="A68" s="1">
        <v>44230</v>
      </c>
      <c r="B68" s="2">
        <v>1226</v>
      </c>
      <c r="C68" s="2">
        <v>228</v>
      </c>
      <c r="D68" s="3">
        <v>3669.48</v>
      </c>
      <c r="E68" s="4" t="s">
        <v>11</v>
      </c>
    </row>
    <row r="69" spans="1:5" x14ac:dyDescent="0.2">
      <c r="A69" s="1">
        <v>44230</v>
      </c>
      <c r="B69" s="2">
        <v>1192</v>
      </c>
      <c r="C69" s="2">
        <v>253</v>
      </c>
      <c r="D69" s="3">
        <v>3945.69</v>
      </c>
      <c r="E69" s="4" t="s">
        <v>12</v>
      </c>
    </row>
    <row r="70" spans="1:5" hidden="1" x14ac:dyDescent="0.2">
      <c r="A70" s="1">
        <v>44231</v>
      </c>
      <c r="B70" s="2">
        <v>1200</v>
      </c>
      <c r="C70" s="2">
        <v>217</v>
      </c>
      <c r="D70" s="3">
        <v>3395.69</v>
      </c>
      <c r="E70" s="4" t="s">
        <v>11</v>
      </c>
    </row>
    <row r="71" spans="1:5" x14ac:dyDescent="0.2">
      <c r="A71" s="1">
        <v>44231</v>
      </c>
      <c r="B71" s="2">
        <v>1227</v>
      </c>
      <c r="C71" s="2">
        <v>297</v>
      </c>
      <c r="D71" s="3">
        <v>4674.7</v>
      </c>
      <c r="E71" s="4" t="s">
        <v>12</v>
      </c>
    </row>
    <row r="72" spans="1:5" hidden="1" x14ac:dyDescent="0.2">
      <c r="A72" s="1">
        <v>44232</v>
      </c>
      <c r="B72" s="2">
        <v>1179</v>
      </c>
      <c r="C72" s="2">
        <v>215</v>
      </c>
      <c r="D72" s="3">
        <v>3257.6</v>
      </c>
      <c r="E72" s="4" t="s">
        <v>11</v>
      </c>
    </row>
    <row r="73" spans="1:5" x14ac:dyDescent="0.2">
      <c r="A73" s="1">
        <v>44232</v>
      </c>
      <c r="B73" s="2">
        <v>1144</v>
      </c>
      <c r="C73" s="2">
        <v>275</v>
      </c>
      <c r="D73" s="3">
        <v>4027.56</v>
      </c>
      <c r="E73" s="4" t="s">
        <v>12</v>
      </c>
    </row>
    <row r="74" spans="1:5" hidden="1" x14ac:dyDescent="0.2">
      <c r="A74" s="1">
        <v>44233</v>
      </c>
      <c r="B74" s="2">
        <v>1158</v>
      </c>
      <c r="C74" s="2">
        <v>242</v>
      </c>
      <c r="D74" s="3">
        <v>3748.56</v>
      </c>
      <c r="E74" s="4" t="s">
        <v>11</v>
      </c>
    </row>
    <row r="75" spans="1:5" x14ac:dyDescent="0.2">
      <c r="A75" s="1">
        <v>44233</v>
      </c>
      <c r="B75" s="2">
        <v>1088</v>
      </c>
      <c r="C75" s="2">
        <v>234</v>
      </c>
      <c r="D75" s="3">
        <v>3506.75</v>
      </c>
      <c r="E75" s="4" t="s">
        <v>12</v>
      </c>
    </row>
    <row r="76" spans="1:5" hidden="1" x14ac:dyDescent="0.2">
      <c r="A76" s="1">
        <v>44234</v>
      </c>
      <c r="B76" s="2">
        <v>1187</v>
      </c>
      <c r="C76" s="2">
        <v>253</v>
      </c>
      <c r="D76" s="3">
        <v>3431.47</v>
      </c>
      <c r="E76" s="4" t="s">
        <v>11</v>
      </c>
    </row>
    <row r="77" spans="1:5" x14ac:dyDescent="0.2">
      <c r="A77" s="1">
        <v>44234</v>
      </c>
      <c r="B77" s="2">
        <v>1179</v>
      </c>
      <c r="C77" s="2">
        <v>264</v>
      </c>
      <c r="D77" s="3">
        <v>4111.3</v>
      </c>
      <c r="E77" s="4" t="s">
        <v>12</v>
      </c>
    </row>
    <row r="78" spans="1:5" hidden="1" x14ac:dyDescent="0.2">
      <c r="A78" s="1">
        <v>44235</v>
      </c>
      <c r="B78" s="2">
        <v>1151</v>
      </c>
      <c r="C78" s="2">
        <v>207</v>
      </c>
      <c r="D78" s="3">
        <v>3238.61</v>
      </c>
      <c r="E78" s="4" t="s">
        <v>11</v>
      </c>
    </row>
    <row r="79" spans="1:5" x14ac:dyDescent="0.2">
      <c r="A79" s="1">
        <v>44235</v>
      </c>
      <c r="B79" s="2">
        <v>1175</v>
      </c>
      <c r="C79" s="2">
        <v>258</v>
      </c>
      <c r="D79" s="3">
        <v>3701.15</v>
      </c>
      <c r="E79" s="4" t="s">
        <v>12</v>
      </c>
    </row>
    <row r="80" spans="1:5" hidden="1" x14ac:dyDescent="0.2">
      <c r="A80" s="1">
        <v>44236</v>
      </c>
      <c r="B80" s="2">
        <v>1137</v>
      </c>
      <c r="C80" s="2">
        <v>246</v>
      </c>
      <c r="D80" s="3">
        <v>4403.96</v>
      </c>
      <c r="E80" s="4" t="s">
        <v>11</v>
      </c>
    </row>
    <row r="81" spans="1:5" x14ac:dyDescent="0.2">
      <c r="A81" s="1">
        <v>44236</v>
      </c>
      <c r="B81" s="2">
        <v>1146</v>
      </c>
      <c r="C81" s="2">
        <v>263</v>
      </c>
      <c r="D81" s="3">
        <v>4712.58</v>
      </c>
      <c r="E81" s="4" t="s">
        <v>12</v>
      </c>
    </row>
    <row r="82" spans="1:5" hidden="1" x14ac:dyDescent="0.2">
      <c r="A82" s="1">
        <v>44237</v>
      </c>
      <c r="B82" s="2">
        <v>1117</v>
      </c>
      <c r="C82" s="2">
        <v>214</v>
      </c>
      <c r="D82" s="3">
        <v>2850.6</v>
      </c>
      <c r="E82" s="4" t="s">
        <v>11</v>
      </c>
    </row>
    <row r="83" spans="1:5" x14ac:dyDescent="0.2">
      <c r="A83" s="1">
        <v>44237</v>
      </c>
      <c r="B83" s="2">
        <v>1146</v>
      </c>
      <c r="C83" s="2">
        <v>285</v>
      </c>
      <c r="D83" s="3">
        <v>4218.3500000000004</v>
      </c>
      <c r="E83" s="4" t="s">
        <v>12</v>
      </c>
    </row>
    <row r="84" spans="1:5" hidden="1" x14ac:dyDescent="0.2">
      <c r="A84" s="1">
        <v>44238</v>
      </c>
      <c r="B84" s="2">
        <v>1220</v>
      </c>
      <c r="C84" s="2">
        <v>222</v>
      </c>
      <c r="D84" s="3">
        <v>2931.1</v>
      </c>
      <c r="E84" s="4" t="s">
        <v>11</v>
      </c>
    </row>
    <row r="85" spans="1:5" x14ac:dyDescent="0.2">
      <c r="A85" s="1">
        <v>44238</v>
      </c>
      <c r="B85" s="2">
        <v>1205</v>
      </c>
      <c r="C85" s="2">
        <v>246</v>
      </c>
      <c r="D85" s="3">
        <v>4178.0200000000004</v>
      </c>
      <c r="E85" s="4" t="s">
        <v>12</v>
      </c>
    </row>
    <row r="86" spans="1:5" hidden="1" x14ac:dyDescent="0.2">
      <c r="A86" s="1">
        <v>44239</v>
      </c>
      <c r="B86" s="2">
        <v>1211</v>
      </c>
      <c r="C86" s="2">
        <v>203</v>
      </c>
      <c r="D86" s="3">
        <v>3523.85</v>
      </c>
      <c r="E86" s="4" t="s">
        <v>11</v>
      </c>
    </row>
    <row r="87" spans="1:5" x14ac:dyDescent="0.2">
      <c r="A87" s="1">
        <v>44239</v>
      </c>
      <c r="B87" s="2">
        <v>1159</v>
      </c>
      <c r="C87" s="2">
        <v>295</v>
      </c>
      <c r="D87" s="3">
        <v>4443.1899999999996</v>
      </c>
      <c r="E87" s="4" t="s">
        <v>12</v>
      </c>
    </row>
    <row r="88" spans="1:5" hidden="1" x14ac:dyDescent="0.2">
      <c r="A88" s="1">
        <v>44240</v>
      </c>
      <c r="B88" s="2">
        <v>1239</v>
      </c>
      <c r="C88" s="2">
        <v>245</v>
      </c>
      <c r="D88" s="3">
        <v>3677.57</v>
      </c>
      <c r="E88" s="4" t="s">
        <v>11</v>
      </c>
    </row>
    <row r="89" spans="1:5" x14ac:dyDescent="0.2">
      <c r="A89" s="1">
        <v>44240</v>
      </c>
      <c r="B89" s="2">
        <v>1190</v>
      </c>
      <c r="C89" s="2">
        <v>289</v>
      </c>
      <c r="D89" s="3">
        <v>4651.1499999999996</v>
      </c>
      <c r="E89" s="4" t="s">
        <v>12</v>
      </c>
    </row>
    <row r="90" spans="1:5" hidden="1" x14ac:dyDescent="0.2">
      <c r="A90" s="1">
        <v>44241</v>
      </c>
      <c r="B90" s="2">
        <v>1282</v>
      </c>
      <c r="C90" s="2">
        <v>234</v>
      </c>
      <c r="D90" s="3">
        <v>2792.03</v>
      </c>
      <c r="E90" s="4" t="s">
        <v>11</v>
      </c>
    </row>
    <row r="91" spans="1:5" x14ac:dyDescent="0.2">
      <c r="A91" s="1">
        <v>44241</v>
      </c>
      <c r="B91" s="2">
        <v>1102</v>
      </c>
      <c r="C91" s="2">
        <v>254</v>
      </c>
      <c r="D91" s="3">
        <v>4713.0600000000004</v>
      </c>
      <c r="E91" s="4" t="s">
        <v>12</v>
      </c>
    </row>
    <row r="92" spans="1:5" hidden="1" x14ac:dyDescent="0.2">
      <c r="A92" s="1">
        <v>44242</v>
      </c>
      <c r="B92" s="2">
        <v>1202</v>
      </c>
      <c r="C92" s="2">
        <v>236</v>
      </c>
      <c r="D92" s="3">
        <v>3422.49</v>
      </c>
      <c r="E92" s="4" t="s">
        <v>11</v>
      </c>
    </row>
    <row r="93" spans="1:5" x14ac:dyDescent="0.2">
      <c r="A93" s="1">
        <v>44242</v>
      </c>
      <c r="B93" s="2">
        <v>1107</v>
      </c>
      <c r="C93" s="2">
        <v>247</v>
      </c>
      <c r="D93" s="3">
        <v>4431.96</v>
      </c>
      <c r="E93" s="4" t="s">
        <v>12</v>
      </c>
    </row>
    <row r="94" spans="1:5" hidden="1" x14ac:dyDescent="0.2">
      <c r="A94" s="1">
        <v>44243</v>
      </c>
      <c r="B94" s="2">
        <v>1221</v>
      </c>
      <c r="C94" s="2">
        <v>237</v>
      </c>
      <c r="D94" s="3">
        <v>4056.69</v>
      </c>
      <c r="E94" s="4" t="s">
        <v>11</v>
      </c>
    </row>
    <row r="95" spans="1:5" x14ac:dyDescent="0.2">
      <c r="A95" s="1">
        <v>44243</v>
      </c>
      <c r="B95" s="2">
        <v>1139</v>
      </c>
      <c r="C95" s="2">
        <v>285</v>
      </c>
      <c r="D95" s="3">
        <v>3557.52</v>
      </c>
      <c r="E95" s="4" t="s">
        <v>12</v>
      </c>
    </row>
    <row r="96" spans="1:5" hidden="1" x14ac:dyDescent="0.2">
      <c r="A96" s="1">
        <v>44244</v>
      </c>
      <c r="B96" s="2">
        <v>1201</v>
      </c>
      <c r="C96" s="2">
        <v>228</v>
      </c>
      <c r="D96" s="3">
        <v>2643.26</v>
      </c>
      <c r="E96" s="4" t="s">
        <v>11</v>
      </c>
    </row>
    <row r="97" spans="1:5" x14ac:dyDescent="0.2">
      <c r="A97" s="1">
        <v>44244</v>
      </c>
      <c r="B97" s="2">
        <v>1146</v>
      </c>
      <c r="C97" s="2">
        <v>275</v>
      </c>
      <c r="D97" s="3">
        <v>4369.45</v>
      </c>
      <c r="E97" s="4" t="s">
        <v>12</v>
      </c>
    </row>
    <row r="98" spans="1:5" hidden="1" x14ac:dyDescent="0.2">
      <c r="A98" s="1">
        <v>44245</v>
      </c>
      <c r="B98" s="2">
        <v>1213</v>
      </c>
      <c r="C98" s="2">
        <v>230</v>
      </c>
      <c r="D98" s="3">
        <v>3618.64</v>
      </c>
      <c r="E98" s="4" t="s">
        <v>11</v>
      </c>
    </row>
    <row r="99" spans="1:5" x14ac:dyDescent="0.2">
      <c r="A99" s="1">
        <v>44245</v>
      </c>
      <c r="B99" s="2">
        <v>1115</v>
      </c>
      <c r="C99" s="2">
        <v>277</v>
      </c>
      <c r="D99" s="3">
        <v>3911.31</v>
      </c>
      <c r="E99" s="4" t="s">
        <v>12</v>
      </c>
    </row>
    <row r="100" spans="1:5" hidden="1" x14ac:dyDescent="0.2">
      <c r="A100" s="1">
        <v>44246</v>
      </c>
      <c r="B100" s="2">
        <v>1217</v>
      </c>
      <c r="C100" s="2">
        <v>238</v>
      </c>
      <c r="D100" s="3">
        <v>3317.6</v>
      </c>
      <c r="E100" s="4" t="s">
        <v>11</v>
      </c>
    </row>
    <row r="101" spans="1:5" x14ac:dyDescent="0.2">
      <c r="A101" s="1">
        <v>44246</v>
      </c>
      <c r="B101" s="2">
        <v>1114</v>
      </c>
      <c r="C101" s="2">
        <v>248</v>
      </c>
      <c r="D101" s="3">
        <v>3574.74</v>
      </c>
      <c r="E101" s="4" t="s">
        <v>12</v>
      </c>
    </row>
    <row r="102" spans="1:5" hidden="1" x14ac:dyDescent="0.2">
      <c r="A102" s="1">
        <v>44247</v>
      </c>
      <c r="B102" s="2">
        <v>1168</v>
      </c>
      <c r="C102" s="2">
        <v>224</v>
      </c>
      <c r="D102" s="3">
        <v>3046.52</v>
      </c>
      <c r="E102" s="4" t="s">
        <v>11</v>
      </c>
    </row>
    <row r="103" spans="1:5" x14ac:dyDescent="0.2">
      <c r="A103" s="1">
        <v>44247</v>
      </c>
      <c r="B103" s="2">
        <v>1195</v>
      </c>
      <c r="C103" s="2">
        <v>270</v>
      </c>
      <c r="D103" s="3">
        <v>4435.55</v>
      </c>
      <c r="E103" s="4" t="s">
        <v>12</v>
      </c>
    </row>
    <row r="104" spans="1:5" hidden="1" x14ac:dyDescent="0.2">
      <c r="A104" s="1">
        <v>44248</v>
      </c>
      <c r="B104" s="2">
        <v>1234</v>
      </c>
      <c r="C104" s="2">
        <v>236</v>
      </c>
      <c r="D104" s="3">
        <v>3410.18</v>
      </c>
      <c r="E104" s="4" t="s">
        <v>11</v>
      </c>
    </row>
    <row r="105" spans="1:5" x14ac:dyDescent="0.2">
      <c r="A105" s="1">
        <v>44248</v>
      </c>
      <c r="B105" s="2">
        <v>1161</v>
      </c>
      <c r="C105" s="2">
        <v>266</v>
      </c>
      <c r="D105" s="3">
        <v>3031.38</v>
      </c>
      <c r="E105" s="4" t="s">
        <v>12</v>
      </c>
    </row>
    <row r="106" spans="1:5" hidden="1" x14ac:dyDescent="0.2">
      <c r="A106" s="1">
        <v>44249</v>
      </c>
      <c r="B106" s="2">
        <v>1105</v>
      </c>
      <c r="C106" s="2">
        <v>217</v>
      </c>
      <c r="D106" s="3">
        <v>3199.48</v>
      </c>
      <c r="E106" s="4" t="s">
        <v>11</v>
      </c>
    </row>
    <row r="107" spans="1:5" x14ac:dyDescent="0.2">
      <c r="A107" s="1">
        <v>44249</v>
      </c>
      <c r="B107" s="2">
        <v>1153</v>
      </c>
      <c r="C107" s="2">
        <v>266</v>
      </c>
      <c r="D107" s="3">
        <v>3747.65</v>
      </c>
      <c r="E107" s="4" t="s">
        <v>12</v>
      </c>
    </row>
    <row r="108" spans="1:5" hidden="1" x14ac:dyDescent="0.2">
      <c r="A108" s="1">
        <v>44250</v>
      </c>
      <c r="B108" s="2">
        <v>1169</v>
      </c>
      <c r="C108" s="2">
        <v>204</v>
      </c>
      <c r="D108" s="3">
        <v>3748.35</v>
      </c>
      <c r="E108" s="4" t="s">
        <v>11</v>
      </c>
    </row>
    <row r="109" spans="1:5" x14ac:dyDescent="0.2">
      <c r="A109" s="1">
        <v>44250</v>
      </c>
      <c r="B109" s="2">
        <v>1181</v>
      </c>
      <c r="C109" s="2">
        <v>259</v>
      </c>
      <c r="D109" s="3">
        <v>4600.6899999999996</v>
      </c>
      <c r="E109" s="4" t="s">
        <v>12</v>
      </c>
    </row>
    <row r="110" spans="1:5" hidden="1" x14ac:dyDescent="0.2">
      <c r="A110" s="1">
        <v>44251</v>
      </c>
      <c r="B110" s="2">
        <v>1209</v>
      </c>
      <c r="C110" s="2">
        <v>243</v>
      </c>
      <c r="D110" s="3">
        <v>3219.45</v>
      </c>
      <c r="E110" s="4" t="s">
        <v>11</v>
      </c>
    </row>
    <row r="111" spans="1:5" x14ac:dyDescent="0.2">
      <c r="A111" s="1">
        <v>44251</v>
      </c>
      <c r="B111" s="2">
        <v>1164</v>
      </c>
      <c r="C111" s="2">
        <v>255</v>
      </c>
      <c r="D111" s="3">
        <v>3374.77</v>
      </c>
      <c r="E111" s="4" t="s">
        <v>12</v>
      </c>
    </row>
    <row r="112" spans="1:5" hidden="1" x14ac:dyDescent="0.2">
      <c r="A112" s="1">
        <v>44252</v>
      </c>
      <c r="B112" s="2">
        <v>1210</v>
      </c>
      <c r="C112" s="2">
        <v>230</v>
      </c>
      <c r="D112" s="3">
        <v>3150.7</v>
      </c>
      <c r="E112" s="4" t="s">
        <v>11</v>
      </c>
    </row>
    <row r="113" spans="1:5" x14ac:dyDescent="0.2">
      <c r="A113" s="1">
        <v>44252</v>
      </c>
      <c r="B113" s="2">
        <v>1116</v>
      </c>
      <c r="C113" s="2">
        <v>239</v>
      </c>
      <c r="D113" s="3">
        <v>3591.15</v>
      </c>
      <c r="E113" s="4" t="s">
        <v>12</v>
      </c>
    </row>
    <row r="114" spans="1:5" hidden="1" x14ac:dyDescent="0.2">
      <c r="A114" s="1">
        <v>44253</v>
      </c>
      <c r="B114" s="2">
        <v>1140</v>
      </c>
      <c r="C114" s="2">
        <v>207</v>
      </c>
      <c r="D114" s="3">
        <v>3006.08</v>
      </c>
      <c r="E114" s="4" t="s">
        <v>11</v>
      </c>
    </row>
    <row r="115" spans="1:5" x14ac:dyDescent="0.2">
      <c r="A115" s="1">
        <v>44253</v>
      </c>
      <c r="B115" s="2">
        <v>1185</v>
      </c>
      <c r="C115" s="2">
        <v>260</v>
      </c>
      <c r="D115" s="3">
        <v>3688.07</v>
      </c>
      <c r="E115" s="4" t="s">
        <v>12</v>
      </c>
    </row>
    <row r="116" spans="1:5" hidden="1" x14ac:dyDescent="0.2">
      <c r="A116" s="1">
        <v>44254</v>
      </c>
      <c r="B116" s="2">
        <v>1264</v>
      </c>
      <c r="C116" s="2">
        <v>256</v>
      </c>
      <c r="D116" s="3">
        <v>3500.74</v>
      </c>
      <c r="E116" s="4" t="s">
        <v>11</v>
      </c>
    </row>
    <row r="117" spans="1:5" x14ac:dyDescent="0.2">
      <c r="A117" s="1">
        <v>44254</v>
      </c>
      <c r="B117" s="2">
        <v>1132</v>
      </c>
      <c r="C117" s="2">
        <v>275</v>
      </c>
      <c r="D117" s="3">
        <v>4713.83</v>
      </c>
      <c r="E117" s="4" t="s">
        <v>12</v>
      </c>
    </row>
    <row r="118" spans="1:5" hidden="1" x14ac:dyDescent="0.2">
      <c r="A118" s="1">
        <v>44255</v>
      </c>
      <c r="B118" s="2">
        <v>1151</v>
      </c>
      <c r="C118" s="2">
        <v>215</v>
      </c>
      <c r="D118" s="3">
        <v>3196.59</v>
      </c>
      <c r="E118" s="4" t="s">
        <v>11</v>
      </c>
    </row>
    <row r="119" spans="1:5" x14ac:dyDescent="0.2">
      <c r="A119" s="1">
        <v>44255</v>
      </c>
      <c r="B119" s="2">
        <v>1153</v>
      </c>
      <c r="C119" s="2">
        <v>275</v>
      </c>
      <c r="D119" s="3">
        <v>3733.94</v>
      </c>
      <c r="E119" s="4" t="s">
        <v>12</v>
      </c>
    </row>
    <row r="120" spans="1:5" hidden="1" x14ac:dyDescent="0.2">
      <c r="A120" s="1">
        <v>44256</v>
      </c>
      <c r="B120" s="2">
        <v>1182</v>
      </c>
      <c r="C120" s="2">
        <v>217</v>
      </c>
      <c r="D120" s="3">
        <v>3484.94</v>
      </c>
      <c r="E120" s="4" t="s">
        <v>11</v>
      </c>
    </row>
    <row r="121" spans="1:5" x14ac:dyDescent="0.2">
      <c r="A121" s="1">
        <v>44256</v>
      </c>
      <c r="B121" s="2">
        <v>1147</v>
      </c>
      <c r="C121" s="2">
        <v>253</v>
      </c>
      <c r="D121" s="3">
        <v>4777.43</v>
      </c>
      <c r="E121" s="4" t="s">
        <v>12</v>
      </c>
    </row>
    <row r="122" spans="1:5" hidden="1" x14ac:dyDescent="0.2">
      <c r="A122" s="1">
        <v>44257</v>
      </c>
      <c r="B122" s="2">
        <v>1154</v>
      </c>
      <c r="C122" s="2">
        <v>182</v>
      </c>
      <c r="D122" s="3">
        <v>2761.52</v>
      </c>
      <c r="E122" s="4" t="s">
        <v>11</v>
      </c>
    </row>
    <row r="123" spans="1:5" x14ac:dyDescent="0.2">
      <c r="A123" s="1">
        <v>44257</v>
      </c>
      <c r="B123" s="2">
        <v>1157</v>
      </c>
      <c r="C123" s="2">
        <v>250</v>
      </c>
      <c r="D123" s="3">
        <v>3922.16</v>
      </c>
      <c r="E123" s="4" t="s">
        <v>12</v>
      </c>
    </row>
    <row r="124" spans="1:5" hidden="1" x14ac:dyDescent="0.2">
      <c r="A124" s="1">
        <v>44258</v>
      </c>
      <c r="B124" s="2">
        <v>1167</v>
      </c>
      <c r="C124" s="2">
        <v>207</v>
      </c>
      <c r="D124" s="3">
        <v>3224.97</v>
      </c>
      <c r="E124" s="4" t="s">
        <v>11</v>
      </c>
    </row>
    <row r="125" spans="1:5" x14ac:dyDescent="0.2">
      <c r="A125" s="1">
        <v>44258</v>
      </c>
      <c r="B125" s="2">
        <v>1136</v>
      </c>
      <c r="C125" s="2">
        <v>255</v>
      </c>
      <c r="D125" s="3">
        <v>5138.45</v>
      </c>
      <c r="E125" s="4" t="s">
        <v>12</v>
      </c>
    </row>
    <row r="126" spans="1:5" hidden="1" x14ac:dyDescent="0.2">
      <c r="A126" s="1">
        <v>44259</v>
      </c>
      <c r="B126" s="2">
        <v>1194</v>
      </c>
      <c r="C126" s="2">
        <v>238</v>
      </c>
      <c r="D126" s="3">
        <v>3578.77</v>
      </c>
      <c r="E126" s="4" t="s">
        <v>11</v>
      </c>
    </row>
    <row r="127" spans="1:5" x14ac:dyDescent="0.2">
      <c r="A127" s="1">
        <v>44259</v>
      </c>
      <c r="B127" s="2">
        <v>1122</v>
      </c>
      <c r="C127" s="2">
        <v>259</v>
      </c>
      <c r="D127" s="3">
        <v>5012.3900000000003</v>
      </c>
      <c r="E127" s="4" t="s">
        <v>12</v>
      </c>
    </row>
    <row r="128" spans="1:5" hidden="1" x14ac:dyDescent="0.2">
      <c r="A128" s="1">
        <v>44260</v>
      </c>
      <c r="B128" s="2">
        <v>1255</v>
      </c>
      <c r="C128" s="2">
        <v>218</v>
      </c>
      <c r="D128" s="3">
        <v>2625.34</v>
      </c>
      <c r="E128" s="4" t="s">
        <v>11</v>
      </c>
    </row>
    <row r="129" spans="1:5" x14ac:dyDescent="0.2">
      <c r="A129" s="1">
        <v>44260</v>
      </c>
      <c r="B129" s="2">
        <v>1108</v>
      </c>
      <c r="C129" s="2">
        <v>266</v>
      </c>
      <c r="D129" s="3">
        <v>4864.4799999999996</v>
      </c>
      <c r="E129" s="4" t="s">
        <v>12</v>
      </c>
    </row>
    <row r="130" spans="1:5" hidden="1" x14ac:dyDescent="0.2">
      <c r="A130" s="1">
        <v>44261</v>
      </c>
      <c r="B130" s="2">
        <v>1251</v>
      </c>
      <c r="C130" s="2">
        <v>235</v>
      </c>
      <c r="D130" s="3">
        <v>3915.26</v>
      </c>
      <c r="E130" s="4" t="s">
        <v>11</v>
      </c>
    </row>
    <row r="131" spans="1:5" x14ac:dyDescent="0.2">
      <c r="A131" s="1">
        <v>44261</v>
      </c>
      <c r="B131" s="2">
        <v>1177</v>
      </c>
      <c r="C131" s="2">
        <v>261</v>
      </c>
      <c r="D131" s="3">
        <v>3729.12</v>
      </c>
      <c r="E131" s="4" t="s">
        <v>12</v>
      </c>
    </row>
    <row r="132" spans="1:5" hidden="1" x14ac:dyDescent="0.2">
      <c r="A132" s="1">
        <v>44262</v>
      </c>
      <c r="B132" s="2">
        <v>1150</v>
      </c>
      <c r="C132" s="2">
        <v>213</v>
      </c>
      <c r="D132" s="3">
        <v>3005.73</v>
      </c>
      <c r="E132" s="4" t="s">
        <v>11</v>
      </c>
    </row>
    <row r="133" spans="1:5" x14ac:dyDescent="0.2">
      <c r="A133" s="1">
        <v>44262</v>
      </c>
      <c r="B133" s="2">
        <v>1122</v>
      </c>
      <c r="C133" s="2">
        <v>244</v>
      </c>
      <c r="D133" s="3">
        <v>4088.12</v>
      </c>
      <c r="E133" s="4" t="s">
        <v>12</v>
      </c>
    </row>
    <row r="134" spans="1:5" hidden="1" x14ac:dyDescent="0.2">
      <c r="A134" s="1">
        <v>44263</v>
      </c>
      <c r="B134" s="2">
        <v>1220</v>
      </c>
      <c r="C134" s="2">
        <v>232</v>
      </c>
      <c r="D134" s="3">
        <v>2654.67</v>
      </c>
      <c r="E134" s="4" t="s">
        <v>11</v>
      </c>
    </row>
    <row r="135" spans="1:5" x14ac:dyDescent="0.2">
      <c r="A135" s="1">
        <v>44263</v>
      </c>
      <c r="B135" s="2">
        <v>1146</v>
      </c>
      <c r="C135" s="2">
        <v>253</v>
      </c>
      <c r="D135" s="3">
        <v>4805</v>
      </c>
      <c r="E135" s="4" t="s">
        <v>12</v>
      </c>
    </row>
    <row r="136" spans="1:5" hidden="1" x14ac:dyDescent="0.2">
      <c r="A136" s="1">
        <v>44264</v>
      </c>
      <c r="B136" s="2">
        <v>1201</v>
      </c>
      <c r="C136" s="2">
        <v>206</v>
      </c>
      <c r="D136" s="3">
        <v>3135.07</v>
      </c>
      <c r="E136" s="4" t="s">
        <v>11</v>
      </c>
    </row>
    <row r="137" spans="1:5" x14ac:dyDescent="0.2">
      <c r="A137" s="1">
        <v>44264</v>
      </c>
      <c r="B137" s="2">
        <v>1170</v>
      </c>
      <c r="C137" s="2">
        <v>251</v>
      </c>
      <c r="D137" s="3">
        <v>4380.33</v>
      </c>
      <c r="E137" s="4" t="s">
        <v>12</v>
      </c>
    </row>
    <row r="138" spans="1:5" hidden="1" x14ac:dyDescent="0.2">
      <c r="A138" s="1">
        <v>44265</v>
      </c>
      <c r="B138" s="2">
        <v>1207</v>
      </c>
      <c r="C138" s="2">
        <v>227</v>
      </c>
      <c r="D138" s="3">
        <v>2955.72</v>
      </c>
      <c r="E138" s="4" t="s">
        <v>11</v>
      </c>
    </row>
    <row r="139" spans="1:5" x14ac:dyDescent="0.2">
      <c r="A139" s="1">
        <v>44265</v>
      </c>
      <c r="B139" s="2">
        <v>1105</v>
      </c>
      <c r="C139" s="2">
        <v>268</v>
      </c>
      <c r="D139" s="3">
        <v>4220.58</v>
      </c>
      <c r="E139" s="4" t="s">
        <v>12</v>
      </c>
    </row>
    <row r="140" spans="1:5" hidden="1" x14ac:dyDescent="0.2">
      <c r="A140" s="1">
        <v>44266</v>
      </c>
      <c r="B140" s="2">
        <v>1126</v>
      </c>
      <c r="C140" s="2">
        <v>218</v>
      </c>
      <c r="D140" s="3">
        <v>2828.72</v>
      </c>
      <c r="E140" s="4" t="s">
        <v>11</v>
      </c>
    </row>
    <row r="141" spans="1:5" x14ac:dyDescent="0.2">
      <c r="A141" s="1">
        <v>44266</v>
      </c>
      <c r="B141" s="2">
        <v>1154</v>
      </c>
      <c r="C141" s="2">
        <v>270</v>
      </c>
      <c r="D141" s="3">
        <v>3426.38</v>
      </c>
      <c r="E141" s="4" t="s">
        <v>12</v>
      </c>
    </row>
    <row r="142" spans="1:5" hidden="1" x14ac:dyDescent="0.2">
      <c r="A142" s="1">
        <v>44267</v>
      </c>
      <c r="B142" s="2">
        <v>1225</v>
      </c>
      <c r="C142" s="2">
        <v>229</v>
      </c>
      <c r="D142" s="3">
        <v>3322.45</v>
      </c>
      <c r="E142" s="4" t="s">
        <v>11</v>
      </c>
    </row>
    <row r="143" spans="1:5" x14ac:dyDescent="0.2">
      <c r="A143" s="1">
        <v>44267</v>
      </c>
      <c r="B143" s="2">
        <v>1150</v>
      </c>
      <c r="C143" s="2">
        <v>289</v>
      </c>
      <c r="D143" s="3">
        <v>4466.37</v>
      </c>
      <c r="E143" s="4" t="s">
        <v>12</v>
      </c>
    </row>
    <row r="144" spans="1:5" hidden="1" x14ac:dyDescent="0.2">
      <c r="A144" s="1">
        <v>44268</v>
      </c>
      <c r="B144" s="2">
        <v>1208</v>
      </c>
      <c r="C144" s="2">
        <v>212</v>
      </c>
      <c r="D144" s="3">
        <v>3065.99</v>
      </c>
      <c r="E144" s="4" t="s">
        <v>11</v>
      </c>
    </row>
    <row r="145" spans="1:5" x14ac:dyDescent="0.2">
      <c r="A145" s="1">
        <v>44268</v>
      </c>
      <c r="B145" s="2">
        <v>1150</v>
      </c>
      <c r="C145" s="2">
        <v>246</v>
      </c>
      <c r="D145" s="3">
        <v>3391.59</v>
      </c>
      <c r="E145" s="4" t="s">
        <v>12</v>
      </c>
    </row>
    <row r="146" spans="1:5" hidden="1" x14ac:dyDescent="0.2">
      <c r="A146" s="1">
        <v>44269</v>
      </c>
      <c r="B146" s="2">
        <v>1168</v>
      </c>
      <c r="C146" s="2">
        <v>225</v>
      </c>
      <c r="D146" s="3">
        <v>3360.26</v>
      </c>
      <c r="E146" s="4" t="s">
        <v>11</v>
      </c>
    </row>
    <row r="147" spans="1:5" x14ac:dyDescent="0.2">
      <c r="A147" s="1">
        <v>44269</v>
      </c>
      <c r="B147" s="2">
        <v>1156</v>
      </c>
      <c r="C147" s="2">
        <v>263</v>
      </c>
      <c r="D147" s="3">
        <v>3922.16</v>
      </c>
      <c r="E147" s="4" t="s">
        <v>12</v>
      </c>
    </row>
    <row r="148" spans="1:5" hidden="1" x14ac:dyDescent="0.2">
      <c r="A148" s="1">
        <v>44270</v>
      </c>
      <c r="B148" s="2">
        <v>1202</v>
      </c>
      <c r="C148" s="2">
        <v>230</v>
      </c>
      <c r="D148" s="3">
        <v>3292.36</v>
      </c>
      <c r="E148" s="4" t="s">
        <v>11</v>
      </c>
    </row>
    <row r="149" spans="1:5" x14ac:dyDescent="0.2">
      <c r="A149" s="1">
        <v>44270</v>
      </c>
      <c r="B149" s="2">
        <v>1138</v>
      </c>
      <c r="C149" s="2">
        <v>277</v>
      </c>
      <c r="D149" s="3">
        <v>4226.22</v>
      </c>
      <c r="E149" s="4" t="s">
        <v>12</v>
      </c>
    </row>
    <row r="150" spans="1:5" hidden="1" x14ac:dyDescent="0.2">
      <c r="A150" s="1">
        <v>44271</v>
      </c>
      <c r="B150" s="2">
        <v>1222</v>
      </c>
      <c r="C150" s="2">
        <v>227</v>
      </c>
      <c r="D150" s="3">
        <v>3732.64</v>
      </c>
      <c r="E150" s="4" t="s">
        <v>11</v>
      </c>
    </row>
    <row r="151" spans="1:5" x14ac:dyDescent="0.2">
      <c r="A151" s="1">
        <v>44271</v>
      </c>
      <c r="B151" s="2">
        <v>1182</v>
      </c>
      <c r="C151" s="2">
        <v>293</v>
      </c>
      <c r="D151" s="3">
        <v>4026.38</v>
      </c>
      <c r="E151" s="4" t="s">
        <v>12</v>
      </c>
    </row>
    <row r="152" spans="1:5" hidden="1" x14ac:dyDescent="0.2">
      <c r="A152" s="1">
        <v>44272</v>
      </c>
      <c r="B152" s="2">
        <v>1147</v>
      </c>
      <c r="C152" s="2">
        <v>227</v>
      </c>
      <c r="D152" s="3">
        <v>2914.2</v>
      </c>
      <c r="E152" s="4" t="s">
        <v>11</v>
      </c>
    </row>
    <row r="153" spans="1:5" x14ac:dyDescent="0.2">
      <c r="A153" s="1">
        <v>44272</v>
      </c>
      <c r="B153" s="2">
        <v>1129</v>
      </c>
      <c r="C153" s="2">
        <v>257</v>
      </c>
      <c r="D153" s="3">
        <v>4428.59</v>
      </c>
      <c r="E153" s="4" t="s">
        <v>12</v>
      </c>
    </row>
    <row r="154" spans="1:5" hidden="1" x14ac:dyDescent="0.2">
      <c r="A154" s="1">
        <v>44273</v>
      </c>
      <c r="B154" s="2">
        <v>1168</v>
      </c>
      <c r="C154" s="2">
        <v>214</v>
      </c>
      <c r="D154" s="3">
        <v>3605.48</v>
      </c>
      <c r="E154" s="4" t="s">
        <v>11</v>
      </c>
    </row>
    <row r="155" spans="1:5" x14ac:dyDescent="0.2">
      <c r="A155" s="1">
        <v>44273</v>
      </c>
      <c r="B155" s="2">
        <v>1185</v>
      </c>
      <c r="C155" s="2">
        <v>272</v>
      </c>
      <c r="D155" s="3">
        <v>4251.41</v>
      </c>
      <c r="E155" s="4" t="s">
        <v>12</v>
      </c>
    </row>
    <row r="156" spans="1:5" hidden="1" x14ac:dyDescent="0.2">
      <c r="A156" s="1">
        <v>44274</v>
      </c>
      <c r="B156" s="2">
        <v>1209</v>
      </c>
      <c r="C156" s="2">
        <v>244</v>
      </c>
      <c r="D156" s="3">
        <v>2644.02</v>
      </c>
      <c r="E156" s="4" t="s">
        <v>11</v>
      </c>
    </row>
    <row r="157" spans="1:5" x14ac:dyDescent="0.2">
      <c r="A157" s="1">
        <v>44274</v>
      </c>
      <c r="B157" s="2">
        <v>1129</v>
      </c>
      <c r="C157" s="2">
        <v>254</v>
      </c>
      <c r="D157" s="3">
        <v>4925.8</v>
      </c>
      <c r="E157" s="4" t="s">
        <v>12</v>
      </c>
    </row>
    <row r="158" spans="1:5" hidden="1" x14ac:dyDescent="0.2">
      <c r="A158" s="1">
        <v>44275</v>
      </c>
      <c r="B158" s="2">
        <v>1245</v>
      </c>
      <c r="C158" s="2">
        <v>253</v>
      </c>
      <c r="D158" s="3">
        <v>3950.75</v>
      </c>
      <c r="E158" s="4" t="s">
        <v>11</v>
      </c>
    </row>
    <row r="159" spans="1:5" x14ac:dyDescent="0.2">
      <c r="A159" s="1">
        <v>44275</v>
      </c>
      <c r="B159" s="2">
        <v>1163</v>
      </c>
      <c r="C159" s="2">
        <v>250</v>
      </c>
      <c r="D159" s="3">
        <v>3144.92</v>
      </c>
      <c r="E159" s="4" t="s">
        <v>12</v>
      </c>
    </row>
    <row r="160" spans="1:5" hidden="1" x14ac:dyDescent="0.2">
      <c r="A160" s="1">
        <v>44276</v>
      </c>
      <c r="B160" s="2">
        <v>1163</v>
      </c>
      <c r="C160" s="2">
        <v>198</v>
      </c>
      <c r="D160" s="3">
        <v>3047.55</v>
      </c>
      <c r="E160" s="4" t="s">
        <v>11</v>
      </c>
    </row>
    <row r="161" spans="1:5" x14ac:dyDescent="0.2">
      <c r="A161" s="1">
        <v>44276</v>
      </c>
      <c r="B161" s="2">
        <v>1127</v>
      </c>
      <c r="C161" s="2">
        <v>264</v>
      </c>
      <c r="D161" s="3">
        <v>3707.42</v>
      </c>
      <c r="E161" s="4" t="s">
        <v>12</v>
      </c>
    </row>
    <row r="162" spans="1:5" hidden="1" x14ac:dyDescent="0.2">
      <c r="A162" s="1">
        <v>44277</v>
      </c>
      <c r="B162" s="2">
        <v>1168</v>
      </c>
      <c r="C162" s="2">
        <v>205</v>
      </c>
      <c r="D162" s="3">
        <v>3179.97</v>
      </c>
      <c r="E162" s="4" t="s">
        <v>11</v>
      </c>
    </row>
    <row r="163" spans="1:5" x14ac:dyDescent="0.2">
      <c r="A163" s="1">
        <v>44277</v>
      </c>
      <c r="B163" s="2">
        <v>1160</v>
      </c>
      <c r="C163" s="2">
        <v>249</v>
      </c>
      <c r="D163" s="3">
        <v>4473.38</v>
      </c>
      <c r="E163" s="4" t="s">
        <v>12</v>
      </c>
    </row>
    <row r="164" spans="1:5" hidden="1" x14ac:dyDescent="0.2">
      <c r="A164" s="1">
        <v>44278</v>
      </c>
      <c r="B164" s="2">
        <v>1192</v>
      </c>
      <c r="C164" s="2">
        <v>246</v>
      </c>
      <c r="D164" s="3">
        <v>3944.69</v>
      </c>
      <c r="E164" s="4" t="s">
        <v>11</v>
      </c>
    </row>
    <row r="165" spans="1:5" x14ac:dyDescent="0.2">
      <c r="A165" s="1">
        <v>44278</v>
      </c>
      <c r="B165" s="2">
        <v>1093</v>
      </c>
      <c r="C165" s="2">
        <v>251</v>
      </c>
      <c r="D165" s="3">
        <v>3651.68</v>
      </c>
      <c r="E165" s="4" t="s">
        <v>12</v>
      </c>
    </row>
    <row r="166" spans="1:5" hidden="1" x14ac:dyDescent="0.2">
      <c r="A166" s="1">
        <v>44279</v>
      </c>
      <c r="B166" s="2">
        <v>1178</v>
      </c>
      <c r="C166" s="2">
        <v>213</v>
      </c>
      <c r="D166" s="3">
        <v>2790.56</v>
      </c>
      <c r="E166" s="4" t="s">
        <v>11</v>
      </c>
    </row>
    <row r="167" spans="1:5" x14ac:dyDescent="0.2">
      <c r="A167" s="1">
        <v>44279</v>
      </c>
      <c r="B167" s="2">
        <v>1166</v>
      </c>
      <c r="C167" s="2">
        <v>255</v>
      </c>
      <c r="D167" s="3">
        <v>5422.51</v>
      </c>
      <c r="E167" s="4" t="s">
        <v>12</v>
      </c>
    </row>
    <row r="168" spans="1:5" hidden="1" x14ac:dyDescent="0.2">
      <c r="A168" s="1">
        <v>44280</v>
      </c>
      <c r="B168" s="2">
        <v>1209</v>
      </c>
      <c r="C168" s="2">
        <v>234</v>
      </c>
      <c r="D168" s="3">
        <v>4047.86</v>
      </c>
      <c r="E168" s="4" t="s">
        <v>11</v>
      </c>
    </row>
    <row r="169" spans="1:5" x14ac:dyDescent="0.2">
      <c r="A169" s="1">
        <v>44280</v>
      </c>
      <c r="B169" s="2">
        <v>1100</v>
      </c>
      <c r="C169" s="2">
        <v>240</v>
      </c>
      <c r="D169" s="3">
        <v>3502.48</v>
      </c>
      <c r="E169" s="4" t="s">
        <v>12</v>
      </c>
    </row>
    <row r="170" spans="1:5" hidden="1" x14ac:dyDescent="0.2">
      <c r="A170" s="1">
        <v>44281</v>
      </c>
      <c r="B170" s="2">
        <v>1219</v>
      </c>
      <c r="C170" s="2">
        <v>219</v>
      </c>
      <c r="D170" s="3">
        <v>3561.99</v>
      </c>
      <c r="E170" s="4" t="s">
        <v>11</v>
      </c>
    </row>
    <row r="171" spans="1:5" x14ac:dyDescent="0.2">
      <c r="A171" s="1">
        <v>44281</v>
      </c>
      <c r="B171" s="2">
        <v>1127</v>
      </c>
      <c r="C171" s="2">
        <v>272</v>
      </c>
      <c r="D171" s="3">
        <v>4881.07</v>
      </c>
      <c r="E171" s="4" t="s">
        <v>12</v>
      </c>
    </row>
    <row r="172" spans="1:5" hidden="1" x14ac:dyDescent="0.2">
      <c r="A172" s="1">
        <v>44282</v>
      </c>
      <c r="B172" s="2">
        <v>1258</v>
      </c>
      <c r="C172" s="2">
        <v>232</v>
      </c>
      <c r="D172" s="3">
        <v>3656.41</v>
      </c>
      <c r="E172" s="4" t="s">
        <v>11</v>
      </c>
    </row>
    <row r="173" spans="1:5" x14ac:dyDescent="0.2">
      <c r="A173" s="1">
        <v>44282</v>
      </c>
      <c r="B173" s="2">
        <v>1183</v>
      </c>
      <c r="C173" s="2">
        <v>269</v>
      </c>
      <c r="D173" s="3">
        <v>4632.5</v>
      </c>
      <c r="E173" s="4" t="s">
        <v>12</v>
      </c>
    </row>
    <row r="174" spans="1:5" hidden="1" x14ac:dyDescent="0.2">
      <c r="A174" s="1">
        <v>44283</v>
      </c>
      <c r="B174" s="2">
        <v>1273</v>
      </c>
      <c r="C174" s="2">
        <v>234</v>
      </c>
      <c r="D174" s="3">
        <v>3004.07</v>
      </c>
      <c r="E174" s="4" t="s">
        <v>11</v>
      </c>
    </row>
    <row r="175" spans="1:5" x14ac:dyDescent="0.2">
      <c r="A175" s="1">
        <v>44283</v>
      </c>
      <c r="B175" s="2">
        <v>1210</v>
      </c>
      <c r="C175" s="2">
        <v>244</v>
      </c>
      <c r="D175" s="3">
        <v>4417.9399999999996</v>
      </c>
      <c r="E175" s="4" t="s">
        <v>12</v>
      </c>
    </row>
    <row r="176" spans="1:5" hidden="1" x14ac:dyDescent="0.2">
      <c r="A176" s="1">
        <v>44284</v>
      </c>
      <c r="B176" s="2">
        <v>1243</v>
      </c>
      <c r="C176" s="2">
        <v>227</v>
      </c>
      <c r="D176" s="3">
        <v>3448.64</v>
      </c>
      <c r="E176" s="4" t="s">
        <v>11</v>
      </c>
    </row>
    <row r="177" spans="1:5" x14ac:dyDescent="0.2">
      <c r="A177" s="1">
        <v>44284</v>
      </c>
      <c r="B177" s="2">
        <v>1122</v>
      </c>
      <c r="C177" s="2">
        <v>242</v>
      </c>
      <c r="D177" s="3">
        <v>3648.26</v>
      </c>
      <c r="E177" s="4" t="s">
        <v>12</v>
      </c>
    </row>
    <row r="178" spans="1:5" hidden="1" x14ac:dyDescent="0.2">
      <c r="A178" s="1">
        <v>44285</v>
      </c>
      <c r="B178" s="2">
        <v>1184</v>
      </c>
      <c r="C178" s="2">
        <v>220</v>
      </c>
      <c r="D178" s="3">
        <v>3936.67</v>
      </c>
      <c r="E178" s="4" t="s">
        <v>11</v>
      </c>
    </row>
    <row r="179" spans="1:5" x14ac:dyDescent="0.2">
      <c r="A179" s="1">
        <v>44285</v>
      </c>
      <c r="B179" s="2">
        <v>1132</v>
      </c>
      <c r="C179" s="2">
        <v>269</v>
      </c>
      <c r="D179" s="3">
        <v>4409.75</v>
      </c>
      <c r="E179" s="4" t="s">
        <v>12</v>
      </c>
    </row>
    <row r="180" spans="1:5" hidden="1" x14ac:dyDescent="0.2">
      <c r="A180" s="1">
        <v>44286</v>
      </c>
      <c r="B180" s="2">
        <v>1245</v>
      </c>
      <c r="C180" s="2">
        <v>253</v>
      </c>
      <c r="D180" s="3">
        <v>3533.25</v>
      </c>
      <c r="E180" s="4" t="s">
        <v>11</v>
      </c>
    </row>
    <row r="181" spans="1:5" x14ac:dyDescent="0.2">
      <c r="A181" s="1">
        <v>44286</v>
      </c>
      <c r="B181" s="2">
        <v>1148</v>
      </c>
      <c r="C181" s="2">
        <v>259</v>
      </c>
      <c r="D181" s="3">
        <v>4874.04</v>
      </c>
      <c r="E181" s="4" t="s">
        <v>12</v>
      </c>
    </row>
    <row r="182" spans="1:5" hidden="1" x14ac:dyDescent="0.2">
      <c r="A182" s="1">
        <v>44287</v>
      </c>
      <c r="B182" s="2">
        <v>1192</v>
      </c>
      <c r="C182" s="2">
        <v>233</v>
      </c>
      <c r="D182" s="3">
        <v>2868.49</v>
      </c>
      <c r="E182" s="4" t="s">
        <v>11</v>
      </c>
    </row>
    <row r="183" spans="1:5" x14ac:dyDescent="0.2">
      <c r="A183" s="1">
        <v>44287</v>
      </c>
      <c r="B183" s="2">
        <v>1129</v>
      </c>
      <c r="C183" s="2">
        <v>260</v>
      </c>
      <c r="D183" s="3">
        <v>3682.3</v>
      </c>
      <c r="E183" s="4" t="s">
        <v>12</v>
      </c>
    </row>
    <row r="184" spans="1:5" hidden="1" x14ac:dyDescent="0.2">
      <c r="A184" s="1">
        <v>44288</v>
      </c>
      <c r="B184" s="2">
        <v>1188</v>
      </c>
      <c r="C184" s="2">
        <v>209</v>
      </c>
      <c r="D184" s="3">
        <v>3546.45</v>
      </c>
      <c r="E184" s="4" t="s">
        <v>11</v>
      </c>
    </row>
    <row r="185" spans="1:5" x14ac:dyDescent="0.2">
      <c r="A185" s="1">
        <v>44288</v>
      </c>
      <c r="B185" s="2">
        <v>1222</v>
      </c>
      <c r="C185" s="2">
        <v>303</v>
      </c>
      <c r="D185" s="3">
        <v>4718.32</v>
      </c>
      <c r="E185" s="4" t="s">
        <v>12</v>
      </c>
    </row>
    <row r="186" spans="1:5" hidden="1" x14ac:dyDescent="0.2">
      <c r="A186" s="1">
        <v>44289</v>
      </c>
      <c r="B186" s="2">
        <v>1272</v>
      </c>
      <c r="C186" s="2">
        <v>252</v>
      </c>
      <c r="D186" s="3">
        <v>3458.58</v>
      </c>
      <c r="E186" s="4" t="s">
        <v>11</v>
      </c>
    </row>
    <row r="187" spans="1:5" x14ac:dyDescent="0.2">
      <c r="A187" s="1">
        <v>44289</v>
      </c>
      <c r="B187" s="2">
        <v>1120</v>
      </c>
      <c r="C187" s="2">
        <v>233</v>
      </c>
      <c r="D187" s="3">
        <v>3480.56</v>
      </c>
      <c r="E187" s="4" t="s">
        <v>12</v>
      </c>
    </row>
    <row r="188" spans="1:5" hidden="1" x14ac:dyDescent="0.2">
      <c r="A188" s="1">
        <v>44290</v>
      </c>
      <c r="B188" s="2">
        <v>1248</v>
      </c>
      <c r="C188" s="2">
        <v>233</v>
      </c>
      <c r="D188" s="3">
        <v>3107.12</v>
      </c>
      <c r="E188" s="4" t="s">
        <v>11</v>
      </c>
    </row>
    <row r="189" spans="1:5" x14ac:dyDescent="0.2">
      <c r="A189" s="1">
        <v>44290</v>
      </c>
      <c r="B189" s="2">
        <v>1185</v>
      </c>
      <c r="C189" s="2">
        <v>266</v>
      </c>
      <c r="D189" s="3">
        <v>4506.79</v>
      </c>
      <c r="E189" s="4" t="s">
        <v>12</v>
      </c>
    </row>
    <row r="190" spans="1:5" hidden="1" x14ac:dyDescent="0.2">
      <c r="A190" s="1">
        <v>44291</v>
      </c>
      <c r="B190" s="2">
        <v>1209</v>
      </c>
      <c r="C190" s="2">
        <v>210</v>
      </c>
      <c r="D190" s="3">
        <v>2892.63</v>
      </c>
      <c r="E190" s="4" t="s">
        <v>11</v>
      </c>
    </row>
    <row r="191" spans="1:5" x14ac:dyDescent="0.2">
      <c r="A191" s="1">
        <v>44291</v>
      </c>
      <c r="B191" s="2">
        <v>1198</v>
      </c>
      <c r="C191" s="2">
        <v>288</v>
      </c>
      <c r="D191" s="3">
        <v>4384.68</v>
      </c>
      <c r="E191" s="4" t="s">
        <v>12</v>
      </c>
    </row>
    <row r="192" spans="1:5" hidden="1" x14ac:dyDescent="0.2">
      <c r="A192" s="1">
        <v>44292</v>
      </c>
      <c r="B192" s="2">
        <v>1143</v>
      </c>
      <c r="C192" s="2">
        <v>225</v>
      </c>
      <c r="D192" s="3">
        <v>3360.09</v>
      </c>
      <c r="E192" s="4" t="s">
        <v>11</v>
      </c>
    </row>
    <row r="193" spans="1:5" x14ac:dyDescent="0.2">
      <c r="A193" s="1">
        <v>44292</v>
      </c>
      <c r="B193" s="2">
        <v>1092</v>
      </c>
      <c r="C193" s="2">
        <v>231</v>
      </c>
      <c r="D193" s="3">
        <v>4525.09</v>
      </c>
      <c r="E193" s="4" t="s">
        <v>12</v>
      </c>
    </row>
    <row r="194" spans="1:5" hidden="1" x14ac:dyDescent="0.2">
      <c r="A194" s="1">
        <v>44293</v>
      </c>
      <c r="B194" s="2">
        <v>1241</v>
      </c>
      <c r="C194" s="2">
        <v>239</v>
      </c>
      <c r="D194" s="3">
        <v>3351.05</v>
      </c>
      <c r="E194" s="4" t="s">
        <v>11</v>
      </c>
    </row>
    <row r="195" spans="1:5" x14ac:dyDescent="0.2">
      <c r="A195" s="1">
        <v>44293</v>
      </c>
      <c r="B195" s="2">
        <v>1168</v>
      </c>
      <c r="C195" s="2">
        <v>255</v>
      </c>
      <c r="D195" s="3">
        <v>4612.5200000000004</v>
      </c>
      <c r="E195" s="4" t="s">
        <v>12</v>
      </c>
    </row>
    <row r="196" spans="1:5" hidden="1" x14ac:dyDescent="0.2">
      <c r="A196" s="1">
        <v>44294</v>
      </c>
      <c r="B196" s="2">
        <v>1233</v>
      </c>
      <c r="C196" s="2">
        <v>239</v>
      </c>
      <c r="D196" s="3">
        <v>3505.12</v>
      </c>
      <c r="E196" s="4" t="s">
        <v>11</v>
      </c>
    </row>
    <row r="197" spans="1:5" x14ac:dyDescent="0.2">
      <c r="A197" s="1">
        <v>44294</v>
      </c>
      <c r="B197" s="2">
        <v>1134</v>
      </c>
      <c r="C197" s="2">
        <v>245</v>
      </c>
      <c r="D197" s="3">
        <v>3991.89</v>
      </c>
      <c r="E197" s="4" t="s">
        <v>12</v>
      </c>
    </row>
    <row r="198" spans="1:5" hidden="1" x14ac:dyDescent="0.2">
      <c r="A198" s="1">
        <v>44295</v>
      </c>
      <c r="B198" s="2">
        <v>1238</v>
      </c>
      <c r="C198" s="2">
        <v>228</v>
      </c>
      <c r="D198" s="3">
        <v>3507.14</v>
      </c>
      <c r="E198" s="4" t="s">
        <v>11</v>
      </c>
    </row>
    <row r="199" spans="1:5" x14ac:dyDescent="0.2">
      <c r="A199" s="1">
        <v>44295</v>
      </c>
      <c r="B199" s="2">
        <v>1163</v>
      </c>
      <c r="C199" s="2">
        <v>279</v>
      </c>
      <c r="D199" s="3">
        <v>4489.91</v>
      </c>
      <c r="E199" s="4" t="s">
        <v>12</v>
      </c>
    </row>
    <row r="200" spans="1:5" hidden="1" x14ac:dyDescent="0.2">
      <c r="A200" s="1">
        <v>44296</v>
      </c>
      <c r="B200" s="2">
        <v>1230</v>
      </c>
      <c r="C200" s="2">
        <v>229</v>
      </c>
      <c r="D200" s="3">
        <v>3391.35</v>
      </c>
      <c r="E200" s="4" t="s">
        <v>11</v>
      </c>
    </row>
    <row r="201" spans="1:5" x14ac:dyDescent="0.2">
      <c r="A201" s="1">
        <v>44296</v>
      </c>
      <c r="B201" s="2">
        <v>1163</v>
      </c>
      <c r="C201" s="2">
        <v>246</v>
      </c>
      <c r="D201" s="3">
        <v>4073.28</v>
      </c>
      <c r="E201" s="4" t="s">
        <v>12</v>
      </c>
    </row>
    <row r="202" spans="1:5" hidden="1" x14ac:dyDescent="0.2">
      <c r="A202" s="1">
        <v>44297</v>
      </c>
      <c r="B202" s="2">
        <v>1219</v>
      </c>
      <c r="C202" s="2">
        <v>225</v>
      </c>
      <c r="D202" s="3">
        <v>3434.84</v>
      </c>
      <c r="E202" s="4" t="s">
        <v>11</v>
      </c>
    </row>
    <row r="203" spans="1:5" x14ac:dyDescent="0.2">
      <c r="A203" s="1">
        <v>44297</v>
      </c>
      <c r="B203" s="2">
        <v>1135</v>
      </c>
      <c r="C203" s="2">
        <v>239</v>
      </c>
      <c r="D203" s="3">
        <v>3489.34</v>
      </c>
      <c r="E203" s="4" t="s">
        <v>12</v>
      </c>
    </row>
    <row r="204" spans="1:5" hidden="1" x14ac:dyDescent="0.2">
      <c r="A204" s="1">
        <v>44298</v>
      </c>
      <c r="B204" s="2">
        <v>1226</v>
      </c>
      <c r="C204" s="2">
        <v>228</v>
      </c>
      <c r="D204" s="3">
        <v>4133.88</v>
      </c>
      <c r="E204" s="4" t="s">
        <v>11</v>
      </c>
    </row>
    <row r="205" spans="1:5" x14ac:dyDescent="0.2">
      <c r="A205" s="1">
        <v>44298</v>
      </c>
      <c r="B205" s="2">
        <v>1168</v>
      </c>
      <c r="C205" s="2">
        <v>251</v>
      </c>
      <c r="D205" s="3">
        <v>3982.99</v>
      </c>
      <c r="E205" s="4" t="s">
        <v>12</v>
      </c>
    </row>
    <row r="206" spans="1:5" hidden="1" x14ac:dyDescent="0.2">
      <c r="A206" s="1">
        <v>44299</v>
      </c>
      <c r="B206" s="2">
        <v>1193</v>
      </c>
      <c r="C206" s="2">
        <v>212</v>
      </c>
      <c r="D206" s="3">
        <v>2747</v>
      </c>
      <c r="E206" s="4" t="s">
        <v>11</v>
      </c>
    </row>
    <row r="207" spans="1:5" x14ac:dyDescent="0.2">
      <c r="A207" s="1">
        <v>44299</v>
      </c>
      <c r="B207" s="2">
        <v>1092</v>
      </c>
      <c r="C207" s="2">
        <v>225</v>
      </c>
      <c r="D207" s="3">
        <v>3918.76</v>
      </c>
      <c r="E207" s="4" t="s">
        <v>12</v>
      </c>
    </row>
    <row r="208" spans="1:5" hidden="1" x14ac:dyDescent="0.2">
      <c r="A208" s="1">
        <v>44300</v>
      </c>
      <c r="B208" s="2">
        <v>1279</v>
      </c>
      <c r="C208" s="2">
        <v>235</v>
      </c>
      <c r="D208" s="3">
        <v>4392.92</v>
      </c>
      <c r="E208" s="4" t="s">
        <v>11</v>
      </c>
    </row>
    <row r="209" spans="1:5" x14ac:dyDescent="0.2">
      <c r="A209" s="1">
        <v>44300</v>
      </c>
      <c r="B209" s="2">
        <v>1140</v>
      </c>
      <c r="C209" s="2">
        <v>296</v>
      </c>
      <c r="D209" s="3">
        <v>4102.51</v>
      </c>
      <c r="E209" s="4" t="s">
        <v>12</v>
      </c>
    </row>
    <row r="210" spans="1:5" hidden="1" x14ac:dyDescent="0.2">
      <c r="A210" s="1">
        <v>44301</v>
      </c>
      <c r="B210" s="2">
        <v>1251</v>
      </c>
      <c r="C210" s="2">
        <v>245</v>
      </c>
      <c r="D210" s="3">
        <v>3061.75</v>
      </c>
      <c r="E210" s="4" t="s">
        <v>11</v>
      </c>
    </row>
    <row r="211" spans="1:5" x14ac:dyDescent="0.2">
      <c r="A211" s="1">
        <v>44301</v>
      </c>
      <c r="B211" s="2">
        <v>1193</v>
      </c>
      <c r="C211" s="2">
        <v>316</v>
      </c>
      <c r="D211" s="3">
        <v>5968.46</v>
      </c>
      <c r="E211" s="4" t="s">
        <v>12</v>
      </c>
    </row>
    <row r="212" spans="1:5" hidden="1" x14ac:dyDescent="0.2">
      <c r="A212" s="1">
        <v>44302</v>
      </c>
      <c r="B212" s="2">
        <v>1245</v>
      </c>
      <c r="C212" s="2">
        <v>241</v>
      </c>
      <c r="D212" s="3">
        <v>3709.72</v>
      </c>
      <c r="E212" s="4" t="s">
        <v>11</v>
      </c>
    </row>
    <row r="213" spans="1:5" x14ac:dyDescent="0.2">
      <c r="A213" s="1">
        <v>44302</v>
      </c>
      <c r="B213" s="2">
        <v>1182</v>
      </c>
      <c r="C213" s="2">
        <v>274</v>
      </c>
      <c r="D213" s="3">
        <v>4772.53</v>
      </c>
      <c r="E213" s="4" t="s">
        <v>12</v>
      </c>
    </row>
    <row r="214" spans="1:5" hidden="1" x14ac:dyDescent="0.2">
      <c r="A214" s="1">
        <v>44303</v>
      </c>
      <c r="B214" s="2">
        <v>1219</v>
      </c>
      <c r="C214" s="2">
        <v>226</v>
      </c>
      <c r="D214" s="3">
        <v>3447.9</v>
      </c>
      <c r="E214" s="4" t="s">
        <v>11</v>
      </c>
    </row>
    <row r="215" spans="1:5" x14ac:dyDescent="0.2">
      <c r="A215" s="1">
        <v>44303</v>
      </c>
      <c r="B215" s="2">
        <v>1126</v>
      </c>
      <c r="C215" s="2">
        <v>260</v>
      </c>
      <c r="D215" s="3">
        <v>3805.85</v>
      </c>
      <c r="E215" s="4" t="s">
        <v>12</v>
      </c>
    </row>
    <row r="216" spans="1:5" hidden="1" x14ac:dyDescent="0.2">
      <c r="A216" s="1">
        <v>44304</v>
      </c>
      <c r="B216" s="2">
        <v>1189</v>
      </c>
      <c r="C216" s="2">
        <v>242</v>
      </c>
      <c r="D216" s="3">
        <v>4010.33</v>
      </c>
      <c r="E216" s="4" t="s">
        <v>11</v>
      </c>
    </row>
    <row r="217" spans="1:5" x14ac:dyDescent="0.2">
      <c r="A217" s="1">
        <v>44304</v>
      </c>
      <c r="B217" s="2">
        <v>1180</v>
      </c>
      <c r="C217" s="2">
        <v>289</v>
      </c>
      <c r="D217" s="3">
        <v>4869.91</v>
      </c>
      <c r="E217" s="4" t="s">
        <v>12</v>
      </c>
    </row>
    <row r="218" spans="1:5" hidden="1" x14ac:dyDescent="0.2">
      <c r="A218" s="1">
        <v>44305</v>
      </c>
      <c r="B218" s="2">
        <v>1158</v>
      </c>
      <c r="C218" s="2">
        <v>227</v>
      </c>
      <c r="D218" s="3">
        <v>3304.68</v>
      </c>
      <c r="E218" s="4" t="s">
        <v>11</v>
      </c>
    </row>
    <row r="219" spans="1:5" x14ac:dyDescent="0.2">
      <c r="A219" s="1">
        <v>44305</v>
      </c>
      <c r="B219" s="2">
        <v>1133</v>
      </c>
      <c r="C219" s="2">
        <v>254</v>
      </c>
      <c r="D219" s="3">
        <v>4077.66</v>
      </c>
      <c r="E219" s="4" t="s">
        <v>12</v>
      </c>
    </row>
    <row r="220" spans="1:5" hidden="1" x14ac:dyDescent="0.2">
      <c r="A220" s="1">
        <v>44306</v>
      </c>
      <c r="B220" s="2">
        <v>1098</v>
      </c>
      <c r="C220" s="2">
        <v>220</v>
      </c>
      <c r="D220" s="3">
        <v>4090.98</v>
      </c>
      <c r="E220" s="4" t="s">
        <v>11</v>
      </c>
    </row>
    <row r="221" spans="1:5" x14ac:dyDescent="0.2">
      <c r="A221" s="1">
        <v>44306</v>
      </c>
      <c r="B221" s="2">
        <v>1182</v>
      </c>
      <c r="C221" s="2">
        <v>276</v>
      </c>
      <c r="D221" s="3">
        <v>4769.75</v>
      </c>
      <c r="E221" s="4" t="s">
        <v>12</v>
      </c>
    </row>
    <row r="222" spans="1:5" hidden="1" x14ac:dyDescent="0.2">
      <c r="A222" s="1">
        <v>44307</v>
      </c>
      <c r="B222" s="2">
        <v>1214</v>
      </c>
      <c r="C222" s="2">
        <v>206</v>
      </c>
      <c r="D222" s="3">
        <v>3114.57</v>
      </c>
      <c r="E222" s="4" t="s">
        <v>11</v>
      </c>
    </row>
    <row r="223" spans="1:5" x14ac:dyDescent="0.2">
      <c r="A223" s="1">
        <v>44307</v>
      </c>
      <c r="B223" s="2">
        <v>1171</v>
      </c>
      <c r="C223" s="2">
        <v>260</v>
      </c>
      <c r="D223" s="3">
        <v>3823.59</v>
      </c>
      <c r="E223" s="4" t="s">
        <v>12</v>
      </c>
    </row>
    <row r="224" spans="1:5" hidden="1" x14ac:dyDescent="0.2">
      <c r="A224" s="1">
        <v>44308</v>
      </c>
      <c r="B224" s="2">
        <v>1140</v>
      </c>
      <c r="C224" s="2">
        <v>217</v>
      </c>
      <c r="D224" s="3">
        <v>4155.66</v>
      </c>
      <c r="E224" s="4" t="s">
        <v>11</v>
      </c>
    </row>
    <row r="225" spans="1:5" x14ac:dyDescent="0.2">
      <c r="A225" s="1">
        <v>44308</v>
      </c>
      <c r="B225" s="2">
        <v>1152</v>
      </c>
      <c r="C225" s="2">
        <v>267</v>
      </c>
      <c r="D225" s="3">
        <v>3903.97</v>
      </c>
      <c r="E225" s="4" t="s">
        <v>12</v>
      </c>
    </row>
    <row r="226" spans="1:5" hidden="1" x14ac:dyDescent="0.2">
      <c r="A226" s="1">
        <v>44309</v>
      </c>
      <c r="B226" s="2">
        <v>1173</v>
      </c>
      <c r="C226" s="2">
        <v>240</v>
      </c>
      <c r="D226" s="3">
        <v>3850.96</v>
      </c>
      <c r="E226" s="4" t="s">
        <v>11</v>
      </c>
    </row>
    <row r="227" spans="1:5" x14ac:dyDescent="0.2">
      <c r="A227" s="1">
        <v>44309</v>
      </c>
      <c r="B227" s="2">
        <v>1166</v>
      </c>
      <c r="C227" s="2">
        <v>272</v>
      </c>
      <c r="D227" s="3">
        <v>4039.91</v>
      </c>
      <c r="E227" s="4" t="s">
        <v>12</v>
      </c>
    </row>
    <row r="228" spans="1:5" hidden="1" x14ac:dyDescent="0.2">
      <c r="A228" s="1">
        <v>44310</v>
      </c>
      <c r="B228" s="2">
        <v>1167</v>
      </c>
      <c r="C228" s="2">
        <v>223</v>
      </c>
      <c r="D228" s="3">
        <v>3230.21</v>
      </c>
      <c r="E228" s="4" t="s">
        <v>11</v>
      </c>
    </row>
    <row r="229" spans="1:5" x14ac:dyDescent="0.2">
      <c r="A229" s="1">
        <v>44310</v>
      </c>
      <c r="B229" s="2">
        <v>1194</v>
      </c>
      <c r="C229" s="2">
        <v>263</v>
      </c>
      <c r="D229" s="3">
        <v>3330.32</v>
      </c>
      <c r="E229" s="4" t="s">
        <v>12</v>
      </c>
    </row>
    <row r="230" spans="1:5" hidden="1" x14ac:dyDescent="0.2">
      <c r="A230" s="1">
        <v>44311</v>
      </c>
      <c r="B230" s="2">
        <v>1184</v>
      </c>
      <c r="C230" s="2">
        <v>224</v>
      </c>
      <c r="D230" s="3">
        <v>3843.25</v>
      </c>
      <c r="E230" s="4" t="s">
        <v>11</v>
      </c>
    </row>
    <row r="231" spans="1:5" x14ac:dyDescent="0.2">
      <c r="A231" s="1">
        <v>44311</v>
      </c>
      <c r="B231" s="2">
        <v>1202</v>
      </c>
      <c r="C231" s="2">
        <v>271</v>
      </c>
      <c r="D231" s="3">
        <v>4315.13</v>
      </c>
      <c r="E231" s="4" t="s">
        <v>12</v>
      </c>
    </row>
    <row r="232" spans="1:5" hidden="1" x14ac:dyDescent="0.2">
      <c r="A232" s="1">
        <v>44312</v>
      </c>
      <c r="B232" s="2">
        <v>1257</v>
      </c>
      <c r="C232" s="2">
        <v>248</v>
      </c>
      <c r="D232" s="3">
        <v>3409.72</v>
      </c>
      <c r="E232" s="4" t="s">
        <v>11</v>
      </c>
    </row>
    <row r="233" spans="1:5" x14ac:dyDescent="0.2">
      <c r="A233" s="1">
        <v>44312</v>
      </c>
      <c r="B233" s="2">
        <v>1172</v>
      </c>
      <c r="C233" s="2">
        <v>270</v>
      </c>
      <c r="D233" s="3">
        <v>4533.7299999999996</v>
      </c>
      <c r="E233" s="4" t="s">
        <v>12</v>
      </c>
    </row>
    <row r="234" spans="1:5" hidden="1" x14ac:dyDescent="0.2">
      <c r="A234" s="1">
        <v>44313</v>
      </c>
      <c r="B234" s="2">
        <v>1242</v>
      </c>
      <c r="C234" s="2">
        <v>223</v>
      </c>
      <c r="D234" s="3">
        <v>3689.18</v>
      </c>
      <c r="E234" s="4" t="s">
        <v>11</v>
      </c>
    </row>
    <row r="235" spans="1:5" x14ac:dyDescent="0.2">
      <c r="A235" s="1">
        <v>44313</v>
      </c>
      <c r="B235" s="2">
        <v>1136</v>
      </c>
      <c r="C235" s="2">
        <v>257</v>
      </c>
      <c r="D235" s="3">
        <v>2647.85</v>
      </c>
      <c r="E235" s="4" t="s">
        <v>12</v>
      </c>
    </row>
    <row r="236" spans="1:5" hidden="1" x14ac:dyDescent="0.2">
      <c r="A236" s="1">
        <v>44314</v>
      </c>
      <c r="B236" s="2">
        <v>1216</v>
      </c>
      <c r="C236" s="2">
        <v>229</v>
      </c>
      <c r="D236" s="3">
        <v>3413.51</v>
      </c>
      <c r="E236" s="4" t="s">
        <v>11</v>
      </c>
    </row>
    <row r="237" spans="1:5" x14ac:dyDescent="0.2">
      <c r="A237" s="1">
        <v>44314</v>
      </c>
      <c r="B237" s="2">
        <v>1122</v>
      </c>
      <c r="C237" s="2">
        <v>251</v>
      </c>
      <c r="D237" s="3">
        <v>4255.47</v>
      </c>
      <c r="E237" s="4" t="s">
        <v>12</v>
      </c>
    </row>
    <row r="238" spans="1:5" hidden="1" x14ac:dyDescent="0.2">
      <c r="A238" s="1">
        <v>44315</v>
      </c>
      <c r="B238" s="2">
        <v>1183</v>
      </c>
      <c r="C238" s="2">
        <v>235</v>
      </c>
      <c r="D238" s="3">
        <v>4230.3599999999997</v>
      </c>
      <c r="E238" s="4" t="s">
        <v>11</v>
      </c>
    </row>
    <row r="239" spans="1:5" x14ac:dyDescent="0.2">
      <c r="A239" s="1">
        <v>44315</v>
      </c>
      <c r="B239" s="2">
        <v>1113</v>
      </c>
      <c r="C239" s="2">
        <v>237</v>
      </c>
      <c r="D239" s="3">
        <v>4195.01</v>
      </c>
      <c r="E239" s="4" t="s">
        <v>12</v>
      </c>
    </row>
    <row r="240" spans="1:5" hidden="1" x14ac:dyDescent="0.2">
      <c r="A240" s="1">
        <v>44316</v>
      </c>
      <c r="B240" s="2">
        <v>1217</v>
      </c>
      <c r="C240" s="2">
        <v>232</v>
      </c>
      <c r="D240" s="3">
        <v>3359.8</v>
      </c>
      <c r="E240" s="4" t="s">
        <v>11</v>
      </c>
    </row>
    <row r="241" spans="1:5" x14ac:dyDescent="0.2">
      <c r="A241" s="1">
        <v>44316</v>
      </c>
      <c r="B241" s="2">
        <v>1126</v>
      </c>
      <c r="C241" s="2">
        <v>256</v>
      </c>
      <c r="D241" s="3">
        <v>3995.47</v>
      </c>
      <c r="E241" s="4" t="s">
        <v>12</v>
      </c>
    </row>
    <row r="242" spans="1:5" hidden="1" x14ac:dyDescent="0.2">
      <c r="A242" s="1">
        <v>44317</v>
      </c>
      <c r="B242" s="2">
        <v>1109</v>
      </c>
      <c r="C242" s="2">
        <v>205</v>
      </c>
      <c r="D242" s="3">
        <v>3107.24</v>
      </c>
      <c r="E242" s="4" t="s">
        <v>11</v>
      </c>
    </row>
    <row r="243" spans="1:5" x14ac:dyDescent="0.2">
      <c r="A243" s="1">
        <v>44317</v>
      </c>
      <c r="B243" s="2">
        <v>1064</v>
      </c>
      <c r="C243" s="2">
        <v>271</v>
      </c>
      <c r="D243" s="3">
        <v>3252.98</v>
      </c>
      <c r="E243" s="4" t="s">
        <v>12</v>
      </c>
    </row>
    <row r="244" spans="1:5" hidden="1" x14ac:dyDescent="0.2">
      <c r="A244" s="1">
        <v>44318</v>
      </c>
      <c r="B244" s="2">
        <v>1214</v>
      </c>
      <c r="C244" s="2">
        <v>235</v>
      </c>
      <c r="D244" s="3">
        <v>4506.54</v>
      </c>
      <c r="E244" s="4" t="s">
        <v>11</v>
      </c>
    </row>
    <row r="245" spans="1:5" x14ac:dyDescent="0.2">
      <c r="A245" s="1">
        <v>44318</v>
      </c>
      <c r="B245" s="2">
        <v>1108</v>
      </c>
      <c r="C245" s="2">
        <v>249</v>
      </c>
      <c r="D245" s="3">
        <v>3914.48</v>
      </c>
      <c r="E245" s="4" t="s">
        <v>12</v>
      </c>
    </row>
    <row r="246" spans="1:5" hidden="1" x14ac:dyDescent="0.2">
      <c r="A246" s="1">
        <v>44319</v>
      </c>
      <c r="B246" s="2">
        <v>1167</v>
      </c>
      <c r="C246" s="2">
        <v>264</v>
      </c>
      <c r="D246" s="3">
        <v>3630.65</v>
      </c>
      <c r="E246" s="4" t="s">
        <v>11</v>
      </c>
    </row>
    <row r="247" spans="1:5" x14ac:dyDescent="0.2">
      <c r="A247" s="1">
        <v>44319</v>
      </c>
      <c r="B247" s="2">
        <v>1194</v>
      </c>
      <c r="C247" s="2">
        <v>243</v>
      </c>
      <c r="D247" s="3">
        <v>4818.22</v>
      </c>
      <c r="E247" s="4" t="s">
        <v>12</v>
      </c>
    </row>
    <row r="248" spans="1:5" hidden="1" x14ac:dyDescent="0.2">
      <c r="A248" s="1">
        <v>44320</v>
      </c>
      <c r="B248" s="2">
        <v>1200</v>
      </c>
      <c r="C248" s="2">
        <v>205</v>
      </c>
      <c r="D248" s="3">
        <v>3528.27</v>
      </c>
      <c r="E248" s="4" t="s">
        <v>11</v>
      </c>
    </row>
    <row r="249" spans="1:5" x14ac:dyDescent="0.2">
      <c r="A249" s="1">
        <v>44320</v>
      </c>
      <c r="B249" s="2">
        <v>1120</v>
      </c>
      <c r="C249" s="2">
        <v>256</v>
      </c>
      <c r="D249" s="3">
        <v>4703.76</v>
      </c>
      <c r="E249" s="4" t="s">
        <v>12</v>
      </c>
    </row>
    <row r="250" spans="1:5" hidden="1" x14ac:dyDescent="0.2">
      <c r="A250" s="1">
        <v>44321</v>
      </c>
      <c r="B250" s="2">
        <v>1149</v>
      </c>
      <c r="C250" s="2">
        <v>250</v>
      </c>
      <c r="D250" s="3">
        <v>3910.68</v>
      </c>
      <c r="E250" s="4" t="s">
        <v>11</v>
      </c>
    </row>
    <row r="251" spans="1:5" x14ac:dyDescent="0.2">
      <c r="A251" s="1">
        <v>44321</v>
      </c>
      <c r="B251" s="2">
        <v>1156</v>
      </c>
      <c r="C251" s="2">
        <v>284</v>
      </c>
      <c r="D251" s="3">
        <v>4783.6499999999996</v>
      </c>
      <c r="E251" s="4" t="s">
        <v>12</v>
      </c>
    </row>
    <row r="252" spans="1:5" hidden="1" x14ac:dyDescent="0.2">
      <c r="A252" s="1">
        <v>44322</v>
      </c>
      <c r="B252" s="2">
        <v>1182</v>
      </c>
      <c r="C252" s="2">
        <v>227</v>
      </c>
      <c r="D252" s="3">
        <v>3336.87</v>
      </c>
      <c r="E252" s="4" t="s">
        <v>11</v>
      </c>
    </row>
    <row r="253" spans="1:5" x14ac:dyDescent="0.2">
      <c r="A253" s="1">
        <v>44322</v>
      </c>
      <c r="B253" s="2">
        <v>1154</v>
      </c>
      <c r="C253" s="2">
        <v>269</v>
      </c>
      <c r="D253" s="3">
        <v>4371.5600000000004</v>
      </c>
      <c r="E253" s="4" t="s">
        <v>12</v>
      </c>
    </row>
    <row r="254" spans="1:5" hidden="1" x14ac:dyDescent="0.2">
      <c r="A254" s="1">
        <v>44323</v>
      </c>
      <c r="B254" s="2">
        <v>1190</v>
      </c>
      <c r="C254" s="2">
        <v>230</v>
      </c>
      <c r="D254" s="3">
        <v>3156.08</v>
      </c>
      <c r="E254" s="4" t="s">
        <v>11</v>
      </c>
    </row>
    <row r="255" spans="1:5" x14ac:dyDescent="0.2">
      <c r="A255" s="1">
        <v>44323</v>
      </c>
      <c r="B255" s="2">
        <v>1121</v>
      </c>
      <c r="C255" s="2">
        <v>265</v>
      </c>
      <c r="D255" s="3">
        <v>3538.76</v>
      </c>
      <c r="E255" s="4" t="s">
        <v>12</v>
      </c>
    </row>
    <row r="256" spans="1:5" hidden="1" x14ac:dyDescent="0.2">
      <c r="A256" s="1">
        <v>44324</v>
      </c>
      <c r="B256" s="2">
        <v>1212</v>
      </c>
      <c r="C256" s="2">
        <v>223</v>
      </c>
      <c r="D256" s="3">
        <v>2230.27</v>
      </c>
      <c r="E256" s="4" t="s">
        <v>11</v>
      </c>
    </row>
    <row r="257" spans="1:5" x14ac:dyDescent="0.2">
      <c r="A257" s="1">
        <v>44324</v>
      </c>
      <c r="B257" s="2">
        <v>1138</v>
      </c>
      <c r="C257" s="2">
        <v>271</v>
      </c>
      <c r="D257" s="3">
        <v>5577.69</v>
      </c>
      <c r="E257" s="4" t="s">
        <v>12</v>
      </c>
    </row>
    <row r="258" spans="1:5" hidden="1" x14ac:dyDescent="0.2">
      <c r="A258" s="1">
        <v>44325</v>
      </c>
      <c r="B258" s="2">
        <v>1211</v>
      </c>
      <c r="C258" s="2">
        <v>238</v>
      </c>
      <c r="D258" s="3">
        <v>3931.25</v>
      </c>
      <c r="E258" s="4" t="s">
        <v>11</v>
      </c>
    </row>
    <row r="259" spans="1:5" x14ac:dyDescent="0.2">
      <c r="A259" s="1">
        <v>44325</v>
      </c>
      <c r="B259" s="2">
        <v>1123</v>
      </c>
      <c r="C259" s="2">
        <v>235</v>
      </c>
      <c r="D259" s="3">
        <v>3892.16</v>
      </c>
      <c r="E259" s="4" t="s">
        <v>12</v>
      </c>
    </row>
    <row r="260" spans="1:5" hidden="1" x14ac:dyDescent="0.2">
      <c r="A260" s="1">
        <v>44326</v>
      </c>
      <c r="B260" s="2">
        <v>1185</v>
      </c>
      <c r="C260" s="2">
        <v>238</v>
      </c>
      <c r="D260" s="3">
        <v>3099.43</v>
      </c>
      <c r="E260" s="4" t="s">
        <v>11</v>
      </c>
    </row>
    <row r="261" spans="1:5" x14ac:dyDescent="0.2">
      <c r="A261" s="1">
        <v>44326</v>
      </c>
      <c r="B261" s="2">
        <v>1183</v>
      </c>
      <c r="C261" s="2">
        <v>268</v>
      </c>
      <c r="D261" s="3">
        <v>3696.48</v>
      </c>
      <c r="E261" s="4" t="s">
        <v>12</v>
      </c>
    </row>
    <row r="262" spans="1:5" hidden="1" x14ac:dyDescent="0.2">
      <c r="A262" s="1">
        <v>44327</v>
      </c>
      <c r="B262" s="2">
        <v>1222</v>
      </c>
      <c r="C262" s="2">
        <v>246</v>
      </c>
      <c r="D262" s="3">
        <v>3960.63</v>
      </c>
      <c r="E262" s="4" t="s">
        <v>11</v>
      </c>
    </row>
    <row r="263" spans="1:5" x14ac:dyDescent="0.2">
      <c r="A263" s="1">
        <v>44327</v>
      </c>
      <c r="B263" s="2">
        <v>1115</v>
      </c>
      <c r="C263" s="2">
        <v>240</v>
      </c>
      <c r="D263" s="3">
        <v>3375.19</v>
      </c>
      <c r="E263" s="4" t="s">
        <v>12</v>
      </c>
    </row>
    <row r="264" spans="1:5" hidden="1" x14ac:dyDescent="0.2">
      <c r="A264" s="1">
        <v>44328</v>
      </c>
      <c r="B264" s="2">
        <v>1207</v>
      </c>
      <c r="C264" s="2">
        <v>261</v>
      </c>
      <c r="D264" s="3">
        <v>4031.88</v>
      </c>
      <c r="E264" s="4" t="s">
        <v>11</v>
      </c>
    </row>
    <row r="265" spans="1:5" x14ac:dyDescent="0.2">
      <c r="A265" s="1">
        <v>44328</v>
      </c>
      <c r="B265" s="2">
        <v>1228</v>
      </c>
      <c r="C265" s="2">
        <v>286</v>
      </c>
      <c r="D265" s="3">
        <v>5356.29</v>
      </c>
      <c r="E265" s="4" t="s">
        <v>12</v>
      </c>
    </row>
    <row r="266" spans="1:5" hidden="1" x14ac:dyDescent="0.2">
      <c r="A266" s="1">
        <v>44329</v>
      </c>
      <c r="B266" s="2">
        <v>1211</v>
      </c>
      <c r="C266" s="2">
        <v>238</v>
      </c>
      <c r="D266" s="3">
        <v>3228.04</v>
      </c>
      <c r="E266" s="4" t="s">
        <v>11</v>
      </c>
    </row>
    <row r="267" spans="1:5" x14ac:dyDescent="0.2">
      <c r="A267" s="1">
        <v>44329</v>
      </c>
      <c r="B267" s="2">
        <v>1186</v>
      </c>
      <c r="C267" s="2">
        <v>246</v>
      </c>
      <c r="D267" s="3">
        <v>4376.3</v>
      </c>
      <c r="E267" s="4" t="s">
        <v>12</v>
      </c>
    </row>
    <row r="268" spans="1:5" hidden="1" x14ac:dyDescent="0.2">
      <c r="A268" s="1">
        <v>44330</v>
      </c>
      <c r="B268" s="2">
        <v>1212</v>
      </c>
      <c r="C268" s="2">
        <v>250</v>
      </c>
      <c r="D268" s="3">
        <v>4066.89</v>
      </c>
      <c r="E268" s="4" t="s">
        <v>11</v>
      </c>
    </row>
    <row r="269" spans="1:5" x14ac:dyDescent="0.2">
      <c r="A269" s="1">
        <v>44330</v>
      </c>
      <c r="B269" s="2">
        <v>1120</v>
      </c>
      <c r="C269" s="2">
        <v>240</v>
      </c>
      <c r="D269" s="3">
        <v>4038.62</v>
      </c>
      <c r="E269" s="4" t="s">
        <v>12</v>
      </c>
    </row>
    <row r="270" spans="1:5" hidden="1" x14ac:dyDescent="0.2">
      <c r="A270" s="1">
        <v>44331</v>
      </c>
      <c r="B270" s="2">
        <v>1211</v>
      </c>
      <c r="C270" s="2">
        <v>229</v>
      </c>
      <c r="D270" s="3">
        <v>3394.57</v>
      </c>
      <c r="E270" s="4" t="s">
        <v>11</v>
      </c>
    </row>
    <row r="271" spans="1:5" x14ac:dyDescent="0.2">
      <c r="A271" s="1">
        <v>44331</v>
      </c>
      <c r="B271" s="2">
        <v>1170</v>
      </c>
      <c r="C271" s="2">
        <v>267</v>
      </c>
      <c r="D271" s="3">
        <v>5649.56</v>
      </c>
      <c r="E271" s="4" t="s">
        <v>12</v>
      </c>
    </row>
    <row r="272" spans="1:5" hidden="1" x14ac:dyDescent="0.2">
      <c r="A272" s="1">
        <v>44332</v>
      </c>
      <c r="B272" s="2">
        <v>1155</v>
      </c>
      <c r="C272" s="2">
        <v>209</v>
      </c>
      <c r="D272" s="3">
        <v>2976.52</v>
      </c>
      <c r="E272" s="4" t="s">
        <v>11</v>
      </c>
    </row>
    <row r="273" spans="1:5" x14ac:dyDescent="0.2">
      <c r="A273" s="1">
        <v>44332</v>
      </c>
      <c r="B273" s="2">
        <v>1094</v>
      </c>
      <c r="C273" s="2">
        <v>250</v>
      </c>
      <c r="D273" s="3">
        <v>3898.21</v>
      </c>
      <c r="E273" s="4" t="s">
        <v>12</v>
      </c>
    </row>
    <row r="274" spans="1:5" hidden="1" x14ac:dyDescent="0.2">
      <c r="A274" s="1">
        <v>44333</v>
      </c>
      <c r="B274" s="2">
        <v>1171</v>
      </c>
      <c r="C274" s="2">
        <v>212</v>
      </c>
      <c r="D274" s="3">
        <v>3279.13</v>
      </c>
      <c r="E274" s="4" t="s">
        <v>11</v>
      </c>
    </row>
    <row r="275" spans="1:5" x14ac:dyDescent="0.2">
      <c r="A275" s="1">
        <v>44333</v>
      </c>
      <c r="B275" s="2">
        <v>1196</v>
      </c>
      <c r="C275" s="2">
        <v>289</v>
      </c>
      <c r="D275" s="3">
        <v>3724.69</v>
      </c>
      <c r="E275" s="4" t="s">
        <v>12</v>
      </c>
    </row>
    <row r="276" spans="1:5" hidden="1" x14ac:dyDescent="0.2">
      <c r="A276" s="1">
        <v>44334</v>
      </c>
      <c r="B276" s="2">
        <v>1183</v>
      </c>
      <c r="C276" s="2">
        <v>228</v>
      </c>
      <c r="D276" s="3">
        <v>3098.51</v>
      </c>
      <c r="E276" s="4" t="s">
        <v>11</v>
      </c>
    </row>
    <row r="277" spans="1:5" x14ac:dyDescent="0.2">
      <c r="A277" s="1">
        <v>44334</v>
      </c>
      <c r="B277" s="2">
        <v>1156</v>
      </c>
      <c r="C277" s="2">
        <v>254</v>
      </c>
      <c r="D277" s="3">
        <v>4035.67</v>
      </c>
      <c r="E277" s="4" t="s">
        <v>12</v>
      </c>
    </row>
    <row r="278" spans="1:5" hidden="1" x14ac:dyDescent="0.2">
      <c r="A278" s="1">
        <v>44335</v>
      </c>
      <c r="B278" s="2">
        <v>1167</v>
      </c>
      <c r="C278" s="2">
        <v>213</v>
      </c>
      <c r="D278" s="3">
        <v>2881.66</v>
      </c>
      <c r="E278" s="4" t="s">
        <v>11</v>
      </c>
    </row>
    <row r="279" spans="1:5" x14ac:dyDescent="0.2">
      <c r="A279" s="1">
        <v>44335</v>
      </c>
      <c r="B279" s="2">
        <v>1166</v>
      </c>
      <c r="C279" s="2">
        <v>296</v>
      </c>
      <c r="D279" s="3">
        <v>5467.77</v>
      </c>
      <c r="E279" s="4" t="s">
        <v>12</v>
      </c>
    </row>
    <row r="280" spans="1:5" hidden="1" x14ac:dyDescent="0.2">
      <c r="A280" s="1">
        <v>44336</v>
      </c>
      <c r="B280" s="2">
        <v>1190</v>
      </c>
      <c r="C280" s="2">
        <v>226</v>
      </c>
      <c r="D280" s="3">
        <v>4438.34</v>
      </c>
      <c r="E280" s="4" t="s">
        <v>11</v>
      </c>
    </row>
    <row r="281" spans="1:5" x14ac:dyDescent="0.2">
      <c r="A281" s="1">
        <v>44336</v>
      </c>
      <c r="B281" s="2">
        <v>1095</v>
      </c>
      <c r="C281" s="2">
        <v>235</v>
      </c>
      <c r="D281" s="3">
        <v>3944.86</v>
      </c>
      <c r="E281" s="4" t="s">
        <v>12</v>
      </c>
    </row>
    <row r="282" spans="1:5" hidden="1" x14ac:dyDescent="0.2">
      <c r="A282" s="1">
        <v>44337</v>
      </c>
      <c r="B282" s="2">
        <v>1230</v>
      </c>
      <c r="C282" s="2">
        <v>226</v>
      </c>
      <c r="D282" s="3">
        <v>3034.73</v>
      </c>
      <c r="E282" s="4" t="s">
        <v>11</v>
      </c>
    </row>
    <row r="283" spans="1:5" x14ac:dyDescent="0.2">
      <c r="A283" s="1">
        <v>44337</v>
      </c>
      <c r="B283" s="2">
        <v>1094</v>
      </c>
      <c r="C283" s="2">
        <v>266</v>
      </c>
      <c r="D283" s="3">
        <v>3547.78</v>
      </c>
      <c r="E283" s="4" t="s">
        <v>12</v>
      </c>
    </row>
    <row r="284" spans="1:5" hidden="1" x14ac:dyDescent="0.2">
      <c r="A284" s="1">
        <v>44338</v>
      </c>
      <c r="B284" s="2">
        <v>1190</v>
      </c>
      <c r="C284" s="2">
        <v>237</v>
      </c>
      <c r="D284" s="3">
        <v>3552.12</v>
      </c>
      <c r="E284" s="4" t="s">
        <v>11</v>
      </c>
    </row>
    <row r="285" spans="1:5" x14ac:dyDescent="0.2">
      <c r="A285" s="1">
        <v>44338</v>
      </c>
      <c r="B285" s="2">
        <v>1103</v>
      </c>
      <c r="C285" s="2">
        <v>245</v>
      </c>
      <c r="D285" s="3">
        <v>4330.8599999999997</v>
      </c>
      <c r="E285" s="4" t="s">
        <v>12</v>
      </c>
    </row>
    <row r="286" spans="1:5" hidden="1" x14ac:dyDescent="0.2">
      <c r="A286" s="1">
        <v>44339</v>
      </c>
      <c r="B286" s="2">
        <v>1244</v>
      </c>
      <c r="C286" s="2">
        <v>229</v>
      </c>
      <c r="D286" s="3">
        <v>3680.72</v>
      </c>
      <c r="E286" s="4" t="s">
        <v>11</v>
      </c>
    </row>
    <row r="287" spans="1:5" x14ac:dyDescent="0.2">
      <c r="A287" s="1">
        <v>44339</v>
      </c>
      <c r="B287" s="2">
        <v>1135</v>
      </c>
      <c r="C287" s="2">
        <v>265</v>
      </c>
      <c r="D287" s="3">
        <v>3763.81</v>
      </c>
      <c r="E287" s="4" t="s">
        <v>12</v>
      </c>
    </row>
    <row r="288" spans="1:5" hidden="1" x14ac:dyDescent="0.2">
      <c r="A288" s="1">
        <v>44340</v>
      </c>
      <c r="B288" s="2">
        <v>1156</v>
      </c>
      <c r="C288" s="2">
        <v>189</v>
      </c>
      <c r="D288" s="3">
        <v>3360.5</v>
      </c>
      <c r="E288" s="4" t="s">
        <v>11</v>
      </c>
    </row>
    <row r="289" spans="1:5" x14ac:dyDescent="0.2">
      <c r="A289" s="1">
        <v>44340</v>
      </c>
      <c r="B289" s="2">
        <v>1114</v>
      </c>
      <c r="C289" s="2">
        <v>269</v>
      </c>
      <c r="D289" s="3">
        <v>4604.1000000000004</v>
      </c>
      <c r="E289" s="4" t="s">
        <v>12</v>
      </c>
    </row>
    <row r="290" spans="1:5" hidden="1" x14ac:dyDescent="0.2">
      <c r="A290" s="1">
        <v>44341</v>
      </c>
      <c r="B290" s="2">
        <v>1187</v>
      </c>
      <c r="C290" s="2">
        <v>223</v>
      </c>
      <c r="D290" s="3">
        <v>3370.27</v>
      </c>
      <c r="E290" s="4" t="s">
        <v>11</v>
      </c>
    </row>
    <row r="291" spans="1:5" x14ac:dyDescent="0.2">
      <c r="A291" s="1">
        <v>44341</v>
      </c>
      <c r="B291" s="2">
        <v>1131</v>
      </c>
      <c r="C291" s="2">
        <v>276</v>
      </c>
      <c r="D291" s="3">
        <v>4708.3900000000003</v>
      </c>
      <c r="E291" s="4" t="s">
        <v>12</v>
      </c>
    </row>
    <row r="292" spans="1:5" hidden="1" x14ac:dyDescent="0.2">
      <c r="A292" s="1">
        <v>44342</v>
      </c>
      <c r="B292" s="2">
        <v>1214</v>
      </c>
      <c r="C292" s="2">
        <v>238</v>
      </c>
      <c r="D292" s="3">
        <v>3468.4</v>
      </c>
      <c r="E292" s="4" t="s">
        <v>11</v>
      </c>
    </row>
    <row r="293" spans="1:5" x14ac:dyDescent="0.2">
      <c r="A293" s="1">
        <v>44342</v>
      </c>
      <c r="B293" s="2">
        <v>1080</v>
      </c>
      <c r="C293" s="2">
        <v>285</v>
      </c>
      <c r="D293" s="3">
        <v>5409.71</v>
      </c>
      <c r="E293" s="4" t="s">
        <v>12</v>
      </c>
    </row>
    <row r="294" spans="1:5" hidden="1" x14ac:dyDescent="0.2">
      <c r="A294" s="1">
        <v>44343</v>
      </c>
      <c r="B294" s="2">
        <v>1157</v>
      </c>
      <c r="C294" s="2">
        <v>230</v>
      </c>
      <c r="D294" s="3">
        <v>3271.44</v>
      </c>
      <c r="E294" s="4" t="s">
        <v>11</v>
      </c>
    </row>
    <row r="295" spans="1:5" x14ac:dyDescent="0.2">
      <c r="A295" s="1">
        <v>44343</v>
      </c>
      <c r="B295" s="2">
        <v>1184</v>
      </c>
      <c r="C295" s="2">
        <v>267</v>
      </c>
      <c r="D295" s="3">
        <v>4363</v>
      </c>
      <c r="E295" s="4" t="s">
        <v>12</v>
      </c>
    </row>
    <row r="296" spans="1:5" hidden="1" x14ac:dyDescent="0.2">
      <c r="A296" s="1">
        <v>44344</v>
      </c>
      <c r="B296" s="2">
        <v>1203</v>
      </c>
      <c r="C296" s="2">
        <v>210</v>
      </c>
      <c r="D296" s="3">
        <v>2575.91</v>
      </c>
      <c r="E296" s="4" t="s">
        <v>11</v>
      </c>
    </row>
    <row r="297" spans="1:5" x14ac:dyDescent="0.2">
      <c r="A297" s="1">
        <v>44344</v>
      </c>
      <c r="B297" s="2">
        <v>1137</v>
      </c>
      <c r="C297" s="2">
        <v>268</v>
      </c>
      <c r="D297" s="3">
        <v>4167.53</v>
      </c>
      <c r="E297" s="4" t="s">
        <v>12</v>
      </c>
    </row>
    <row r="298" spans="1:5" hidden="1" x14ac:dyDescent="0.2">
      <c r="A298" s="1">
        <v>44345</v>
      </c>
      <c r="B298" s="2">
        <v>1229</v>
      </c>
      <c r="C298" s="2">
        <v>237</v>
      </c>
      <c r="D298" s="3">
        <v>3296.08</v>
      </c>
      <c r="E298" s="4" t="s">
        <v>11</v>
      </c>
    </row>
    <row r="299" spans="1:5" x14ac:dyDescent="0.2">
      <c r="A299" s="1">
        <v>44345</v>
      </c>
      <c r="B299" s="2">
        <v>1153</v>
      </c>
      <c r="C299" s="2">
        <v>259</v>
      </c>
      <c r="D299" s="3">
        <v>4346.95</v>
      </c>
      <c r="E299" s="4" t="s">
        <v>12</v>
      </c>
    </row>
    <row r="300" spans="1:5" hidden="1" x14ac:dyDescent="0.2">
      <c r="A300" s="1">
        <v>44346</v>
      </c>
      <c r="B300" s="2">
        <v>1289</v>
      </c>
      <c r="C300" s="2">
        <v>235</v>
      </c>
      <c r="D300" s="3">
        <v>4087.39</v>
      </c>
      <c r="E300" s="4" t="s">
        <v>11</v>
      </c>
    </row>
    <row r="301" spans="1:5" x14ac:dyDescent="0.2">
      <c r="A301" s="1">
        <v>44346</v>
      </c>
      <c r="B301" s="2">
        <v>1098</v>
      </c>
      <c r="C301" s="2">
        <v>249</v>
      </c>
      <c r="D301" s="3">
        <v>3905.05</v>
      </c>
      <c r="E301" s="4" t="s">
        <v>12</v>
      </c>
    </row>
    <row r="302" spans="1:5" hidden="1" x14ac:dyDescent="0.2">
      <c r="A302" s="1">
        <v>44347</v>
      </c>
      <c r="B302" s="2">
        <v>1225</v>
      </c>
      <c r="C302" s="2">
        <v>237</v>
      </c>
      <c r="D302" s="3">
        <v>4252.33</v>
      </c>
      <c r="E302" s="4" t="s">
        <v>11</v>
      </c>
    </row>
    <row r="303" spans="1:5" x14ac:dyDescent="0.2">
      <c r="A303" s="1">
        <v>44347</v>
      </c>
      <c r="B303" s="2">
        <v>1199</v>
      </c>
      <c r="C303" s="2">
        <v>254</v>
      </c>
      <c r="D303" s="3">
        <v>3957.66</v>
      </c>
      <c r="E303" s="4" t="s">
        <v>12</v>
      </c>
    </row>
    <row r="304" spans="1:5" hidden="1" x14ac:dyDescent="0.2">
      <c r="A304" s="1">
        <v>44348</v>
      </c>
      <c r="B304" s="2">
        <v>1174</v>
      </c>
      <c r="C304" s="2">
        <v>202</v>
      </c>
      <c r="D304" s="3">
        <v>3901.55</v>
      </c>
      <c r="E304" s="4" t="s">
        <v>11</v>
      </c>
    </row>
    <row r="305" spans="1:5" x14ac:dyDescent="0.2">
      <c r="A305" s="1">
        <v>44348</v>
      </c>
      <c r="B305" s="2">
        <v>1166</v>
      </c>
      <c r="C305" s="2">
        <v>278</v>
      </c>
      <c r="D305" s="3">
        <v>4111.22</v>
      </c>
      <c r="E305" s="4" t="s">
        <v>12</v>
      </c>
    </row>
    <row r="306" spans="1:5" hidden="1" x14ac:dyDescent="0.2">
      <c r="A306" s="1">
        <v>44349</v>
      </c>
      <c r="B306" s="2">
        <v>1134</v>
      </c>
      <c r="C306" s="2">
        <v>202</v>
      </c>
      <c r="D306" s="3">
        <v>3843.41</v>
      </c>
      <c r="E306" s="4" t="s">
        <v>11</v>
      </c>
    </row>
    <row r="307" spans="1:5" x14ac:dyDescent="0.2">
      <c r="A307" s="1">
        <v>44349</v>
      </c>
      <c r="B307" s="2">
        <v>1064</v>
      </c>
      <c r="C307" s="2">
        <v>230</v>
      </c>
      <c r="D307" s="3">
        <v>3742.81</v>
      </c>
      <c r="E307" s="4" t="s">
        <v>12</v>
      </c>
    </row>
    <row r="308" spans="1:5" hidden="1" x14ac:dyDescent="0.2">
      <c r="A308" s="1">
        <v>44350</v>
      </c>
      <c r="B308" s="2">
        <v>1136</v>
      </c>
      <c r="C308" s="2">
        <v>223</v>
      </c>
      <c r="D308" s="3">
        <v>3880.38</v>
      </c>
      <c r="E308" s="4" t="s">
        <v>11</v>
      </c>
    </row>
    <row r="309" spans="1:5" x14ac:dyDescent="0.2">
      <c r="A309" s="1">
        <v>44350</v>
      </c>
      <c r="B309" s="2">
        <v>1166</v>
      </c>
      <c r="C309" s="2">
        <v>273</v>
      </c>
      <c r="D309" s="3">
        <v>4009.34</v>
      </c>
      <c r="E309" s="4" t="s">
        <v>12</v>
      </c>
    </row>
    <row r="310" spans="1:5" hidden="1" x14ac:dyDescent="0.2">
      <c r="A310" s="1">
        <v>44351</v>
      </c>
      <c r="B310" s="2">
        <v>1216</v>
      </c>
      <c r="C310" s="2">
        <v>241</v>
      </c>
      <c r="D310" s="3">
        <v>4095.09</v>
      </c>
      <c r="E310" s="4" t="s">
        <v>11</v>
      </c>
    </row>
    <row r="311" spans="1:5" x14ac:dyDescent="0.2">
      <c r="A311" s="1">
        <v>44351</v>
      </c>
      <c r="B311" s="2">
        <v>1162</v>
      </c>
      <c r="C311" s="2">
        <v>272</v>
      </c>
      <c r="D311" s="3">
        <v>3940.3</v>
      </c>
      <c r="E311" s="4" t="s">
        <v>12</v>
      </c>
    </row>
    <row r="312" spans="1:5" hidden="1" x14ac:dyDescent="0.2">
      <c r="A312" s="1">
        <v>44352</v>
      </c>
      <c r="B312" s="2">
        <v>1211</v>
      </c>
      <c r="C312" s="2">
        <v>242</v>
      </c>
      <c r="D312" s="3">
        <v>3318.54</v>
      </c>
      <c r="E312" s="4" t="s">
        <v>11</v>
      </c>
    </row>
    <row r="313" spans="1:5" x14ac:dyDescent="0.2">
      <c r="A313" s="1">
        <v>44352</v>
      </c>
      <c r="B313" s="2">
        <v>1158</v>
      </c>
      <c r="C313" s="2">
        <v>262</v>
      </c>
      <c r="D313" s="3">
        <v>4678.1899999999996</v>
      </c>
      <c r="E313" s="4" t="s">
        <v>12</v>
      </c>
    </row>
    <row r="314" spans="1:5" hidden="1" x14ac:dyDescent="0.2">
      <c r="A314" s="1">
        <v>44353</v>
      </c>
      <c r="B314" s="2">
        <v>1263</v>
      </c>
      <c r="C314" s="2">
        <v>244</v>
      </c>
      <c r="D314" s="3">
        <v>4663.43</v>
      </c>
      <c r="E314" s="4" t="s">
        <v>11</v>
      </c>
    </row>
    <row r="315" spans="1:5" x14ac:dyDescent="0.2">
      <c r="A315" s="1">
        <v>44353</v>
      </c>
      <c r="B315" s="2">
        <v>1221</v>
      </c>
      <c r="C315" s="2">
        <v>281</v>
      </c>
      <c r="D315" s="3">
        <v>3876</v>
      </c>
      <c r="E315" s="4" t="s">
        <v>12</v>
      </c>
    </row>
    <row r="316" spans="1:5" hidden="1" x14ac:dyDescent="0.2">
      <c r="A316" s="1">
        <v>44354</v>
      </c>
      <c r="B316" s="2">
        <v>1249</v>
      </c>
      <c r="C316" s="2">
        <v>227</v>
      </c>
      <c r="D316" s="3">
        <v>3329.13</v>
      </c>
      <c r="E316" s="4" t="s">
        <v>11</v>
      </c>
    </row>
    <row r="317" spans="1:5" x14ac:dyDescent="0.2">
      <c r="A317" s="1">
        <v>44354</v>
      </c>
      <c r="B317" s="2">
        <v>1176</v>
      </c>
      <c r="C317" s="2">
        <v>262</v>
      </c>
      <c r="D317" s="3">
        <v>4340.07</v>
      </c>
      <c r="E317" s="4" t="s">
        <v>12</v>
      </c>
    </row>
    <row r="318" spans="1:5" hidden="1" x14ac:dyDescent="0.2">
      <c r="A318" s="1">
        <v>44355</v>
      </c>
      <c r="B318" s="2">
        <v>1114</v>
      </c>
      <c r="C318" s="2">
        <v>198</v>
      </c>
      <c r="D318" s="3">
        <v>2760.67</v>
      </c>
      <c r="E318" s="4" t="s">
        <v>11</v>
      </c>
    </row>
    <row r="319" spans="1:5" x14ac:dyDescent="0.2">
      <c r="A319" s="1">
        <v>44355</v>
      </c>
      <c r="B319" s="2">
        <v>1150</v>
      </c>
      <c r="C319" s="2">
        <v>252</v>
      </c>
      <c r="D319" s="3">
        <v>4327.53</v>
      </c>
      <c r="E319" s="4" t="s">
        <v>12</v>
      </c>
    </row>
    <row r="320" spans="1:5" hidden="1" x14ac:dyDescent="0.2">
      <c r="A320" s="1">
        <v>44356</v>
      </c>
      <c r="B320" s="2">
        <v>1209</v>
      </c>
      <c r="C320" s="2">
        <v>226</v>
      </c>
      <c r="D320" s="3">
        <v>3730.51</v>
      </c>
      <c r="E320" s="4" t="s">
        <v>11</v>
      </c>
    </row>
    <row r="321" spans="1:5" x14ac:dyDescent="0.2">
      <c r="A321" s="1">
        <v>44356</v>
      </c>
      <c r="B321" s="2">
        <v>1163</v>
      </c>
      <c r="C321" s="2">
        <v>261</v>
      </c>
      <c r="D321" s="3">
        <v>4374.96</v>
      </c>
      <c r="E321" s="4" t="s">
        <v>12</v>
      </c>
    </row>
    <row r="322" spans="1:5" hidden="1" x14ac:dyDescent="0.2">
      <c r="A322" s="1">
        <v>44357</v>
      </c>
      <c r="B322" s="2">
        <v>1147</v>
      </c>
      <c r="C322" s="2">
        <v>221</v>
      </c>
      <c r="D322" s="3">
        <v>4053.1</v>
      </c>
      <c r="E322" s="4" t="s">
        <v>11</v>
      </c>
    </row>
    <row r="323" spans="1:5" x14ac:dyDescent="0.2">
      <c r="A323" s="1">
        <v>44357</v>
      </c>
      <c r="B323" s="2">
        <v>1161</v>
      </c>
      <c r="C323" s="2">
        <v>260</v>
      </c>
      <c r="D323" s="3">
        <v>4365.2299999999996</v>
      </c>
      <c r="E323" s="4" t="s">
        <v>12</v>
      </c>
    </row>
    <row r="324" spans="1:5" hidden="1" x14ac:dyDescent="0.2">
      <c r="A324" s="1">
        <v>44358</v>
      </c>
      <c r="B324" s="2">
        <v>1205</v>
      </c>
      <c r="C324" s="2">
        <v>224</v>
      </c>
      <c r="D324" s="3">
        <v>3008.37</v>
      </c>
      <c r="E324" s="4" t="s">
        <v>11</v>
      </c>
    </row>
    <row r="325" spans="1:5" x14ac:dyDescent="0.2">
      <c r="A325" s="1">
        <v>44358</v>
      </c>
      <c r="B325" s="2">
        <v>1235</v>
      </c>
      <c r="C325" s="2">
        <v>294</v>
      </c>
      <c r="D325" s="3">
        <v>5085.1899999999996</v>
      </c>
      <c r="E325" s="4" t="s">
        <v>12</v>
      </c>
    </row>
    <row r="326" spans="1:5" hidden="1" x14ac:dyDescent="0.2">
      <c r="A326" s="1">
        <v>44359</v>
      </c>
      <c r="B326" s="2">
        <v>1180</v>
      </c>
      <c r="C326" s="2">
        <v>223</v>
      </c>
      <c r="D326" s="3">
        <v>3445.21</v>
      </c>
      <c r="E326" s="4" t="s">
        <v>11</v>
      </c>
    </row>
    <row r="327" spans="1:5" x14ac:dyDescent="0.2">
      <c r="A327" s="1">
        <v>44359</v>
      </c>
      <c r="B327" s="2">
        <v>1139</v>
      </c>
      <c r="C327" s="2">
        <v>243</v>
      </c>
      <c r="D327" s="3">
        <v>4341.24</v>
      </c>
      <c r="E327" s="4" t="s">
        <v>12</v>
      </c>
    </row>
    <row r="328" spans="1:5" hidden="1" x14ac:dyDescent="0.2">
      <c r="A328" s="1">
        <v>44360</v>
      </c>
      <c r="B328" s="2">
        <v>1212</v>
      </c>
      <c r="C328" s="2">
        <v>232</v>
      </c>
      <c r="D328" s="3">
        <v>3223.94</v>
      </c>
      <c r="E328" s="4" t="s">
        <v>11</v>
      </c>
    </row>
    <row r="329" spans="1:5" x14ac:dyDescent="0.2">
      <c r="A329" s="1">
        <v>44360</v>
      </c>
      <c r="B329" s="2">
        <v>1164</v>
      </c>
      <c r="C329" s="2">
        <v>276</v>
      </c>
      <c r="D329" s="3">
        <v>5828.13</v>
      </c>
      <c r="E329" s="4" t="s">
        <v>12</v>
      </c>
    </row>
    <row r="330" spans="1:5" hidden="1" x14ac:dyDescent="0.2">
      <c r="A330" s="1">
        <v>44361</v>
      </c>
      <c r="B330" s="2">
        <v>1206</v>
      </c>
      <c r="C330" s="2">
        <v>218</v>
      </c>
      <c r="D330" s="3">
        <v>2913.27</v>
      </c>
      <c r="E330" s="4" t="s">
        <v>11</v>
      </c>
    </row>
    <row r="331" spans="1:5" x14ac:dyDescent="0.2">
      <c r="A331" s="1">
        <v>44361</v>
      </c>
      <c r="B331" s="2">
        <v>1080</v>
      </c>
      <c r="C331" s="2">
        <v>262</v>
      </c>
      <c r="D331" s="3">
        <v>4190.2299999999996</v>
      </c>
      <c r="E331" s="4" t="s">
        <v>12</v>
      </c>
    </row>
    <row r="332" spans="1:5" hidden="1" x14ac:dyDescent="0.2">
      <c r="A332" s="1">
        <v>44362</v>
      </c>
      <c r="B332" s="2">
        <v>1182</v>
      </c>
      <c r="C332" s="2">
        <v>222</v>
      </c>
      <c r="D332" s="3">
        <v>4001.97</v>
      </c>
      <c r="E332" s="4" t="s">
        <v>11</v>
      </c>
    </row>
    <row r="333" spans="1:5" x14ac:dyDescent="0.2">
      <c r="A333" s="1">
        <v>44362</v>
      </c>
      <c r="B333" s="2">
        <v>1164</v>
      </c>
      <c r="C333" s="2">
        <v>272</v>
      </c>
      <c r="D333" s="3">
        <v>4695.16</v>
      </c>
      <c r="E333" s="4" t="s">
        <v>12</v>
      </c>
    </row>
    <row r="334" spans="1:5" hidden="1" x14ac:dyDescent="0.2">
      <c r="A334" s="1">
        <v>44363</v>
      </c>
      <c r="B334" s="2">
        <v>1152</v>
      </c>
      <c r="C334" s="2">
        <v>230</v>
      </c>
      <c r="D334" s="3">
        <v>4316.91</v>
      </c>
      <c r="E334" s="4" t="s">
        <v>11</v>
      </c>
    </row>
    <row r="335" spans="1:5" x14ac:dyDescent="0.2">
      <c r="A335" s="1">
        <v>44363</v>
      </c>
      <c r="B335" s="2">
        <v>1115</v>
      </c>
      <c r="C335" s="2">
        <v>269</v>
      </c>
      <c r="D335" s="3">
        <v>5134.2700000000004</v>
      </c>
      <c r="E335" s="4" t="s">
        <v>12</v>
      </c>
    </row>
    <row r="336" spans="1:5" hidden="1" x14ac:dyDescent="0.2">
      <c r="A336" s="1">
        <v>44364</v>
      </c>
      <c r="B336" s="2">
        <v>1176</v>
      </c>
      <c r="C336" s="2">
        <v>211</v>
      </c>
      <c r="D336" s="3">
        <v>2968.33</v>
      </c>
      <c r="E336" s="4" t="s">
        <v>11</v>
      </c>
    </row>
    <row r="337" spans="1:5" x14ac:dyDescent="0.2">
      <c r="A337" s="1">
        <v>44364</v>
      </c>
      <c r="B337" s="2">
        <v>1195</v>
      </c>
      <c r="C337" s="2">
        <v>260</v>
      </c>
      <c r="D337" s="3">
        <v>3330.75</v>
      </c>
      <c r="E337" s="4" t="s">
        <v>12</v>
      </c>
    </row>
    <row r="338" spans="1:5" hidden="1" x14ac:dyDescent="0.2">
      <c r="A338" s="1">
        <v>44365</v>
      </c>
      <c r="B338" s="2">
        <v>1196</v>
      </c>
      <c r="C338" s="2">
        <v>230</v>
      </c>
      <c r="D338" s="3">
        <v>3437.34</v>
      </c>
      <c r="E338" s="4" t="s">
        <v>11</v>
      </c>
    </row>
    <row r="339" spans="1:5" x14ac:dyDescent="0.2">
      <c r="A339" s="1">
        <v>44365</v>
      </c>
      <c r="B339" s="2">
        <v>1144</v>
      </c>
      <c r="C339" s="2">
        <v>258</v>
      </c>
      <c r="D339" s="3">
        <v>5042.4799999999996</v>
      </c>
      <c r="E339" s="4" t="s">
        <v>12</v>
      </c>
    </row>
    <row r="340" spans="1:5" hidden="1" x14ac:dyDescent="0.2">
      <c r="A340" s="1">
        <v>44366</v>
      </c>
      <c r="B340" s="2">
        <v>1211</v>
      </c>
      <c r="C340" s="2">
        <v>224</v>
      </c>
      <c r="D340" s="3">
        <v>3315.13</v>
      </c>
      <c r="E340" s="4" t="s">
        <v>11</v>
      </c>
    </row>
    <row r="341" spans="1:5" x14ac:dyDescent="0.2">
      <c r="A341" s="1">
        <v>44366</v>
      </c>
      <c r="B341" s="2">
        <v>1125</v>
      </c>
      <c r="C341" s="2">
        <v>281</v>
      </c>
      <c r="D341" s="3">
        <v>4381.54</v>
      </c>
      <c r="E341" s="4" t="s">
        <v>12</v>
      </c>
    </row>
    <row r="342" spans="1:5" hidden="1" x14ac:dyDescent="0.2">
      <c r="A342" s="1">
        <v>44367</v>
      </c>
      <c r="B342" s="2">
        <v>1176</v>
      </c>
      <c r="C342" s="2">
        <v>221</v>
      </c>
      <c r="D342" s="3">
        <v>3305.56</v>
      </c>
      <c r="E342" s="4" t="s">
        <v>11</v>
      </c>
    </row>
    <row r="343" spans="1:5" x14ac:dyDescent="0.2">
      <c r="A343" s="1">
        <v>44367</v>
      </c>
      <c r="B343" s="2">
        <v>1051</v>
      </c>
      <c r="C343" s="2">
        <v>264</v>
      </c>
      <c r="D343" s="3">
        <v>3829.47</v>
      </c>
      <c r="E343" s="4" t="s">
        <v>12</v>
      </c>
    </row>
    <row r="344" spans="1:5" hidden="1" x14ac:dyDescent="0.2">
      <c r="A344" s="1">
        <v>44368</v>
      </c>
      <c r="B344" s="2">
        <v>1203</v>
      </c>
      <c r="C344" s="2">
        <v>218</v>
      </c>
      <c r="D344" s="3">
        <v>3299.21</v>
      </c>
      <c r="E344" s="4" t="s">
        <v>11</v>
      </c>
    </row>
    <row r="345" spans="1:5" x14ac:dyDescent="0.2">
      <c r="A345" s="1">
        <v>44368</v>
      </c>
      <c r="B345" s="2">
        <v>1217</v>
      </c>
      <c r="C345" s="2">
        <v>291</v>
      </c>
      <c r="D345" s="3">
        <v>4956.28</v>
      </c>
      <c r="E345" s="4" t="s">
        <v>12</v>
      </c>
    </row>
    <row r="346" spans="1:5" hidden="1" x14ac:dyDescent="0.2">
      <c r="A346" s="1">
        <v>44369</v>
      </c>
      <c r="B346" s="2">
        <v>1174</v>
      </c>
      <c r="C346" s="2">
        <v>216</v>
      </c>
      <c r="D346" s="3">
        <v>3441.5</v>
      </c>
      <c r="E346" s="4" t="s">
        <v>11</v>
      </c>
    </row>
    <row r="347" spans="1:5" x14ac:dyDescent="0.2">
      <c r="A347" s="1">
        <v>44369</v>
      </c>
      <c r="B347" s="2">
        <v>1161</v>
      </c>
      <c r="C347" s="2">
        <v>268</v>
      </c>
      <c r="D347" s="3">
        <v>4268.8999999999996</v>
      </c>
      <c r="E347" s="4" t="s">
        <v>12</v>
      </c>
    </row>
    <row r="348" spans="1:5" hidden="1" x14ac:dyDescent="0.2">
      <c r="A348" s="1">
        <v>44370</v>
      </c>
      <c r="B348" s="2">
        <v>1170</v>
      </c>
      <c r="C348" s="2">
        <v>235</v>
      </c>
      <c r="D348" s="3">
        <v>3047.56</v>
      </c>
      <c r="E348" s="4" t="s">
        <v>11</v>
      </c>
    </row>
    <row r="349" spans="1:5" x14ac:dyDescent="0.2">
      <c r="A349" s="1">
        <v>44370</v>
      </c>
      <c r="B349" s="2">
        <v>1192</v>
      </c>
      <c r="C349" s="2">
        <v>257</v>
      </c>
      <c r="D349" s="3">
        <v>4143.7</v>
      </c>
      <c r="E349" s="4" t="s">
        <v>12</v>
      </c>
    </row>
    <row r="350" spans="1:5" hidden="1" x14ac:dyDescent="0.2">
      <c r="A350" s="1">
        <v>44371</v>
      </c>
      <c r="B350" s="2">
        <v>1204</v>
      </c>
      <c r="C350" s="2">
        <v>234</v>
      </c>
      <c r="D350" s="3">
        <v>3714.31</v>
      </c>
      <c r="E350" s="4" t="s">
        <v>11</v>
      </c>
    </row>
    <row r="351" spans="1:5" x14ac:dyDescent="0.2">
      <c r="A351" s="1">
        <v>44371</v>
      </c>
      <c r="B351" s="2">
        <v>1146</v>
      </c>
      <c r="C351" s="2">
        <v>275</v>
      </c>
      <c r="D351" s="3">
        <v>4897.16</v>
      </c>
      <c r="E351" s="4" t="s">
        <v>12</v>
      </c>
    </row>
    <row r="352" spans="1:5" hidden="1" x14ac:dyDescent="0.2">
      <c r="A352" s="1">
        <v>44372</v>
      </c>
      <c r="B352" s="2">
        <v>1131</v>
      </c>
      <c r="C352" s="2">
        <v>197</v>
      </c>
      <c r="D352" s="3">
        <v>2700.49</v>
      </c>
      <c r="E352" s="4" t="s">
        <v>11</v>
      </c>
    </row>
    <row r="353" spans="1:5" x14ac:dyDescent="0.2">
      <c r="A353" s="1">
        <v>44372</v>
      </c>
      <c r="B353" s="2">
        <v>1112</v>
      </c>
      <c r="C353" s="2">
        <v>248</v>
      </c>
      <c r="D353" s="3">
        <v>3571.6</v>
      </c>
      <c r="E353" s="4" t="s">
        <v>12</v>
      </c>
    </row>
    <row r="354" spans="1:5" hidden="1" x14ac:dyDescent="0.2">
      <c r="A354" s="1">
        <v>44373</v>
      </c>
      <c r="B354" s="2">
        <v>1168</v>
      </c>
      <c r="C354" s="2">
        <v>220</v>
      </c>
      <c r="D354" s="3">
        <v>3688.57</v>
      </c>
      <c r="E354" s="4" t="s">
        <v>11</v>
      </c>
    </row>
    <row r="355" spans="1:5" x14ac:dyDescent="0.2">
      <c r="A355" s="1">
        <v>44373</v>
      </c>
      <c r="B355" s="2">
        <v>1154</v>
      </c>
      <c r="C355" s="2">
        <v>251</v>
      </c>
      <c r="D355" s="3">
        <v>3976.93</v>
      </c>
      <c r="E355" s="4" t="s">
        <v>12</v>
      </c>
    </row>
    <row r="356" spans="1:5" hidden="1" x14ac:dyDescent="0.2">
      <c r="A356" s="1">
        <v>44374</v>
      </c>
      <c r="B356" s="2">
        <v>1236</v>
      </c>
      <c r="C356" s="2">
        <v>229</v>
      </c>
      <c r="D356" s="3">
        <v>3856.01</v>
      </c>
      <c r="E356" s="4" t="s">
        <v>11</v>
      </c>
    </row>
    <row r="357" spans="1:5" x14ac:dyDescent="0.2">
      <c r="A357" s="1">
        <v>44374</v>
      </c>
      <c r="B357" s="2">
        <v>1157</v>
      </c>
      <c r="C357" s="2">
        <v>291</v>
      </c>
      <c r="D357" s="3">
        <v>4267.1400000000003</v>
      </c>
      <c r="E357" s="4" t="s">
        <v>12</v>
      </c>
    </row>
    <row r="358" spans="1:5" hidden="1" x14ac:dyDescent="0.2">
      <c r="A358" s="1">
        <v>44375</v>
      </c>
      <c r="B358" s="2">
        <v>1160</v>
      </c>
      <c r="C358" s="2">
        <v>222</v>
      </c>
      <c r="D358" s="3">
        <v>3181.36</v>
      </c>
      <c r="E358" s="4" t="s">
        <v>11</v>
      </c>
    </row>
    <row r="359" spans="1:5" x14ac:dyDescent="0.2">
      <c r="A359" s="1">
        <v>44375</v>
      </c>
      <c r="B359" s="2">
        <v>1115</v>
      </c>
      <c r="C359" s="2">
        <v>229</v>
      </c>
      <c r="D359" s="3">
        <v>3479.13</v>
      </c>
      <c r="E359" s="4" t="s">
        <v>12</v>
      </c>
    </row>
    <row r="360" spans="1:5" hidden="1" x14ac:dyDescent="0.2">
      <c r="A360" s="1">
        <v>44376</v>
      </c>
      <c r="B360" s="2">
        <v>1194</v>
      </c>
      <c r="C360" s="2">
        <v>207</v>
      </c>
      <c r="D360" s="3">
        <v>3115.03</v>
      </c>
      <c r="E360" s="4" t="s">
        <v>11</v>
      </c>
    </row>
    <row r="361" spans="1:5" x14ac:dyDescent="0.2">
      <c r="A361" s="1">
        <v>44376</v>
      </c>
      <c r="B361" s="2">
        <v>1163</v>
      </c>
      <c r="C361" s="2">
        <v>286</v>
      </c>
      <c r="D361" s="3">
        <v>5383.79</v>
      </c>
      <c r="E361" s="4" t="s">
        <v>12</v>
      </c>
    </row>
    <row r="362" spans="1:5" hidden="1" x14ac:dyDescent="0.2">
      <c r="A362" s="1">
        <v>44377</v>
      </c>
      <c r="B362" s="2">
        <v>1161</v>
      </c>
      <c r="C362" s="2">
        <v>229</v>
      </c>
      <c r="D362" s="3">
        <v>3700.47</v>
      </c>
      <c r="E362" s="4" t="s">
        <v>11</v>
      </c>
    </row>
    <row r="363" spans="1:5" x14ac:dyDescent="0.2">
      <c r="A363" s="1">
        <v>44377</v>
      </c>
      <c r="B363" s="2">
        <v>1091</v>
      </c>
      <c r="C363" s="2">
        <v>236</v>
      </c>
      <c r="D363" s="3">
        <v>3929.78</v>
      </c>
      <c r="E363" s="4" t="s">
        <v>12</v>
      </c>
    </row>
    <row r="364" spans="1:5" hidden="1" x14ac:dyDescent="0.2">
      <c r="A364" s="1">
        <v>44378</v>
      </c>
      <c r="B364" s="2">
        <v>1236</v>
      </c>
      <c r="C364" s="2">
        <v>221</v>
      </c>
      <c r="D364" s="3">
        <v>3897.16</v>
      </c>
      <c r="E364" s="4" t="s">
        <v>11</v>
      </c>
    </row>
    <row r="365" spans="1:5" x14ac:dyDescent="0.2">
      <c r="A365" s="1">
        <v>44378</v>
      </c>
      <c r="B365" s="2">
        <v>1146</v>
      </c>
      <c r="C365" s="2">
        <v>261</v>
      </c>
      <c r="D365" s="3">
        <v>4114.37</v>
      </c>
      <c r="E365" s="4" t="s">
        <v>12</v>
      </c>
    </row>
    <row r="366" spans="1:5" hidden="1" x14ac:dyDescent="0.2">
      <c r="A366" s="1">
        <v>44379</v>
      </c>
      <c r="B366" s="2">
        <v>1183</v>
      </c>
      <c r="C366" s="2">
        <v>222</v>
      </c>
      <c r="D366" s="3">
        <v>3156.06</v>
      </c>
      <c r="E366" s="4" t="s">
        <v>11</v>
      </c>
    </row>
    <row r="367" spans="1:5" x14ac:dyDescent="0.2">
      <c r="A367" s="1">
        <v>44379</v>
      </c>
      <c r="B367" s="2">
        <v>1145</v>
      </c>
      <c r="C367" s="2">
        <v>273</v>
      </c>
      <c r="D367" s="3">
        <v>3864.36</v>
      </c>
      <c r="E367" s="4" t="s">
        <v>12</v>
      </c>
    </row>
    <row r="368" spans="1:5" hidden="1" x14ac:dyDescent="0.2">
      <c r="A368" s="1">
        <v>44380</v>
      </c>
      <c r="B368" s="2">
        <v>1185</v>
      </c>
      <c r="C368" s="2">
        <v>219</v>
      </c>
      <c r="D368" s="3">
        <v>2889.18</v>
      </c>
      <c r="E368" s="4" t="s">
        <v>11</v>
      </c>
    </row>
    <row r="369" spans="1:5" x14ac:dyDescent="0.2">
      <c r="A369" s="1">
        <v>44380</v>
      </c>
      <c r="B369" s="2">
        <v>1167</v>
      </c>
      <c r="C369" s="2">
        <v>245</v>
      </c>
      <c r="D369" s="3">
        <v>4078.94</v>
      </c>
      <c r="E369" s="4" t="s">
        <v>12</v>
      </c>
    </row>
    <row r="370" spans="1:5" hidden="1" x14ac:dyDescent="0.2">
      <c r="A370" s="1">
        <v>44381</v>
      </c>
      <c r="B370" s="2">
        <v>1163</v>
      </c>
      <c r="C370" s="2">
        <v>209</v>
      </c>
      <c r="D370" s="3">
        <v>3499.2</v>
      </c>
      <c r="E370" s="4" t="s">
        <v>11</v>
      </c>
    </row>
    <row r="371" spans="1:5" x14ac:dyDescent="0.2">
      <c r="A371" s="1">
        <v>44381</v>
      </c>
      <c r="B371" s="2">
        <v>1169</v>
      </c>
      <c r="C371" s="2">
        <v>276</v>
      </c>
      <c r="D371" s="3">
        <v>3673.02</v>
      </c>
      <c r="E371" s="4" t="s">
        <v>12</v>
      </c>
    </row>
    <row r="372" spans="1:5" hidden="1" x14ac:dyDescent="0.2">
      <c r="A372" s="1">
        <v>44382</v>
      </c>
      <c r="B372" s="2">
        <v>1215</v>
      </c>
      <c r="C372" s="2">
        <v>218</v>
      </c>
      <c r="D372" s="3">
        <v>3563.24</v>
      </c>
      <c r="E372" s="4" t="s">
        <v>11</v>
      </c>
    </row>
    <row r="373" spans="1:5" x14ac:dyDescent="0.2">
      <c r="A373" s="1">
        <v>44382</v>
      </c>
      <c r="B373" s="2">
        <v>1102</v>
      </c>
      <c r="C373" s="2">
        <v>249</v>
      </c>
      <c r="D373" s="3">
        <v>4930.1400000000003</v>
      </c>
      <c r="E373" s="4" t="s">
        <v>12</v>
      </c>
    </row>
    <row r="374" spans="1:5" hidden="1" x14ac:dyDescent="0.2">
      <c r="A374" s="1">
        <v>44383</v>
      </c>
      <c r="B374" s="2">
        <v>1205</v>
      </c>
      <c r="C374" s="2">
        <v>271</v>
      </c>
      <c r="D374" s="3">
        <v>3774.85</v>
      </c>
      <c r="E374" s="4" t="s">
        <v>11</v>
      </c>
    </row>
    <row r="375" spans="1:5" x14ac:dyDescent="0.2">
      <c r="A375" s="1">
        <v>44383</v>
      </c>
      <c r="B375" s="2">
        <v>1175</v>
      </c>
      <c r="C375" s="2">
        <v>258</v>
      </c>
      <c r="D375" s="3">
        <v>4081.28</v>
      </c>
      <c r="E375" s="4" t="s">
        <v>12</v>
      </c>
    </row>
    <row r="376" spans="1:5" hidden="1" x14ac:dyDescent="0.2">
      <c r="A376" s="1">
        <v>44384</v>
      </c>
      <c r="B376" s="2">
        <v>1178</v>
      </c>
      <c r="C376" s="2">
        <v>200</v>
      </c>
      <c r="D376" s="3">
        <v>2625.82</v>
      </c>
      <c r="E376" s="4" t="s">
        <v>11</v>
      </c>
    </row>
    <row r="377" spans="1:5" x14ac:dyDescent="0.2">
      <c r="A377" s="1">
        <v>44384</v>
      </c>
      <c r="B377" s="2">
        <v>1187</v>
      </c>
      <c r="C377" s="2">
        <v>290</v>
      </c>
      <c r="D377" s="3">
        <v>5269.87</v>
      </c>
      <c r="E377" s="4" t="s">
        <v>12</v>
      </c>
    </row>
    <row r="378" spans="1:5" hidden="1" x14ac:dyDescent="0.2">
      <c r="A378" s="1">
        <v>44385</v>
      </c>
      <c r="B378" s="2">
        <v>1221</v>
      </c>
      <c r="C378" s="2">
        <v>230</v>
      </c>
      <c r="D378" s="3">
        <v>3441.07</v>
      </c>
      <c r="E378" s="4" t="s">
        <v>11</v>
      </c>
    </row>
    <row r="379" spans="1:5" x14ac:dyDescent="0.2">
      <c r="A379" s="1">
        <v>44385</v>
      </c>
      <c r="B379" s="2">
        <v>1130</v>
      </c>
      <c r="C379" s="2">
        <v>264</v>
      </c>
      <c r="D379" s="3">
        <v>4063.92</v>
      </c>
      <c r="E379" s="4" t="s">
        <v>12</v>
      </c>
    </row>
    <row r="380" spans="1:5" hidden="1" x14ac:dyDescent="0.2">
      <c r="A380" s="1">
        <v>44386</v>
      </c>
      <c r="B380" s="2">
        <v>1226</v>
      </c>
      <c r="C380" s="2">
        <v>253</v>
      </c>
      <c r="D380" s="3">
        <v>3742.15</v>
      </c>
      <c r="E380" s="4" t="s">
        <v>11</v>
      </c>
    </row>
    <row r="381" spans="1:5" x14ac:dyDescent="0.2">
      <c r="A381" s="1">
        <v>44386</v>
      </c>
      <c r="B381" s="2">
        <v>1181</v>
      </c>
      <c r="C381" s="2">
        <v>268</v>
      </c>
      <c r="D381" s="3">
        <v>4197.51</v>
      </c>
      <c r="E381" s="4" t="s">
        <v>12</v>
      </c>
    </row>
    <row r="382" spans="1:5" hidden="1" x14ac:dyDescent="0.2">
      <c r="A382" s="1">
        <v>44387</v>
      </c>
      <c r="B382" s="2">
        <v>1242</v>
      </c>
      <c r="C382" s="2">
        <v>217</v>
      </c>
      <c r="D382" s="3">
        <v>2852.53</v>
      </c>
      <c r="E382" s="4" t="s">
        <v>11</v>
      </c>
    </row>
    <row r="383" spans="1:5" x14ac:dyDescent="0.2">
      <c r="A383" s="1">
        <v>44387</v>
      </c>
      <c r="B383" s="2">
        <v>1097</v>
      </c>
      <c r="C383" s="2">
        <v>262</v>
      </c>
      <c r="D383" s="3">
        <v>4316.91</v>
      </c>
      <c r="E383" s="4" t="s">
        <v>12</v>
      </c>
    </row>
    <row r="384" spans="1:5" hidden="1" x14ac:dyDescent="0.2">
      <c r="A384" s="1">
        <v>44388</v>
      </c>
      <c r="B384" s="2">
        <v>1181</v>
      </c>
      <c r="C384" s="2">
        <v>244</v>
      </c>
      <c r="D384" s="3">
        <v>4446.79</v>
      </c>
      <c r="E384" s="4" t="s">
        <v>11</v>
      </c>
    </row>
    <row r="385" spans="1:5" x14ac:dyDescent="0.2">
      <c r="A385" s="1">
        <v>44388</v>
      </c>
      <c r="B385" s="2">
        <v>1159</v>
      </c>
      <c r="C385" s="2">
        <v>262</v>
      </c>
      <c r="D385" s="3">
        <v>4881.0200000000004</v>
      </c>
      <c r="E385" s="4" t="s">
        <v>12</v>
      </c>
    </row>
    <row r="386" spans="1:5" hidden="1" x14ac:dyDescent="0.2">
      <c r="A386" s="1">
        <v>44389</v>
      </c>
      <c r="B386" s="2">
        <v>1149</v>
      </c>
      <c r="C386" s="2">
        <v>221</v>
      </c>
      <c r="D386" s="3">
        <v>3369.46</v>
      </c>
      <c r="E386" s="4" t="s">
        <v>11</v>
      </c>
    </row>
    <row r="387" spans="1:5" x14ac:dyDescent="0.2">
      <c r="A387" s="1">
        <v>44389</v>
      </c>
      <c r="B387" s="2">
        <v>1175</v>
      </c>
      <c r="C387" s="2">
        <v>295</v>
      </c>
      <c r="D387" s="3">
        <v>5045.38</v>
      </c>
      <c r="E387" s="4" t="s">
        <v>12</v>
      </c>
    </row>
    <row r="388" spans="1:5" hidden="1" x14ac:dyDescent="0.2">
      <c r="A388" s="1">
        <v>44390</v>
      </c>
      <c r="B388" s="2">
        <v>1174</v>
      </c>
      <c r="C388" s="2">
        <v>241</v>
      </c>
      <c r="D388" s="3">
        <v>3408.08</v>
      </c>
      <c r="E388" s="4" t="s">
        <v>11</v>
      </c>
    </row>
    <row r="389" spans="1:5" x14ac:dyDescent="0.2">
      <c r="A389" s="1">
        <v>44390</v>
      </c>
      <c r="B389" s="2">
        <v>1148</v>
      </c>
      <c r="C389" s="2">
        <v>282</v>
      </c>
      <c r="D389" s="3">
        <v>4121.47</v>
      </c>
      <c r="E389" s="4" t="s">
        <v>12</v>
      </c>
    </row>
    <row r="390" spans="1:5" hidden="1" x14ac:dyDescent="0.2">
      <c r="A390" s="1">
        <v>44391</v>
      </c>
      <c r="B390" s="2">
        <v>1168</v>
      </c>
      <c r="C390" s="2">
        <v>222</v>
      </c>
      <c r="D390" s="3">
        <v>3192.71</v>
      </c>
      <c r="E390" s="4" t="s">
        <v>11</v>
      </c>
    </row>
    <row r="391" spans="1:5" x14ac:dyDescent="0.2">
      <c r="A391" s="1">
        <v>44391</v>
      </c>
      <c r="B391" s="2">
        <v>1183</v>
      </c>
      <c r="C391" s="2">
        <v>286</v>
      </c>
      <c r="D391" s="3">
        <v>4145.7700000000004</v>
      </c>
      <c r="E391" s="4" t="s">
        <v>12</v>
      </c>
    </row>
    <row r="392" spans="1:5" hidden="1" x14ac:dyDescent="0.2">
      <c r="A392" s="1">
        <v>44392</v>
      </c>
      <c r="B392" s="2">
        <v>1265</v>
      </c>
      <c r="C392" s="2">
        <v>227</v>
      </c>
      <c r="D392" s="3">
        <v>3260.15</v>
      </c>
      <c r="E392" s="4" t="s">
        <v>11</v>
      </c>
    </row>
    <row r="393" spans="1:5" x14ac:dyDescent="0.2">
      <c r="A393" s="1">
        <v>44392</v>
      </c>
      <c r="B393" s="2">
        <v>1151</v>
      </c>
      <c r="C393" s="2">
        <v>265</v>
      </c>
      <c r="D393" s="3">
        <v>3818.11</v>
      </c>
      <c r="E393" s="4" t="s">
        <v>12</v>
      </c>
    </row>
    <row r="394" spans="1:5" hidden="1" x14ac:dyDescent="0.2">
      <c r="A394" s="1">
        <v>44393</v>
      </c>
      <c r="B394" s="2">
        <v>1176</v>
      </c>
      <c r="C394" s="2">
        <v>229</v>
      </c>
      <c r="D394" s="3">
        <v>3557.34</v>
      </c>
      <c r="E394" s="4" t="s">
        <v>11</v>
      </c>
    </row>
    <row r="395" spans="1:5" x14ac:dyDescent="0.2">
      <c r="A395" s="1">
        <v>44393</v>
      </c>
      <c r="B395" s="2">
        <v>1160</v>
      </c>
      <c r="C395" s="2">
        <v>273</v>
      </c>
      <c r="D395" s="3">
        <v>4645.76</v>
      </c>
      <c r="E395" s="4" t="s">
        <v>12</v>
      </c>
    </row>
    <row r="396" spans="1:5" hidden="1" x14ac:dyDescent="0.2">
      <c r="A396" s="1">
        <v>44394</v>
      </c>
      <c r="B396" s="2">
        <v>1214</v>
      </c>
      <c r="C396" s="2">
        <v>239</v>
      </c>
      <c r="D396" s="3">
        <v>4355.6400000000003</v>
      </c>
      <c r="E396" s="4" t="s">
        <v>11</v>
      </c>
    </row>
    <row r="397" spans="1:5" x14ac:dyDescent="0.2">
      <c r="A397" s="1">
        <v>44394</v>
      </c>
      <c r="B397" s="2">
        <v>1102</v>
      </c>
      <c r="C397" s="2">
        <v>262</v>
      </c>
      <c r="D397" s="3">
        <v>4661.9399999999996</v>
      </c>
      <c r="E397" s="4" t="s">
        <v>12</v>
      </c>
    </row>
    <row r="398" spans="1:5" hidden="1" x14ac:dyDescent="0.2">
      <c r="A398" s="1">
        <v>44395</v>
      </c>
      <c r="B398" s="2">
        <v>1153</v>
      </c>
      <c r="C398" s="2">
        <v>214</v>
      </c>
      <c r="D398" s="3">
        <v>3113.76</v>
      </c>
      <c r="E398" s="4" t="s">
        <v>11</v>
      </c>
    </row>
    <row r="399" spans="1:5" x14ac:dyDescent="0.2">
      <c r="A399" s="1">
        <v>44395</v>
      </c>
      <c r="B399" s="2">
        <v>1220</v>
      </c>
      <c r="C399" s="2">
        <v>256</v>
      </c>
      <c r="D399" s="3">
        <v>3763.2</v>
      </c>
      <c r="E399" s="4" t="s">
        <v>12</v>
      </c>
    </row>
    <row r="400" spans="1:5" hidden="1" x14ac:dyDescent="0.2">
      <c r="A400" s="1">
        <v>44396</v>
      </c>
      <c r="B400" s="2">
        <v>1209</v>
      </c>
      <c r="C400" s="2">
        <v>231</v>
      </c>
      <c r="D400" s="3">
        <v>3905.35</v>
      </c>
      <c r="E400" s="4" t="s">
        <v>11</v>
      </c>
    </row>
    <row r="401" spans="1:5" x14ac:dyDescent="0.2">
      <c r="A401" s="1">
        <v>44396</v>
      </c>
      <c r="B401" s="2">
        <v>1173</v>
      </c>
      <c r="C401" s="2">
        <v>293</v>
      </c>
      <c r="D401" s="3">
        <v>4856.25</v>
      </c>
      <c r="E401" s="4" t="s">
        <v>12</v>
      </c>
    </row>
    <row r="402" spans="1:5" hidden="1" x14ac:dyDescent="0.2">
      <c r="A402" s="1">
        <v>44397</v>
      </c>
      <c r="B402" s="2">
        <v>1203</v>
      </c>
      <c r="C402" s="2">
        <v>217</v>
      </c>
      <c r="D402" s="3">
        <v>3199.21</v>
      </c>
      <c r="E402" s="4" t="s">
        <v>11</v>
      </c>
    </row>
    <row r="403" spans="1:5" x14ac:dyDescent="0.2">
      <c r="A403" s="1">
        <v>44397</v>
      </c>
      <c r="B403" s="2">
        <v>1157</v>
      </c>
      <c r="C403" s="2">
        <v>256</v>
      </c>
      <c r="D403" s="3">
        <v>3132.49</v>
      </c>
      <c r="E403" s="4" t="s">
        <v>12</v>
      </c>
    </row>
    <row r="404" spans="1:5" hidden="1" x14ac:dyDescent="0.2">
      <c r="A404" s="1">
        <v>44398</v>
      </c>
      <c r="B404" s="2">
        <v>1184</v>
      </c>
      <c r="C404" s="2">
        <v>209</v>
      </c>
      <c r="D404" s="3">
        <v>2636.06</v>
      </c>
      <c r="E404" s="4" t="s">
        <v>11</v>
      </c>
    </row>
    <row r="405" spans="1:5" x14ac:dyDescent="0.2">
      <c r="A405" s="1">
        <v>44398</v>
      </c>
      <c r="B405" s="2">
        <v>1130</v>
      </c>
      <c r="C405" s="2">
        <v>257</v>
      </c>
      <c r="D405" s="3">
        <v>4584.45</v>
      </c>
      <c r="E405" s="4" t="s">
        <v>12</v>
      </c>
    </row>
    <row r="406" spans="1:5" hidden="1" x14ac:dyDescent="0.2">
      <c r="A406" s="1">
        <v>44399</v>
      </c>
      <c r="B406" s="2">
        <v>1236</v>
      </c>
      <c r="C406" s="2">
        <v>260</v>
      </c>
      <c r="D406" s="3">
        <v>4312.6099999999997</v>
      </c>
      <c r="E406" s="4" t="s">
        <v>11</v>
      </c>
    </row>
    <row r="407" spans="1:5" x14ac:dyDescent="0.2">
      <c r="A407" s="1">
        <v>44399</v>
      </c>
      <c r="B407" s="2">
        <v>1137</v>
      </c>
      <c r="C407" s="2">
        <v>272</v>
      </c>
      <c r="D407" s="3">
        <v>3400.8</v>
      </c>
      <c r="E407" s="4" t="s">
        <v>12</v>
      </c>
    </row>
    <row r="408" spans="1:5" hidden="1" x14ac:dyDescent="0.2">
      <c r="A408" s="1">
        <v>44400</v>
      </c>
      <c r="B408" s="2">
        <v>1193</v>
      </c>
      <c r="C408" s="2">
        <v>246</v>
      </c>
      <c r="D408" s="3">
        <v>4334.67</v>
      </c>
      <c r="E408" s="4" t="s">
        <v>11</v>
      </c>
    </row>
    <row r="409" spans="1:5" x14ac:dyDescent="0.2">
      <c r="A409" s="1">
        <v>44400</v>
      </c>
      <c r="B409" s="2">
        <v>1134</v>
      </c>
      <c r="C409" s="2">
        <v>270</v>
      </c>
      <c r="D409" s="3">
        <v>5073.67</v>
      </c>
      <c r="E409" s="4" t="s">
        <v>12</v>
      </c>
    </row>
    <row r="410" spans="1:5" hidden="1" x14ac:dyDescent="0.2">
      <c r="A410" s="1">
        <v>44401</v>
      </c>
      <c r="B410" s="2">
        <v>1218</v>
      </c>
      <c r="C410" s="2">
        <v>240</v>
      </c>
      <c r="D410" s="3">
        <v>3587.33</v>
      </c>
      <c r="E410" s="4" t="s">
        <v>11</v>
      </c>
    </row>
    <row r="411" spans="1:5" x14ac:dyDescent="0.2">
      <c r="A411" s="1">
        <v>44401</v>
      </c>
      <c r="B411" s="2">
        <v>1169</v>
      </c>
      <c r="C411" s="2">
        <v>289</v>
      </c>
      <c r="D411" s="3">
        <v>4785.93</v>
      </c>
      <c r="E411" s="4" t="s">
        <v>12</v>
      </c>
    </row>
    <row r="412" spans="1:5" hidden="1" x14ac:dyDescent="0.2">
      <c r="A412" s="1">
        <v>44402</v>
      </c>
      <c r="B412" s="2">
        <v>1200</v>
      </c>
      <c r="C412" s="2">
        <v>243</v>
      </c>
      <c r="D412" s="3">
        <v>3602.06</v>
      </c>
      <c r="E412" s="4" t="s">
        <v>11</v>
      </c>
    </row>
    <row r="413" spans="1:5" x14ac:dyDescent="0.2">
      <c r="A413" s="1">
        <v>44402</v>
      </c>
      <c r="B413" s="2">
        <v>1112</v>
      </c>
      <c r="C413" s="2">
        <v>248</v>
      </c>
      <c r="D413" s="3">
        <v>3784.47</v>
      </c>
      <c r="E413" s="4" t="s">
        <v>12</v>
      </c>
    </row>
    <row r="414" spans="1:5" hidden="1" x14ac:dyDescent="0.2">
      <c r="A414" s="1">
        <v>44403</v>
      </c>
      <c r="B414" s="2">
        <v>1178</v>
      </c>
      <c r="C414" s="2">
        <v>204</v>
      </c>
      <c r="D414" s="3">
        <v>3344.36</v>
      </c>
      <c r="E414" s="4" t="s">
        <v>11</v>
      </c>
    </row>
    <row r="415" spans="1:5" x14ac:dyDescent="0.2">
      <c r="A415" s="1">
        <v>44403</v>
      </c>
      <c r="B415" s="2">
        <v>1160</v>
      </c>
      <c r="C415" s="2">
        <v>304</v>
      </c>
      <c r="D415" s="3">
        <v>4661.04</v>
      </c>
      <c r="E415" s="4" t="s">
        <v>12</v>
      </c>
    </row>
    <row r="416" spans="1:5" hidden="1" x14ac:dyDescent="0.2">
      <c r="A416" s="1">
        <v>44404</v>
      </c>
      <c r="B416" s="2">
        <v>1292</v>
      </c>
      <c r="C416" s="2">
        <v>252</v>
      </c>
      <c r="D416" s="3">
        <v>3178.26</v>
      </c>
      <c r="E416" s="4" t="s">
        <v>11</v>
      </c>
    </row>
    <row r="417" spans="1:5" x14ac:dyDescent="0.2">
      <c r="A417" s="1">
        <v>44404</v>
      </c>
      <c r="B417" s="2">
        <v>1155</v>
      </c>
      <c r="C417" s="2">
        <v>275</v>
      </c>
      <c r="D417" s="3">
        <v>4478.62</v>
      </c>
      <c r="E417" s="4" t="s">
        <v>12</v>
      </c>
    </row>
    <row r="418" spans="1:5" hidden="1" x14ac:dyDescent="0.2">
      <c r="A418" s="1">
        <v>44405</v>
      </c>
      <c r="B418" s="2">
        <v>1175</v>
      </c>
      <c r="C418" s="2">
        <v>217</v>
      </c>
      <c r="D418" s="3">
        <v>2395.98</v>
      </c>
      <c r="E418" s="4" t="s">
        <v>11</v>
      </c>
    </row>
    <row r="419" spans="1:5" x14ac:dyDescent="0.2">
      <c r="A419" s="1">
        <v>44405</v>
      </c>
      <c r="B419" s="2">
        <v>1158</v>
      </c>
      <c r="C419" s="2">
        <v>267</v>
      </c>
      <c r="D419" s="3">
        <v>4671.38</v>
      </c>
      <c r="E419" s="4" t="s">
        <v>12</v>
      </c>
    </row>
    <row r="420" spans="1:5" hidden="1" x14ac:dyDescent="0.2">
      <c r="A420" s="1">
        <v>44406</v>
      </c>
      <c r="B420" s="2">
        <v>1199</v>
      </c>
      <c r="C420" s="2">
        <v>239</v>
      </c>
      <c r="D420" s="3">
        <v>2997.28</v>
      </c>
      <c r="E420" s="4" t="s">
        <v>11</v>
      </c>
    </row>
    <row r="421" spans="1:5" x14ac:dyDescent="0.2">
      <c r="A421" s="1">
        <v>44406</v>
      </c>
      <c r="B421" s="2">
        <v>1140</v>
      </c>
      <c r="C421" s="2">
        <v>267</v>
      </c>
      <c r="D421" s="3">
        <v>4537.24</v>
      </c>
      <c r="E421" s="4" t="s">
        <v>12</v>
      </c>
    </row>
    <row r="422" spans="1:5" hidden="1" x14ac:dyDescent="0.2">
      <c r="A422" s="1">
        <v>44407</v>
      </c>
      <c r="B422" s="2">
        <v>1256</v>
      </c>
      <c r="C422" s="2">
        <v>237</v>
      </c>
      <c r="D422" s="3">
        <v>3701.02</v>
      </c>
      <c r="E422" s="4" t="s">
        <v>11</v>
      </c>
    </row>
    <row r="423" spans="1:5" x14ac:dyDescent="0.2">
      <c r="A423" s="1">
        <v>44407</v>
      </c>
      <c r="B423" s="2">
        <v>1105</v>
      </c>
      <c r="C423" s="2">
        <v>241</v>
      </c>
      <c r="D423" s="3">
        <v>3667.23</v>
      </c>
      <c r="E423" s="4" t="s">
        <v>12</v>
      </c>
    </row>
    <row r="424" spans="1:5" hidden="1" x14ac:dyDescent="0.2">
      <c r="A424" s="1">
        <v>44408</v>
      </c>
      <c r="B424" s="2">
        <v>1273</v>
      </c>
      <c r="C424" s="2">
        <v>235</v>
      </c>
      <c r="D424" s="3">
        <v>4054.24</v>
      </c>
      <c r="E424" s="4" t="s">
        <v>11</v>
      </c>
    </row>
    <row r="425" spans="1:5" x14ac:dyDescent="0.2">
      <c r="A425" s="1">
        <v>44408</v>
      </c>
      <c r="B425" s="2">
        <v>1159</v>
      </c>
      <c r="C425" s="2">
        <v>272</v>
      </c>
      <c r="D425" s="3">
        <v>4324.04</v>
      </c>
      <c r="E425" s="4" t="s">
        <v>12</v>
      </c>
    </row>
    <row r="426" spans="1:5" hidden="1" x14ac:dyDescent="0.2">
      <c r="A426" s="1">
        <v>44409</v>
      </c>
      <c r="B426" s="2">
        <v>1228</v>
      </c>
      <c r="C426" s="2">
        <v>241</v>
      </c>
      <c r="D426" s="3">
        <v>4124.0200000000004</v>
      </c>
      <c r="E426" s="4" t="s">
        <v>11</v>
      </c>
    </row>
    <row r="427" spans="1:5" x14ac:dyDescent="0.2">
      <c r="A427" s="1">
        <v>44409</v>
      </c>
      <c r="B427" s="2">
        <v>1186</v>
      </c>
      <c r="C427" s="2">
        <v>271</v>
      </c>
      <c r="D427" s="3">
        <v>4457</v>
      </c>
      <c r="E427" s="4" t="s">
        <v>12</v>
      </c>
    </row>
    <row r="428" spans="1:5" hidden="1" x14ac:dyDescent="0.2">
      <c r="A428" s="1">
        <v>44410</v>
      </c>
      <c r="B428" s="2">
        <v>1167</v>
      </c>
      <c r="C428" s="2">
        <v>234</v>
      </c>
      <c r="D428" s="3">
        <v>3787.78</v>
      </c>
      <c r="E428" s="4" t="s">
        <v>11</v>
      </c>
    </row>
    <row r="429" spans="1:5" x14ac:dyDescent="0.2">
      <c r="A429" s="1">
        <v>44410</v>
      </c>
      <c r="B429" s="2">
        <v>1162</v>
      </c>
      <c r="C429" s="2">
        <v>255</v>
      </c>
      <c r="D429" s="3">
        <v>2580.4</v>
      </c>
      <c r="E429" s="4" t="s">
        <v>12</v>
      </c>
    </row>
    <row r="430" spans="1:5" hidden="1" x14ac:dyDescent="0.2">
      <c r="A430" s="1">
        <v>44411</v>
      </c>
      <c r="B430" s="2">
        <v>1219</v>
      </c>
      <c r="C430" s="2">
        <v>214</v>
      </c>
      <c r="D430" s="3">
        <v>2794.13</v>
      </c>
      <c r="E430" s="4" t="s">
        <v>11</v>
      </c>
    </row>
    <row r="431" spans="1:5" x14ac:dyDescent="0.2">
      <c r="A431" s="1">
        <v>44411</v>
      </c>
      <c r="B431" s="2">
        <v>1183</v>
      </c>
      <c r="C431" s="2">
        <v>254</v>
      </c>
      <c r="D431" s="3">
        <v>3363.15</v>
      </c>
      <c r="E431" s="4" t="s">
        <v>12</v>
      </c>
    </row>
    <row r="432" spans="1:5" hidden="1" x14ac:dyDescent="0.2">
      <c r="A432" s="1">
        <v>44412</v>
      </c>
      <c r="B432" s="2">
        <v>1218</v>
      </c>
      <c r="C432" s="2">
        <v>243</v>
      </c>
      <c r="D432" s="3">
        <v>3997.4</v>
      </c>
      <c r="E432" s="4" t="s">
        <v>11</v>
      </c>
    </row>
    <row r="433" spans="1:5" x14ac:dyDescent="0.2">
      <c r="A433" s="1">
        <v>44412</v>
      </c>
      <c r="B433" s="2">
        <v>1175</v>
      </c>
      <c r="C433" s="2">
        <v>277</v>
      </c>
      <c r="D433" s="3">
        <v>4717.96</v>
      </c>
      <c r="E433" s="4" t="s">
        <v>12</v>
      </c>
    </row>
    <row r="434" spans="1:5" hidden="1" x14ac:dyDescent="0.2">
      <c r="A434" s="1">
        <v>44413</v>
      </c>
      <c r="B434" s="2">
        <v>1240</v>
      </c>
      <c r="C434" s="2">
        <v>226</v>
      </c>
      <c r="D434" s="3">
        <v>3316.29</v>
      </c>
      <c r="E434" s="4" t="s">
        <v>11</v>
      </c>
    </row>
    <row r="435" spans="1:5" x14ac:dyDescent="0.2">
      <c r="A435" s="1">
        <v>44413</v>
      </c>
      <c r="B435" s="2">
        <v>1141</v>
      </c>
      <c r="C435" s="2">
        <v>274</v>
      </c>
      <c r="D435" s="3">
        <v>3975.79</v>
      </c>
      <c r="E435" s="4" t="s">
        <v>12</v>
      </c>
    </row>
    <row r="436" spans="1:5" hidden="1" x14ac:dyDescent="0.2">
      <c r="A436" s="1">
        <v>44414</v>
      </c>
      <c r="B436" s="2">
        <v>1137</v>
      </c>
      <c r="C436" s="2">
        <v>229</v>
      </c>
      <c r="D436" s="3">
        <v>3435.55</v>
      </c>
      <c r="E436" s="4" t="s">
        <v>11</v>
      </c>
    </row>
    <row r="437" spans="1:5" x14ac:dyDescent="0.2">
      <c r="A437" s="1">
        <v>44414</v>
      </c>
      <c r="B437" s="2">
        <v>1181</v>
      </c>
      <c r="C437" s="2">
        <v>271</v>
      </c>
      <c r="D437" s="3">
        <v>3893.14</v>
      </c>
      <c r="E437" s="4" t="s">
        <v>12</v>
      </c>
    </row>
    <row r="438" spans="1:5" hidden="1" x14ac:dyDescent="0.2">
      <c r="A438" s="1">
        <v>44415</v>
      </c>
      <c r="B438" s="2">
        <v>1190</v>
      </c>
      <c r="C438" s="2">
        <v>228</v>
      </c>
      <c r="D438" s="3">
        <v>3798.24</v>
      </c>
      <c r="E438" s="4" t="s">
        <v>11</v>
      </c>
    </row>
    <row r="439" spans="1:5" x14ac:dyDescent="0.2">
      <c r="A439" s="1">
        <v>44415</v>
      </c>
      <c r="B439" s="2">
        <v>1132</v>
      </c>
      <c r="C439" s="2">
        <v>252</v>
      </c>
      <c r="D439" s="3">
        <v>3934.31</v>
      </c>
      <c r="E439" s="4" t="s">
        <v>12</v>
      </c>
    </row>
    <row r="440" spans="1:5" hidden="1" x14ac:dyDescent="0.2">
      <c r="A440" s="1">
        <v>44416</v>
      </c>
      <c r="B440" s="2">
        <v>1186</v>
      </c>
      <c r="C440" s="2">
        <v>207</v>
      </c>
      <c r="D440" s="3">
        <v>1854.92</v>
      </c>
      <c r="E440" s="4" t="s">
        <v>11</v>
      </c>
    </row>
    <row r="441" spans="1:5" x14ac:dyDescent="0.2">
      <c r="A441" s="1">
        <v>44416</v>
      </c>
      <c r="B441" s="2">
        <v>1158</v>
      </c>
      <c r="C441" s="2">
        <v>250</v>
      </c>
      <c r="D441" s="3">
        <v>4091.92</v>
      </c>
      <c r="E441" s="4" t="s">
        <v>12</v>
      </c>
    </row>
    <row r="442" spans="1:5" hidden="1" x14ac:dyDescent="0.2">
      <c r="A442" s="1">
        <v>44417</v>
      </c>
      <c r="B442" s="2">
        <v>1173</v>
      </c>
      <c r="C442" s="2">
        <v>232</v>
      </c>
      <c r="D442" s="3">
        <v>3662.08</v>
      </c>
      <c r="E442" s="4" t="s">
        <v>11</v>
      </c>
    </row>
    <row r="443" spans="1:5" x14ac:dyDescent="0.2">
      <c r="A443" s="1">
        <v>44417</v>
      </c>
      <c r="B443" s="2">
        <v>1127</v>
      </c>
      <c r="C443" s="2">
        <v>267</v>
      </c>
      <c r="D443" s="3">
        <v>4000.21</v>
      </c>
      <c r="E443" s="4" t="s">
        <v>12</v>
      </c>
    </row>
    <row r="444" spans="1:5" hidden="1" x14ac:dyDescent="0.2">
      <c r="A444" s="1">
        <v>44418</v>
      </c>
      <c r="B444" s="2">
        <v>1213</v>
      </c>
      <c r="C444" s="2">
        <v>223</v>
      </c>
      <c r="D444" s="3">
        <v>3345.09</v>
      </c>
      <c r="E444" s="4" t="s">
        <v>11</v>
      </c>
    </row>
    <row r="445" spans="1:5" x14ac:dyDescent="0.2">
      <c r="A445" s="1">
        <v>44418</v>
      </c>
      <c r="B445" s="2">
        <v>1070</v>
      </c>
      <c r="C445" s="2">
        <v>231</v>
      </c>
      <c r="D445" s="3">
        <v>3691.7</v>
      </c>
      <c r="E445" s="4" t="s">
        <v>12</v>
      </c>
    </row>
    <row r="446" spans="1:5" hidden="1" x14ac:dyDescent="0.2">
      <c r="A446" s="1">
        <v>44419</v>
      </c>
      <c r="B446" s="2">
        <v>1239</v>
      </c>
      <c r="C446" s="2">
        <v>226</v>
      </c>
      <c r="D446" s="3">
        <v>3092.53</v>
      </c>
      <c r="E446" s="4" t="s">
        <v>11</v>
      </c>
    </row>
    <row r="447" spans="1:5" x14ac:dyDescent="0.2">
      <c r="A447" s="1">
        <v>44419</v>
      </c>
      <c r="B447" s="2">
        <v>1136</v>
      </c>
      <c r="C447" s="2">
        <v>271</v>
      </c>
      <c r="D447" s="3">
        <v>4171.38</v>
      </c>
      <c r="E447" s="4" t="s">
        <v>12</v>
      </c>
    </row>
    <row r="448" spans="1:5" hidden="1" x14ac:dyDescent="0.2">
      <c r="A448" s="1">
        <v>44420</v>
      </c>
      <c r="B448" s="2">
        <v>1231</v>
      </c>
      <c r="C448" s="2">
        <v>228</v>
      </c>
      <c r="D448" s="3">
        <v>3598.05</v>
      </c>
      <c r="E448" s="4" t="s">
        <v>11</v>
      </c>
    </row>
    <row r="449" spans="1:5" x14ac:dyDescent="0.2">
      <c r="A449" s="1">
        <v>44420</v>
      </c>
      <c r="B449" s="2">
        <v>1095</v>
      </c>
      <c r="C449" s="2">
        <v>262</v>
      </c>
      <c r="D449" s="3">
        <v>4137.91</v>
      </c>
      <c r="E449" s="4" t="s">
        <v>12</v>
      </c>
    </row>
    <row r="450" spans="1:5" hidden="1" x14ac:dyDescent="0.2">
      <c r="A450" s="1">
        <v>44421</v>
      </c>
      <c r="B450" s="2">
        <v>1213</v>
      </c>
      <c r="C450" s="2">
        <v>226</v>
      </c>
      <c r="D450" s="3">
        <v>3826.36</v>
      </c>
      <c r="E450" s="4" t="s">
        <v>11</v>
      </c>
    </row>
    <row r="451" spans="1:5" x14ac:dyDescent="0.2">
      <c r="A451" s="1">
        <v>44421</v>
      </c>
      <c r="B451" s="2">
        <v>1227</v>
      </c>
      <c r="C451" s="2">
        <v>292</v>
      </c>
      <c r="D451" s="3">
        <v>5393.9</v>
      </c>
      <c r="E451" s="4" t="s">
        <v>12</v>
      </c>
    </row>
    <row r="452" spans="1:5" hidden="1" x14ac:dyDescent="0.2">
      <c r="A452" s="1">
        <v>44422</v>
      </c>
      <c r="B452" s="2">
        <v>1230</v>
      </c>
      <c r="C452" s="2">
        <v>225</v>
      </c>
      <c r="D452" s="3">
        <v>3375.24</v>
      </c>
      <c r="E452" s="4" t="s">
        <v>11</v>
      </c>
    </row>
    <row r="453" spans="1:5" x14ac:dyDescent="0.2">
      <c r="A453" s="1">
        <v>44422</v>
      </c>
      <c r="B453" s="2">
        <v>1143</v>
      </c>
      <c r="C453" s="2">
        <v>262</v>
      </c>
      <c r="D453" s="3">
        <v>4507.03</v>
      </c>
      <c r="E453" s="4" t="s">
        <v>12</v>
      </c>
    </row>
    <row r="454" spans="1:5" hidden="1" x14ac:dyDescent="0.2">
      <c r="A454" s="1">
        <v>44423</v>
      </c>
      <c r="B454" s="2">
        <v>1187</v>
      </c>
      <c r="C454" s="2">
        <v>217</v>
      </c>
      <c r="D454" s="3">
        <v>3705.97</v>
      </c>
      <c r="E454" s="4" t="s">
        <v>11</v>
      </c>
    </row>
    <row r="455" spans="1:5" x14ac:dyDescent="0.2">
      <c r="A455" s="1">
        <v>44423</v>
      </c>
      <c r="B455" s="2">
        <v>1120</v>
      </c>
      <c r="C455" s="2">
        <v>274</v>
      </c>
      <c r="D455" s="3">
        <v>4342.4799999999996</v>
      </c>
      <c r="E455" s="4" t="s">
        <v>12</v>
      </c>
    </row>
    <row r="456" spans="1:5" hidden="1" x14ac:dyDescent="0.2">
      <c r="A456" s="1">
        <v>44424</v>
      </c>
      <c r="B456" s="2">
        <v>1156</v>
      </c>
      <c r="C456" s="2">
        <v>211</v>
      </c>
      <c r="D456" s="3">
        <v>2663.07</v>
      </c>
      <c r="E456" s="4" t="s">
        <v>11</v>
      </c>
    </row>
    <row r="457" spans="1:5" x14ac:dyDescent="0.2">
      <c r="A457" s="1">
        <v>44424</v>
      </c>
      <c r="B457" s="2">
        <v>1172</v>
      </c>
      <c r="C457" s="2">
        <v>289</v>
      </c>
      <c r="D457" s="3">
        <v>5573.46</v>
      </c>
      <c r="E457" s="4" t="s">
        <v>12</v>
      </c>
    </row>
    <row r="458" spans="1:5" hidden="1" x14ac:dyDescent="0.2">
      <c r="A458" s="1">
        <v>44425</v>
      </c>
      <c r="B458" s="2">
        <v>1187</v>
      </c>
      <c r="C458" s="2">
        <v>216</v>
      </c>
      <c r="D458" s="3">
        <v>3560.04</v>
      </c>
      <c r="E458" s="4" t="s">
        <v>11</v>
      </c>
    </row>
    <row r="459" spans="1:5" x14ac:dyDescent="0.2">
      <c r="A459" s="1">
        <v>44425</v>
      </c>
      <c r="B459" s="2">
        <v>1134</v>
      </c>
      <c r="C459" s="2">
        <v>255</v>
      </c>
      <c r="D459" s="3">
        <v>3818.26</v>
      </c>
      <c r="E459" s="4" t="s">
        <v>12</v>
      </c>
    </row>
    <row r="460" spans="1:5" hidden="1" x14ac:dyDescent="0.2">
      <c r="A460" s="1">
        <v>44426</v>
      </c>
      <c r="B460" s="2">
        <v>1199</v>
      </c>
      <c r="C460" s="2">
        <v>234</v>
      </c>
      <c r="D460" s="3">
        <v>3500.99</v>
      </c>
      <c r="E460" s="4" t="s">
        <v>11</v>
      </c>
    </row>
    <row r="461" spans="1:5" x14ac:dyDescent="0.2">
      <c r="A461" s="1">
        <v>44426</v>
      </c>
      <c r="B461" s="2">
        <v>1168</v>
      </c>
      <c r="C461" s="2">
        <v>263</v>
      </c>
      <c r="D461" s="3">
        <v>4069.72</v>
      </c>
      <c r="E461" s="4" t="s">
        <v>12</v>
      </c>
    </row>
    <row r="462" spans="1:5" hidden="1" x14ac:dyDescent="0.2">
      <c r="A462" s="1">
        <v>44427</v>
      </c>
      <c r="B462" s="2">
        <v>1154</v>
      </c>
      <c r="C462" s="2">
        <v>217</v>
      </c>
      <c r="D462" s="3">
        <v>3299.21</v>
      </c>
      <c r="E462" s="4" t="s">
        <v>11</v>
      </c>
    </row>
    <row r="463" spans="1:5" x14ac:dyDescent="0.2">
      <c r="A463" s="1">
        <v>44427</v>
      </c>
      <c r="B463" s="2">
        <v>1135</v>
      </c>
      <c r="C463" s="2">
        <v>253</v>
      </c>
      <c r="D463" s="3">
        <v>4831.8</v>
      </c>
      <c r="E463" s="4" t="s">
        <v>12</v>
      </c>
    </row>
    <row r="464" spans="1:5" hidden="1" x14ac:dyDescent="0.2">
      <c r="A464" s="1">
        <v>44428</v>
      </c>
      <c r="B464" s="2">
        <v>1240</v>
      </c>
      <c r="C464" s="2">
        <v>243</v>
      </c>
      <c r="D464" s="3">
        <v>3594.82</v>
      </c>
      <c r="E464" s="4" t="s">
        <v>11</v>
      </c>
    </row>
    <row r="465" spans="1:5" x14ac:dyDescent="0.2">
      <c r="A465" s="1">
        <v>44428</v>
      </c>
      <c r="B465" s="2">
        <v>1175</v>
      </c>
      <c r="C465" s="2">
        <v>245</v>
      </c>
      <c r="D465" s="3">
        <v>3114.84</v>
      </c>
      <c r="E465" s="4" t="s">
        <v>12</v>
      </c>
    </row>
    <row r="466" spans="1:5" hidden="1" x14ac:dyDescent="0.2">
      <c r="A466" s="1">
        <v>44429</v>
      </c>
      <c r="B466" s="2">
        <v>1272</v>
      </c>
      <c r="C466" s="2">
        <v>272</v>
      </c>
      <c r="D466" s="3">
        <v>3394.47</v>
      </c>
      <c r="E466" s="4" t="s">
        <v>11</v>
      </c>
    </row>
    <row r="467" spans="1:5" x14ac:dyDescent="0.2">
      <c r="A467" s="1">
        <v>44429</v>
      </c>
      <c r="B467" s="2">
        <v>1117</v>
      </c>
      <c r="C467" s="2">
        <v>262</v>
      </c>
      <c r="D467" s="3">
        <v>3869.03</v>
      </c>
      <c r="E467" s="4" t="s">
        <v>12</v>
      </c>
    </row>
    <row r="468" spans="1:5" hidden="1" x14ac:dyDescent="0.2">
      <c r="A468" s="1">
        <v>44430</v>
      </c>
      <c r="B468" s="2">
        <v>1208</v>
      </c>
      <c r="C468" s="2">
        <v>227</v>
      </c>
      <c r="D468" s="3">
        <v>3036.87</v>
      </c>
      <c r="E468" s="4" t="s">
        <v>11</v>
      </c>
    </row>
    <row r="469" spans="1:5" x14ac:dyDescent="0.2">
      <c r="A469" s="1">
        <v>44430</v>
      </c>
      <c r="B469" s="2">
        <v>1207</v>
      </c>
      <c r="C469" s="2">
        <v>272</v>
      </c>
      <c r="D469" s="3">
        <v>3667.88</v>
      </c>
      <c r="E469" s="4" t="s">
        <v>12</v>
      </c>
    </row>
    <row r="470" spans="1:5" hidden="1" x14ac:dyDescent="0.2">
      <c r="A470" s="1">
        <v>44431</v>
      </c>
      <c r="B470" s="2">
        <v>1221</v>
      </c>
      <c r="C470" s="2">
        <v>238</v>
      </c>
      <c r="D470" s="3">
        <v>3172.47</v>
      </c>
      <c r="E470" s="4" t="s">
        <v>11</v>
      </c>
    </row>
    <row r="471" spans="1:5" x14ac:dyDescent="0.2">
      <c r="A471" s="1">
        <v>44431</v>
      </c>
      <c r="B471" s="2">
        <v>1153</v>
      </c>
      <c r="C471" s="2">
        <v>267</v>
      </c>
      <c r="D471" s="3">
        <v>5387.81</v>
      </c>
      <c r="E471" s="4" t="s">
        <v>12</v>
      </c>
    </row>
    <row r="472" spans="1:5" hidden="1" x14ac:dyDescent="0.2">
      <c r="A472" s="1">
        <v>44432</v>
      </c>
      <c r="B472" s="2">
        <v>1139</v>
      </c>
      <c r="C472" s="2">
        <v>221</v>
      </c>
      <c r="D472" s="3">
        <v>2337.36</v>
      </c>
      <c r="E472" s="4" t="s">
        <v>11</v>
      </c>
    </row>
    <row r="473" spans="1:5" x14ac:dyDescent="0.2">
      <c r="A473" s="1">
        <v>44432</v>
      </c>
      <c r="B473" s="2">
        <v>1067</v>
      </c>
      <c r="C473" s="2">
        <v>258</v>
      </c>
      <c r="D473" s="3">
        <v>4919.25</v>
      </c>
      <c r="E473" s="4" t="s">
        <v>12</v>
      </c>
    </row>
    <row r="474" spans="1:5" hidden="1" x14ac:dyDescent="0.2">
      <c r="A474" s="1">
        <v>44433</v>
      </c>
      <c r="B474" s="2">
        <v>1242</v>
      </c>
      <c r="C474" s="2">
        <v>253</v>
      </c>
      <c r="D474" s="3">
        <v>4819.3</v>
      </c>
      <c r="E474" s="4" t="s">
        <v>11</v>
      </c>
    </row>
    <row r="475" spans="1:5" x14ac:dyDescent="0.2">
      <c r="A475" s="1">
        <v>44433</v>
      </c>
      <c r="B475" s="2">
        <v>1088</v>
      </c>
      <c r="C475" s="2">
        <v>289</v>
      </c>
      <c r="D475" s="3">
        <v>3836.09</v>
      </c>
      <c r="E475" s="4" t="s">
        <v>12</v>
      </c>
    </row>
    <row r="476" spans="1:5" hidden="1" x14ac:dyDescent="0.2">
      <c r="A476" s="1">
        <v>44434</v>
      </c>
      <c r="B476" s="2">
        <v>1202</v>
      </c>
      <c r="C476" s="2">
        <v>223</v>
      </c>
      <c r="D476" s="3">
        <v>4149.74</v>
      </c>
      <c r="E476" s="4" t="s">
        <v>11</v>
      </c>
    </row>
    <row r="477" spans="1:5" x14ac:dyDescent="0.2">
      <c r="A477" s="1">
        <v>44434</v>
      </c>
      <c r="B477" s="2">
        <v>1124</v>
      </c>
      <c r="C477" s="2">
        <v>233</v>
      </c>
      <c r="D477" s="3">
        <v>3639.04</v>
      </c>
      <c r="E477" s="4" t="s">
        <v>12</v>
      </c>
    </row>
    <row r="478" spans="1:5" hidden="1" x14ac:dyDescent="0.2">
      <c r="A478" s="1">
        <v>44435</v>
      </c>
      <c r="B478" s="2">
        <v>1206</v>
      </c>
      <c r="C478" s="2">
        <v>249</v>
      </c>
      <c r="D478" s="3">
        <v>3112.3</v>
      </c>
      <c r="E478" s="4" t="s">
        <v>11</v>
      </c>
    </row>
    <row r="479" spans="1:5" x14ac:dyDescent="0.2">
      <c r="A479" s="1">
        <v>44435</v>
      </c>
      <c r="B479" s="2">
        <v>1132</v>
      </c>
      <c r="C479" s="2">
        <v>247</v>
      </c>
      <c r="D479" s="3">
        <v>4250.63</v>
      </c>
      <c r="E479" s="4" t="s">
        <v>12</v>
      </c>
    </row>
    <row r="480" spans="1:5" hidden="1" x14ac:dyDescent="0.2">
      <c r="A480" s="1">
        <v>44436</v>
      </c>
      <c r="B480" s="2">
        <v>1193</v>
      </c>
      <c r="C480" s="2">
        <v>228</v>
      </c>
      <c r="D480" s="3">
        <v>3256.6</v>
      </c>
      <c r="E480" s="4" t="s">
        <v>11</v>
      </c>
    </row>
    <row r="481" spans="1:5" x14ac:dyDescent="0.2">
      <c r="A481" s="1">
        <v>44436</v>
      </c>
      <c r="B481" s="2">
        <v>1140</v>
      </c>
      <c r="C481" s="2">
        <v>256</v>
      </c>
      <c r="D481" s="3">
        <v>3764.46</v>
      </c>
      <c r="E481" s="4" t="s">
        <v>12</v>
      </c>
    </row>
    <row r="482" spans="1:5" hidden="1" x14ac:dyDescent="0.2">
      <c r="A482" s="1">
        <v>44437</v>
      </c>
      <c r="B482" s="2">
        <v>1189</v>
      </c>
      <c r="C482" s="2">
        <v>240</v>
      </c>
      <c r="D482" s="3">
        <v>3271.38</v>
      </c>
      <c r="E482" s="4" t="s">
        <v>11</v>
      </c>
    </row>
    <row r="483" spans="1:5" x14ac:dyDescent="0.2">
      <c r="A483" s="1">
        <v>44437</v>
      </c>
      <c r="B483" s="2">
        <v>1156</v>
      </c>
      <c r="C483" s="2">
        <v>239</v>
      </c>
      <c r="D483" s="3">
        <v>4201.92</v>
      </c>
      <c r="E483" s="4" t="s">
        <v>12</v>
      </c>
    </row>
    <row r="484" spans="1:5" hidden="1" x14ac:dyDescent="0.2">
      <c r="A484" s="1">
        <v>44438</v>
      </c>
      <c r="B484" s="2">
        <v>1166</v>
      </c>
      <c r="C484" s="2">
        <v>212</v>
      </c>
      <c r="D484" s="3">
        <v>3007.42</v>
      </c>
      <c r="E484" s="4" t="s">
        <v>11</v>
      </c>
    </row>
    <row r="485" spans="1:5" x14ac:dyDescent="0.2">
      <c r="A485" s="1">
        <v>44438</v>
      </c>
      <c r="B485" s="2">
        <v>1227</v>
      </c>
      <c r="C485" s="2">
        <v>284</v>
      </c>
      <c r="D485" s="3">
        <v>4933.83</v>
      </c>
      <c r="E485" s="4" t="s">
        <v>12</v>
      </c>
    </row>
    <row r="486" spans="1:5" hidden="1" x14ac:dyDescent="0.2">
      <c r="A486" s="1">
        <v>44439</v>
      </c>
      <c r="B486" s="2">
        <v>1202</v>
      </c>
      <c r="C486" s="2">
        <v>230</v>
      </c>
      <c r="D486" s="3">
        <v>3363</v>
      </c>
      <c r="E486" s="4" t="s">
        <v>11</v>
      </c>
    </row>
    <row r="487" spans="1:5" x14ac:dyDescent="0.2">
      <c r="A487" s="1">
        <v>44439</v>
      </c>
      <c r="B487" s="2">
        <v>1180</v>
      </c>
      <c r="C487" s="2">
        <v>287</v>
      </c>
      <c r="D487" s="3">
        <v>5121.03</v>
      </c>
      <c r="E487" s="4" t="s">
        <v>12</v>
      </c>
    </row>
    <row r="488" spans="1:5" hidden="1" x14ac:dyDescent="0.2">
      <c r="A488" s="1">
        <v>44440</v>
      </c>
      <c r="B488" s="2">
        <v>1209</v>
      </c>
      <c r="C488" s="2">
        <v>220</v>
      </c>
      <c r="D488" s="3">
        <v>2154.15</v>
      </c>
      <c r="E488" s="4" t="s">
        <v>11</v>
      </c>
    </row>
    <row r="489" spans="1:5" x14ac:dyDescent="0.2">
      <c r="A489" s="1">
        <v>44440</v>
      </c>
      <c r="B489" s="2">
        <v>1184</v>
      </c>
      <c r="C489" s="2">
        <v>267</v>
      </c>
      <c r="D489" s="3">
        <v>4378.24</v>
      </c>
      <c r="E489" s="4" t="s">
        <v>12</v>
      </c>
    </row>
    <row r="490" spans="1:5" hidden="1" x14ac:dyDescent="0.2">
      <c r="A490" s="1">
        <v>44441</v>
      </c>
      <c r="B490" s="2">
        <v>1229</v>
      </c>
      <c r="C490" s="2">
        <v>216</v>
      </c>
      <c r="D490" s="3">
        <v>2471.65</v>
      </c>
      <c r="E490" s="4" t="s">
        <v>11</v>
      </c>
    </row>
    <row r="491" spans="1:5" x14ac:dyDescent="0.2">
      <c r="A491" s="1">
        <v>44441</v>
      </c>
      <c r="B491" s="2">
        <v>1143</v>
      </c>
      <c r="C491" s="2">
        <v>247</v>
      </c>
      <c r="D491" s="3">
        <v>4109.91</v>
      </c>
      <c r="E491" s="4" t="s">
        <v>12</v>
      </c>
    </row>
    <row r="492" spans="1:5" hidden="1" x14ac:dyDescent="0.2">
      <c r="A492" s="1">
        <v>44442</v>
      </c>
      <c r="B492" s="2">
        <v>1202</v>
      </c>
      <c r="C492" s="2">
        <v>265</v>
      </c>
      <c r="D492" s="3">
        <v>3398.76</v>
      </c>
      <c r="E492" s="4" t="s">
        <v>11</v>
      </c>
    </row>
    <row r="493" spans="1:5" x14ac:dyDescent="0.2">
      <c r="A493" s="1">
        <v>44442</v>
      </c>
      <c r="B493" s="2">
        <v>1122</v>
      </c>
      <c r="C493" s="2">
        <v>249</v>
      </c>
      <c r="D493" s="3">
        <v>3443.26</v>
      </c>
      <c r="E493" s="4" t="s">
        <v>12</v>
      </c>
    </row>
    <row r="494" spans="1:5" hidden="1" x14ac:dyDescent="0.2">
      <c r="A494" s="1">
        <v>44443</v>
      </c>
      <c r="B494" s="2">
        <v>1225</v>
      </c>
      <c r="C494" s="2">
        <v>241</v>
      </c>
      <c r="D494" s="3">
        <v>4190.5600000000004</v>
      </c>
      <c r="E494" s="4" t="s">
        <v>11</v>
      </c>
    </row>
    <row r="495" spans="1:5" x14ac:dyDescent="0.2">
      <c r="A495" s="1">
        <v>44443</v>
      </c>
      <c r="B495" s="2">
        <v>1185</v>
      </c>
      <c r="C495" s="2">
        <v>262</v>
      </c>
      <c r="D495" s="3">
        <v>3677.87</v>
      </c>
      <c r="E495" s="4" t="s">
        <v>12</v>
      </c>
    </row>
    <row r="496" spans="1:5" hidden="1" x14ac:dyDescent="0.2">
      <c r="A496" s="1">
        <v>44444</v>
      </c>
      <c r="B496" s="2">
        <v>1227</v>
      </c>
      <c r="C496" s="2">
        <v>240</v>
      </c>
      <c r="D496" s="3">
        <v>3640.95</v>
      </c>
      <c r="E496" s="4" t="s">
        <v>11</v>
      </c>
    </row>
    <row r="497" spans="1:5" x14ac:dyDescent="0.2">
      <c r="A497" s="1">
        <v>44444</v>
      </c>
      <c r="B497" s="2">
        <v>1171</v>
      </c>
      <c r="C497" s="2">
        <v>263</v>
      </c>
      <c r="D497" s="3">
        <v>3782.85</v>
      </c>
      <c r="E497" s="4" t="s">
        <v>12</v>
      </c>
    </row>
    <row r="498" spans="1:5" hidden="1" x14ac:dyDescent="0.2">
      <c r="A498" s="1">
        <v>44445</v>
      </c>
      <c r="B498" s="2">
        <v>1179</v>
      </c>
      <c r="C498" s="2">
        <v>220</v>
      </c>
      <c r="D498" s="3">
        <v>4178.09</v>
      </c>
      <c r="E498" s="4" t="s">
        <v>11</v>
      </c>
    </row>
    <row r="499" spans="1:5" x14ac:dyDescent="0.2">
      <c r="A499" s="1">
        <v>44445</v>
      </c>
      <c r="B499" s="2">
        <v>1137</v>
      </c>
      <c r="C499" s="2">
        <v>268</v>
      </c>
      <c r="D499" s="3">
        <v>5954.92</v>
      </c>
      <c r="E499" s="4" t="s">
        <v>12</v>
      </c>
    </row>
    <row r="500" spans="1:5" hidden="1" x14ac:dyDescent="0.2">
      <c r="A500" s="1">
        <v>44446</v>
      </c>
      <c r="B500" s="2">
        <v>1222</v>
      </c>
      <c r="C500" s="2">
        <v>222</v>
      </c>
      <c r="D500" s="3">
        <v>3082.11</v>
      </c>
      <c r="E500" s="4" t="s">
        <v>11</v>
      </c>
    </row>
    <row r="501" spans="1:5" x14ac:dyDescent="0.2">
      <c r="A501" s="1">
        <v>44446</v>
      </c>
      <c r="B501" s="2">
        <v>1134</v>
      </c>
      <c r="C501" s="2">
        <v>248</v>
      </c>
      <c r="D501" s="3">
        <v>3422.32</v>
      </c>
      <c r="E501" s="4" t="s">
        <v>12</v>
      </c>
    </row>
    <row r="502" spans="1:5" hidden="1" x14ac:dyDescent="0.2">
      <c r="A502" s="1">
        <v>44447</v>
      </c>
      <c r="B502" s="2">
        <v>1276</v>
      </c>
      <c r="C502" s="2">
        <v>254</v>
      </c>
      <c r="D502" s="3">
        <v>4163.33</v>
      </c>
      <c r="E502" s="4" t="s">
        <v>11</v>
      </c>
    </row>
    <row r="503" spans="1:5" x14ac:dyDescent="0.2">
      <c r="A503" s="1">
        <v>44447</v>
      </c>
      <c r="B503" s="2">
        <v>1139</v>
      </c>
      <c r="C503" s="2">
        <v>272</v>
      </c>
      <c r="D503" s="3">
        <v>4813.91</v>
      </c>
      <c r="E503" s="4" t="s">
        <v>12</v>
      </c>
    </row>
    <row r="504" spans="1:5" hidden="1" x14ac:dyDescent="0.2">
      <c r="A504" s="1">
        <v>44448</v>
      </c>
      <c r="B504" s="2">
        <v>1194</v>
      </c>
      <c r="C504" s="2">
        <v>224</v>
      </c>
      <c r="D504" s="3">
        <v>3363.16</v>
      </c>
      <c r="E504" s="4" t="s">
        <v>11</v>
      </c>
    </row>
    <row r="505" spans="1:5" x14ac:dyDescent="0.2">
      <c r="A505" s="1">
        <v>44448</v>
      </c>
      <c r="B505" s="2">
        <v>1172</v>
      </c>
      <c r="C505" s="2">
        <v>254</v>
      </c>
      <c r="D505" s="3">
        <v>3728.56</v>
      </c>
      <c r="E505" s="4" t="s">
        <v>12</v>
      </c>
    </row>
    <row r="506" spans="1:5" hidden="1" x14ac:dyDescent="0.2">
      <c r="A506" s="1">
        <v>44449</v>
      </c>
      <c r="B506" s="2">
        <v>1205</v>
      </c>
      <c r="C506" s="2">
        <v>211</v>
      </c>
      <c r="D506" s="3">
        <v>2962.93</v>
      </c>
      <c r="E506" s="4" t="s">
        <v>11</v>
      </c>
    </row>
    <row r="507" spans="1:5" x14ac:dyDescent="0.2">
      <c r="A507" s="1">
        <v>44449</v>
      </c>
      <c r="B507" s="2">
        <v>1129</v>
      </c>
      <c r="C507" s="2">
        <v>252</v>
      </c>
      <c r="D507" s="3">
        <v>3597.16</v>
      </c>
      <c r="E507" s="4" t="s">
        <v>12</v>
      </c>
    </row>
    <row r="508" spans="1:5" hidden="1" x14ac:dyDescent="0.2">
      <c r="A508" s="1">
        <v>44450</v>
      </c>
      <c r="B508" s="2">
        <v>1207</v>
      </c>
      <c r="C508" s="2">
        <v>252</v>
      </c>
      <c r="D508" s="3">
        <v>3593.88</v>
      </c>
      <c r="E508" s="4" t="s">
        <v>11</v>
      </c>
    </row>
    <row r="509" spans="1:5" x14ac:dyDescent="0.2">
      <c r="A509" s="1">
        <v>44450</v>
      </c>
      <c r="B509" s="2">
        <v>1155</v>
      </c>
      <c r="C509" s="2">
        <v>268</v>
      </c>
      <c r="D509" s="3">
        <v>4364.8599999999997</v>
      </c>
      <c r="E509" s="4" t="s">
        <v>12</v>
      </c>
    </row>
    <row r="510" spans="1:5" hidden="1" x14ac:dyDescent="0.2">
      <c r="A510" s="1">
        <v>44451</v>
      </c>
      <c r="B510" s="2">
        <v>1212</v>
      </c>
      <c r="C510" s="2">
        <v>220</v>
      </c>
      <c r="D510" s="3">
        <v>3064.25</v>
      </c>
      <c r="E510" s="4" t="s">
        <v>11</v>
      </c>
    </row>
    <row r="511" spans="1:5" x14ac:dyDescent="0.2">
      <c r="A511" s="1">
        <v>44451</v>
      </c>
      <c r="B511" s="2">
        <v>1168</v>
      </c>
      <c r="C511" s="2">
        <v>260</v>
      </c>
      <c r="D511" s="3">
        <v>3272.17</v>
      </c>
      <c r="E511" s="4" t="s">
        <v>12</v>
      </c>
    </row>
    <row r="512" spans="1:5" hidden="1" x14ac:dyDescent="0.2">
      <c r="A512" s="1">
        <v>44452</v>
      </c>
      <c r="B512" s="2">
        <v>1274</v>
      </c>
      <c r="C512" s="2">
        <v>239</v>
      </c>
      <c r="D512" s="3">
        <v>3387.36</v>
      </c>
      <c r="E512" s="4" t="s">
        <v>11</v>
      </c>
    </row>
    <row r="513" spans="1:5" x14ac:dyDescent="0.2">
      <c r="A513" s="1">
        <v>44452</v>
      </c>
      <c r="B513" s="2">
        <v>1127</v>
      </c>
      <c r="C513" s="2">
        <v>250</v>
      </c>
      <c r="D513" s="3">
        <v>4130.1400000000003</v>
      </c>
      <c r="E513" s="4" t="s">
        <v>12</v>
      </c>
    </row>
    <row r="514" spans="1:5" hidden="1" x14ac:dyDescent="0.2">
      <c r="A514" s="1">
        <v>44453</v>
      </c>
      <c r="B514" s="2">
        <v>1134</v>
      </c>
      <c r="C514" s="2">
        <v>197</v>
      </c>
      <c r="D514" s="3">
        <v>2864.22</v>
      </c>
      <c r="E514" s="4" t="s">
        <v>11</v>
      </c>
    </row>
    <row r="515" spans="1:5" x14ac:dyDescent="0.2">
      <c r="A515" s="1">
        <v>44453</v>
      </c>
      <c r="B515" s="2">
        <v>1174</v>
      </c>
      <c r="C515" s="2">
        <v>278</v>
      </c>
      <c r="D515" s="3">
        <v>3934.13</v>
      </c>
      <c r="E515" s="4" t="s">
        <v>12</v>
      </c>
    </row>
    <row r="516" spans="1:5" hidden="1" x14ac:dyDescent="0.2">
      <c r="A516" s="1">
        <v>44454</v>
      </c>
      <c r="B516" s="2">
        <v>1190</v>
      </c>
      <c r="C516" s="2">
        <v>222</v>
      </c>
      <c r="D516" s="3">
        <v>2920.69</v>
      </c>
      <c r="E516" s="4" t="s">
        <v>11</v>
      </c>
    </row>
    <row r="517" spans="1:5" x14ac:dyDescent="0.2">
      <c r="A517" s="1">
        <v>44454</v>
      </c>
      <c r="B517" s="2">
        <v>1165</v>
      </c>
      <c r="C517" s="2">
        <v>291</v>
      </c>
      <c r="D517" s="3">
        <v>4071.7</v>
      </c>
      <c r="E517" s="4" t="s">
        <v>12</v>
      </c>
    </row>
    <row r="518" spans="1:5" hidden="1" x14ac:dyDescent="0.2">
      <c r="A518" s="1">
        <v>44455</v>
      </c>
      <c r="B518" s="2">
        <v>1179</v>
      </c>
      <c r="C518" s="2">
        <v>232</v>
      </c>
      <c r="D518" s="3">
        <v>2876.99</v>
      </c>
      <c r="E518" s="4" t="s">
        <v>11</v>
      </c>
    </row>
    <row r="519" spans="1:5" x14ac:dyDescent="0.2">
      <c r="A519" s="1">
        <v>44455</v>
      </c>
      <c r="B519" s="2">
        <v>1124</v>
      </c>
      <c r="C519" s="2">
        <v>264</v>
      </c>
      <c r="D519" s="3">
        <v>4662.1000000000004</v>
      </c>
      <c r="E519" s="4" t="s">
        <v>12</v>
      </c>
    </row>
    <row r="520" spans="1:5" hidden="1" x14ac:dyDescent="0.2">
      <c r="A520" s="1">
        <v>44456</v>
      </c>
      <c r="B520" s="2">
        <v>1210</v>
      </c>
      <c r="C520" s="2">
        <v>211</v>
      </c>
      <c r="D520" s="3">
        <v>3397.72</v>
      </c>
      <c r="E520" s="4" t="s">
        <v>11</v>
      </c>
    </row>
    <row r="521" spans="1:5" x14ac:dyDescent="0.2">
      <c r="A521" s="1">
        <v>44456</v>
      </c>
      <c r="B521" s="2">
        <v>1118</v>
      </c>
      <c r="C521" s="2">
        <v>274</v>
      </c>
      <c r="D521" s="3">
        <v>4570.6400000000003</v>
      </c>
      <c r="E521" s="4" t="s">
        <v>12</v>
      </c>
    </row>
    <row r="522" spans="1:5" hidden="1" x14ac:dyDescent="0.2">
      <c r="A522" s="1">
        <v>44457</v>
      </c>
      <c r="B522" s="2">
        <v>1208</v>
      </c>
      <c r="C522" s="2">
        <v>222</v>
      </c>
      <c r="D522" s="3">
        <v>3829.21</v>
      </c>
      <c r="E522" s="4" t="s">
        <v>11</v>
      </c>
    </row>
    <row r="523" spans="1:5" x14ac:dyDescent="0.2">
      <c r="A523" s="1">
        <v>44457</v>
      </c>
      <c r="B523" s="2">
        <v>1116</v>
      </c>
      <c r="C523" s="2">
        <v>244</v>
      </c>
      <c r="D523" s="3">
        <v>3740.97</v>
      </c>
      <c r="E523" s="4" t="s">
        <v>12</v>
      </c>
    </row>
    <row r="524" spans="1:5" hidden="1" x14ac:dyDescent="0.2">
      <c r="A524" s="1">
        <v>44458</v>
      </c>
      <c r="B524" s="2">
        <v>1145</v>
      </c>
      <c r="C524" s="2">
        <v>241</v>
      </c>
      <c r="D524" s="3">
        <v>3404.48</v>
      </c>
      <c r="E524" s="4" t="s">
        <v>11</v>
      </c>
    </row>
    <row r="525" spans="1:5" x14ac:dyDescent="0.2">
      <c r="A525" s="1">
        <v>44458</v>
      </c>
      <c r="B525" s="2">
        <v>1173</v>
      </c>
      <c r="C525" s="2">
        <v>278</v>
      </c>
      <c r="D525" s="3">
        <v>3554.74</v>
      </c>
      <c r="E525" s="4" t="s">
        <v>12</v>
      </c>
    </row>
    <row r="526" spans="1:5" hidden="1" x14ac:dyDescent="0.2">
      <c r="A526" s="1">
        <v>44459</v>
      </c>
      <c r="B526" s="2">
        <v>1214</v>
      </c>
      <c r="C526" s="2">
        <v>217</v>
      </c>
      <c r="D526" s="3">
        <v>3382.69</v>
      </c>
      <c r="E526" s="4" t="s">
        <v>11</v>
      </c>
    </row>
    <row r="527" spans="1:5" x14ac:dyDescent="0.2">
      <c r="A527" s="1">
        <v>44459</v>
      </c>
      <c r="B527" s="2">
        <v>1174</v>
      </c>
      <c r="C527" s="2">
        <v>275</v>
      </c>
      <c r="D527" s="3">
        <v>4271.08</v>
      </c>
      <c r="E527" s="4" t="s">
        <v>12</v>
      </c>
    </row>
    <row r="528" spans="1:5" hidden="1" x14ac:dyDescent="0.2">
      <c r="A528" s="1">
        <v>44460</v>
      </c>
      <c r="B528" s="2">
        <v>1176</v>
      </c>
      <c r="C528" s="2">
        <v>214</v>
      </c>
      <c r="D528" s="3">
        <v>3501.92</v>
      </c>
      <c r="E528" s="4" t="s">
        <v>11</v>
      </c>
    </row>
    <row r="529" spans="1:5" x14ac:dyDescent="0.2">
      <c r="A529" s="1">
        <v>44460</v>
      </c>
      <c r="B529" s="2">
        <v>1167</v>
      </c>
      <c r="C529" s="2">
        <v>235</v>
      </c>
      <c r="D529" s="3">
        <v>4459.01</v>
      </c>
      <c r="E529" s="4" t="s">
        <v>12</v>
      </c>
    </row>
    <row r="530" spans="1:5" hidden="1" x14ac:dyDescent="0.2">
      <c r="A530" s="1">
        <v>44461</v>
      </c>
      <c r="B530" s="2">
        <v>1167</v>
      </c>
      <c r="C530" s="2">
        <v>240</v>
      </c>
      <c r="D530" s="3">
        <v>3928</v>
      </c>
      <c r="E530" s="4" t="s">
        <v>11</v>
      </c>
    </row>
    <row r="531" spans="1:5" x14ac:dyDescent="0.2">
      <c r="A531" s="1">
        <v>44461</v>
      </c>
      <c r="B531" s="2">
        <v>1158</v>
      </c>
      <c r="C531" s="2">
        <v>267</v>
      </c>
      <c r="D531" s="3">
        <v>4160.2299999999996</v>
      </c>
      <c r="E531" s="4" t="s">
        <v>12</v>
      </c>
    </row>
    <row r="532" spans="1:5" hidden="1" x14ac:dyDescent="0.2">
      <c r="A532" s="1">
        <v>44462</v>
      </c>
      <c r="B532" s="2">
        <v>1251</v>
      </c>
      <c r="C532" s="2">
        <v>256</v>
      </c>
      <c r="D532" s="3">
        <v>3529.8</v>
      </c>
      <c r="E532" s="4" t="s">
        <v>11</v>
      </c>
    </row>
    <row r="533" spans="1:5" x14ac:dyDescent="0.2">
      <c r="A533" s="1">
        <v>44462</v>
      </c>
      <c r="B533" s="2">
        <v>1144</v>
      </c>
      <c r="C533" s="2">
        <v>270</v>
      </c>
      <c r="D533" s="3">
        <v>5248.46</v>
      </c>
      <c r="E533" s="4" t="s">
        <v>12</v>
      </c>
    </row>
    <row r="534" spans="1:5" hidden="1" x14ac:dyDescent="0.2">
      <c r="A534" s="1">
        <v>44463</v>
      </c>
      <c r="B534" s="2">
        <v>1194</v>
      </c>
      <c r="C534" s="2">
        <v>226</v>
      </c>
      <c r="D534" s="3">
        <v>3383.75</v>
      </c>
      <c r="E534" s="4" t="s">
        <v>11</v>
      </c>
    </row>
    <row r="535" spans="1:5" x14ac:dyDescent="0.2">
      <c r="A535" s="1">
        <v>44463</v>
      </c>
      <c r="B535" s="2">
        <v>1212</v>
      </c>
      <c r="C535" s="2">
        <v>272</v>
      </c>
      <c r="D535" s="3">
        <v>3976.79</v>
      </c>
      <c r="E535" s="4" t="s">
        <v>12</v>
      </c>
    </row>
    <row r="536" spans="1:5" hidden="1" x14ac:dyDescent="0.2">
      <c r="A536" s="1">
        <v>44464</v>
      </c>
      <c r="B536" s="2">
        <v>1216</v>
      </c>
      <c r="C536" s="2">
        <v>233</v>
      </c>
      <c r="D536" s="3">
        <v>3863.31</v>
      </c>
      <c r="E536" s="4" t="s">
        <v>11</v>
      </c>
    </row>
    <row r="537" spans="1:5" x14ac:dyDescent="0.2">
      <c r="A537" s="1">
        <v>44464</v>
      </c>
      <c r="B537" s="2">
        <v>1184</v>
      </c>
      <c r="C537" s="2">
        <v>269</v>
      </c>
      <c r="D537" s="3">
        <v>4486.95</v>
      </c>
      <c r="E537" s="4" t="s">
        <v>12</v>
      </c>
    </row>
    <row r="538" spans="1:5" hidden="1" x14ac:dyDescent="0.2">
      <c r="A538" s="1">
        <v>44465</v>
      </c>
      <c r="B538" s="2">
        <v>1180</v>
      </c>
      <c r="C538" s="2">
        <v>231</v>
      </c>
      <c r="D538" s="3">
        <v>2840.8</v>
      </c>
      <c r="E538" s="4" t="s">
        <v>11</v>
      </c>
    </row>
    <row r="539" spans="1:5" x14ac:dyDescent="0.2">
      <c r="A539" s="1">
        <v>44465</v>
      </c>
      <c r="B539" s="2">
        <v>1186</v>
      </c>
      <c r="C539" s="2">
        <v>260</v>
      </c>
      <c r="D539" s="3">
        <v>3472.32</v>
      </c>
      <c r="E539" s="4" t="s">
        <v>12</v>
      </c>
    </row>
    <row r="540" spans="1:5" hidden="1" x14ac:dyDescent="0.2">
      <c r="A540" s="1">
        <v>44466</v>
      </c>
      <c r="B540" s="2">
        <v>1281</v>
      </c>
      <c r="C540" s="2">
        <v>244</v>
      </c>
      <c r="D540" s="3">
        <v>3547.86</v>
      </c>
      <c r="E540" s="4" t="s">
        <v>11</v>
      </c>
    </row>
    <row r="541" spans="1:5" x14ac:dyDescent="0.2">
      <c r="A541" s="1">
        <v>44466</v>
      </c>
      <c r="B541" s="2">
        <v>1155</v>
      </c>
      <c r="C541" s="2">
        <v>250</v>
      </c>
      <c r="D541" s="3">
        <v>3574.3</v>
      </c>
      <c r="E541" s="4" t="s">
        <v>12</v>
      </c>
    </row>
    <row r="542" spans="1:5" hidden="1" x14ac:dyDescent="0.2">
      <c r="A542" s="1">
        <v>44467</v>
      </c>
      <c r="B542" s="2">
        <v>1218</v>
      </c>
      <c r="C542" s="2">
        <v>233</v>
      </c>
      <c r="D542" s="3">
        <v>3715.71</v>
      </c>
      <c r="E542" s="4" t="s">
        <v>11</v>
      </c>
    </row>
    <row r="543" spans="1:5" x14ac:dyDescent="0.2">
      <c r="A543" s="1">
        <v>44467</v>
      </c>
      <c r="B543" s="2">
        <v>1115</v>
      </c>
      <c r="C543" s="2">
        <v>262</v>
      </c>
      <c r="D543" s="3">
        <v>3706.58</v>
      </c>
      <c r="E543" s="4" t="s">
        <v>12</v>
      </c>
    </row>
    <row r="544" spans="1:5" hidden="1" x14ac:dyDescent="0.2">
      <c r="A544" s="1">
        <v>44468</v>
      </c>
      <c r="B544" s="2">
        <v>1162</v>
      </c>
      <c r="C544" s="2">
        <v>236</v>
      </c>
      <c r="D544" s="3">
        <v>3205.08</v>
      </c>
      <c r="E544" s="4" t="s">
        <v>11</v>
      </c>
    </row>
    <row r="545" spans="1:5" x14ac:dyDescent="0.2">
      <c r="A545" s="1">
        <v>44468</v>
      </c>
      <c r="B545" s="2">
        <v>1100</v>
      </c>
      <c r="C545" s="2">
        <v>258</v>
      </c>
      <c r="D545" s="3">
        <v>3478.61</v>
      </c>
      <c r="E545" s="4" t="s">
        <v>12</v>
      </c>
    </row>
    <row r="546" spans="1:5" hidden="1" x14ac:dyDescent="0.2">
      <c r="A546" s="1">
        <v>44469</v>
      </c>
      <c r="B546" s="2">
        <v>1173</v>
      </c>
      <c r="C546" s="2">
        <v>233</v>
      </c>
      <c r="D546" s="3">
        <v>3970.96</v>
      </c>
      <c r="E546" s="4" t="s">
        <v>11</v>
      </c>
    </row>
    <row r="547" spans="1:5" x14ac:dyDescent="0.2">
      <c r="A547" s="1">
        <v>44469</v>
      </c>
      <c r="B547" s="2">
        <v>1142</v>
      </c>
      <c r="C547" s="2">
        <v>266</v>
      </c>
      <c r="D547" s="3">
        <v>5367.05</v>
      </c>
      <c r="E547" s="4" t="s">
        <v>12</v>
      </c>
    </row>
    <row r="548" spans="1:5" hidden="1" x14ac:dyDescent="0.2">
      <c r="A548" s="1">
        <v>44470</v>
      </c>
      <c r="B548" s="2">
        <v>1221</v>
      </c>
      <c r="C548" s="2">
        <v>242</v>
      </c>
      <c r="D548" s="3">
        <v>3788.67</v>
      </c>
      <c r="E548" s="4" t="s">
        <v>11</v>
      </c>
    </row>
    <row r="549" spans="1:5" x14ac:dyDescent="0.2">
      <c r="A549" s="1">
        <v>44470</v>
      </c>
      <c r="B549" s="2">
        <v>1153</v>
      </c>
      <c r="C549" s="2">
        <v>287</v>
      </c>
      <c r="D549" s="3">
        <v>5122.53</v>
      </c>
      <c r="E549" s="4" t="s">
        <v>12</v>
      </c>
    </row>
    <row r="550" spans="1:5" hidden="1" x14ac:dyDescent="0.2">
      <c r="A550" s="1">
        <v>44471</v>
      </c>
      <c r="B550" s="2">
        <v>1183</v>
      </c>
      <c r="C550" s="2">
        <v>208</v>
      </c>
      <c r="D550" s="3">
        <v>3477.12</v>
      </c>
      <c r="E550" s="4" t="s">
        <v>11</v>
      </c>
    </row>
    <row r="551" spans="1:5" x14ac:dyDescent="0.2">
      <c r="A551" s="1">
        <v>44471</v>
      </c>
      <c r="B551" s="2">
        <v>1118</v>
      </c>
      <c r="C551" s="2">
        <v>274</v>
      </c>
      <c r="D551" s="3">
        <v>4255.43</v>
      </c>
      <c r="E551" s="4" t="s">
        <v>12</v>
      </c>
    </row>
    <row r="552" spans="1:5" hidden="1" x14ac:dyDescent="0.2">
      <c r="A552" s="1">
        <v>44472</v>
      </c>
      <c r="B552" s="2">
        <v>1232</v>
      </c>
      <c r="C552" s="2">
        <v>239</v>
      </c>
      <c r="D552" s="3">
        <v>4284.88</v>
      </c>
      <c r="E552" s="4" t="s">
        <v>11</v>
      </c>
    </row>
    <row r="553" spans="1:5" x14ac:dyDescent="0.2">
      <c r="A553" s="1">
        <v>44472</v>
      </c>
      <c r="B553" s="2">
        <v>1124</v>
      </c>
      <c r="C553" s="2">
        <v>269</v>
      </c>
      <c r="D553" s="3">
        <v>4840.3100000000004</v>
      </c>
      <c r="E553" s="4" t="s">
        <v>12</v>
      </c>
    </row>
    <row r="554" spans="1:5" hidden="1" x14ac:dyDescent="0.2">
      <c r="A554" s="1">
        <v>44473</v>
      </c>
      <c r="B554" s="2">
        <v>1183</v>
      </c>
      <c r="C554" s="2">
        <v>237</v>
      </c>
      <c r="D554" s="3">
        <v>3175.78</v>
      </c>
      <c r="E554" s="4" t="s">
        <v>11</v>
      </c>
    </row>
    <row r="555" spans="1:5" x14ac:dyDescent="0.2">
      <c r="A555" s="1">
        <v>44473</v>
      </c>
      <c r="B555" s="2">
        <v>1139</v>
      </c>
      <c r="C555" s="2">
        <v>284</v>
      </c>
      <c r="D555" s="3">
        <v>4507.92</v>
      </c>
      <c r="E555" s="4" t="s">
        <v>12</v>
      </c>
    </row>
    <row r="556" spans="1:5" hidden="1" x14ac:dyDescent="0.2">
      <c r="A556" s="1">
        <v>44474</v>
      </c>
      <c r="B556" s="2">
        <v>1134</v>
      </c>
      <c r="C556" s="2">
        <v>217</v>
      </c>
      <c r="D556" s="3">
        <v>2991.69</v>
      </c>
      <c r="E556" s="4" t="s">
        <v>11</v>
      </c>
    </row>
    <row r="557" spans="1:5" x14ac:dyDescent="0.2">
      <c r="A557" s="1">
        <v>44474</v>
      </c>
      <c r="B557" s="2">
        <v>1138</v>
      </c>
      <c r="C557" s="2">
        <v>252</v>
      </c>
      <c r="D557" s="3">
        <v>4138.49</v>
      </c>
      <c r="E557" s="4" t="s">
        <v>12</v>
      </c>
    </row>
    <row r="558" spans="1:5" hidden="1" x14ac:dyDescent="0.2">
      <c r="A558" s="1">
        <v>44475</v>
      </c>
      <c r="B558" s="2">
        <v>1206</v>
      </c>
      <c r="C558" s="2">
        <v>229</v>
      </c>
      <c r="D558" s="3">
        <v>3149.05</v>
      </c>
      <c r="E558" s="4" t="s">
        <v>11</v>
      </c>
    </row>
    <row r="559" spans="1:5" x14ac:dyDescent="0.2">
      <c r="A559" s="1">
        <v>44475</v>
      </c>
      <c r="B559" s="2">
        <v>1137</v>
      </c>
      <c r="C559" s="2">
        <v>244</v>
      </c>
      <c r="D559" s="3">
        <v>3813.95</v>
      </c>
      <c r="E559" s="4" t="s">
        <v>12</v>
      </c>
    </row>
    <row r="560" spans="1:5" hidden="1" x14ac:dyDescent="0.2">
      <c r="A560" s="1">
        <v>44476</v>
      </c>
      <c r="B560" s="2">
        <v>1169</v>
      </c>
      <c r="C560" s="2">
        <v>241</v>
      </c>
      <c r="D560" s="3">
        <v>3903.62</v>
      </c>
      <c r="E560" s="4" t="s">
        <v>11</v>
      </c>
    </row>
    <row r="561" spans="1:5" x14ac:dyDescent="0.2">
      <c r="A561" s="1">
        <v>44476</v>
      </c>
      <c r="B561" s="2">
        <v>1155</v>
      </c>
      <c r="C561" s="2">
        <v>252</v>
      </c>
      <c r="D561" s="3">
        <v>4368.84</v>
      </c>
      <c r="E561" s="4" t="s">
        <v>12</v>
      </c>
    </row>
    <row r="562" spans="1:5" hidden="1" x14ac:dyDescent="0.2">
      <c r="A562" s="1">
        <v>44477</v>
      </c>
      <c r="B562" s="2">
        <v>1212</v>
      </c>
      <c r="C562" s="2">
        <v>232</v>
      </c>
      <c r="D562" s="3">
        <v>3617.61</v>
      </c>
      <c r="E562" s="4" t="s">
        <v>11</v>
      </c>
    </row>
    <row r="563" spans="1:5" x14ac:dyDescent="0.2">
      <c r="A563" s="1">
        <v>44477</v>
      </c>
      <c r="B563" s="2">
        <v>1204</v>
      </c>
      <c r="C563" s="2">
        <v>284</v>
      </c>
      <c r="D563" s="3">
        <v>4807.09</v>
      </c>
      <c r="E563" s="4" t="s">
        <v>12</v>
      </c>
    </row>
    <row r="564" spans="1:5" hidden="1" x14ac:dyDescent="0.2">
      <c r="A564" s="1">
        <v>44478</v>
      </c>
      <c r="B564" s="2">
        <v>1249</v>
      </c>
      <c r="C564" s="2">
        <v>259</v>
      </c>
      <c r="D564" s="3">
        <v>4822.22</v>
      </c>
      <c r="E564" s="4" t="s">
        <v>11</v>
      </c>
    </row>
    <row r="565" spans="1:5" x14ac:dyDescent="0.2">
      <c r="A565" s="1">
        <v>44478</v>
      </c>
      <c r="B565" s="2">
        <v>1127</v>
      </c>
      <c r="C565" s="2">
        <v>266</v>
      </c>
      <c r="D565" s="3">
        <v>4140</v>
      </c>
      <c r="E565" s="4" t="s">
        <v>12</v>
      </c>
    </row>
    <row r="566" spans="1:5" hidden="1" x14ac:dyDescent="0.2">
      <c r="A566" s="1">
        <v>44479</v>
      </c>
      <c r="B566" s="2">
        <v>1169</v>
      </c>
      <c r="C566" s="2">
        <v>245</v>
      </c>
      <c r="D566" s="3">
        <v>3230.2</v>
      </c>
      <c r="E566" s="4" t="s">
        <v>11</v>
      </c>
    </row>
    <row r="567" spans="1:5" x14ac:dyDescent="0.2">
      <c r="A567" s="1">
        <v>44479</v>
      </c>
      <c r="B567" s="2">
        <v>1185</v>
      </c>
      <c r="C567" s="2">
        <v>251</v>
      </c>
      <c r="D567" s="3">
        <v>4778.68</v>
      </c>
      <c r="E567" s="4" t="s">
        <v>12</v>
      </c>
    </row>
    <row r="568" spans="1:5" hidden="1" x14ac:dyDescent="0.2">
      <c r="A568" s="1">
        <v>44480</v>
      </c>
      <c r="B568" s="2">
        <v>1270</v>
      </c>
      <c r="C568" s="2">
        <v>247</v>
      </c>
      <c r="D568" s="3">
        <v>4000.03</v>
      </c>
      <c r="E568" s="4" t="s">
        <v>11</v>
      </c>
    </row>
    <row r="569" spans="1:5" x14ac:dyDescent="0.2">
      <c r="A569" s="1">
        <v>44480</v>
      </c>
      <c r="B569" s="2">
        <v>1120</v>
      </c>
      <c r="C569" s="2">
        <v>250</v>
      </c>
      <c r="D569" s="3">
        <v>3525.83</v>
      </c>
      <c r="E569" s="4" t="s">
        <v>12</v>
      </c>
    </row>
    <row r="570" spans="1:5" hidden="1" x14ac:dyDescent="0.2">
      <c r="A570" s="1">
        <v>44481</v>
      </c>
      <c r="B570" s="2">
        <v>1235</v>
      </c>
      <c r="C570" s="2">
        <v>229</v>
      </c>
      <c r="D570" s="3">
        <v>3554.28</v>
      </c>
      <c r="E570" s="4" t="s">
        <v>11</v>
      </c>
    </row>
    <row r="571" spans="1:5" x14ac:dyDescent="0.2">
      <c r="A571" s="1">
        <v>44481</v>
      </c>
      <c r="B571" s="2">
        <v>1137</v>
      </c>
      <c r="C571" s="2">
        <v>255</v>
      </c>
      <c r="D571" s="3">
        <v>3805.19</v>
      </c>
      <c r="E571" s="4" t="s">
        <v>12</v>
      </c>
    </row>
    <row r="572" spans="1:5" hidden="1" x14ac:dyDescent="0.2">
      <c r="A572" s="1">
        <v>44482</v>
      </c>
      <c r="B572" s="2">
        <v>1173</v>
      </c>
      <c r="C572" s="2">
        <v>208</v>
      </c>
      <c r="D572" s="3">
        <v>3402.52</v>
      </c>
      <c r="E572" s="4" t="s">
        <v>11</v>
      </c>
    </row>
    <row r="573" spans="1:5" x14ac:dyDescent="0.2">
      <c r="A573" s="1">
        <v>44482</v>
      </c>
      <c r="B573" s="2">
        <v>1198</v>
      </c>
      <c r="C573" s="2">
        <v>269</v>
      </c>
      <c r="D573" s="3">
        <v>4141.5</v>
      </c>
      <c r="E573" s="4" t="s">
        <v>12</v>
      </c>
    </row>
    <row r="574" spans="1:5" hidden="1" x14ac:dyDescent="0.2">
      <c r="A574" s="1">
        <v>44483</v>
      </c>
      <c r="B574" s="2">
        <v>1134</v>
      </c>
      <c r="C574" s="2">
        <v>224</v>
      </c>
      <c r="D574" s="3">
        <v>2904.53</v>
      </c>
      <c r="E574" s="4" t="s">
        <v>11</v>
      </c>
    </row>
    <row r="575" spans="1:5" x14ac:dyDescent="0.2">
      <c r="A575" s="1">
        <v>44483</v>
      </c>
      <c r="B575" s="2">
        <v>1180</v>
      </c>
      <c r="C575" s="2">
        <v>266</v>
      </c>
      <c r="D575" s="3">
        <v>4126.1499999999996</v>
      </c>
      <c r="E575" s="4" t="s">
        <v>12</v>
      </c>
    </row>
    <row r="576" spans="1:5" hidden="1" x14ac:dyDescent="0.2">
      <c r="A576" s="1">
        <v>44484</v>
      </c>
      <c r="B576" s="2">
        <v>1171</v>
      </c>
      <c r="C576" s="2">
        <v>219</v>
      </c>
      <c r="D576" s="3">
        <v>3454.42</v>
      </c>
      <c r="E576" s="4" t="s">
        <v>11</v>
      </c>
    </row>
    <row r="577" spans="1:5" x14ac:dyDescent="0.2">
      <c r="A577" s="1">
        <v>44484</v>
      </c>
      <c r="B577" s="2">
        <v>1156</v>
      </c>
      <c r="C577" s="2">
        <v>263</v>
      </c>
      <c r="D577" s="3">
        <v>4781.8599999999997</v>
      </c>
      <c r="E577" s="4" t="s">
        <v>12</v>
      </c>
    </row>
    <row r="578" spans="1:5" hidden="1" x14ac:dyDescent="0.2">
      <c r="A578" s="1">
        <v>44485</v>
      </c>
      <c r="B578" s="2">
        <v>1227</v>
      </c>
      <c r="C578" s="2">
        <v>218</v>
      </c>
      <c r="D578" s="3">
        <v>3487.94</v>
      </c>
      <c r="E578" s="4" t="s">
        <v>11</v>
      </c>
    </row>
    <row r="579" spans="1:5" x14ac:dyDescent="0.2">
      <c r="A579" s="1">
        <v>44485</v>
      </c>
      <c r="B579" s="2">
        <v>1212</v>
      </c>
      <c r="C579" s="2">
        <v>278</v>
      </c>
      <c r="D579" s="3">
        <v>3669.99</v>
      </c>
      <c r="E579" s="4" t="s">
        <v>12</v>
      </c>
    </row>
    <row r="580" spans="1:5" hidden="1" x14ac:dyDescent="0.2">
      <c r="A580" s="1">
        <v>44486</v>
      </c>
      <c r="B580" s="2">
        <v>1234</v>
      </c>
      <c r="C580" s="2">
        <v>257</v>
      </c>
      <c r="D580" s="3">
        <v>4859.4399999999996</v>
      </c>
      <c r="E580" s="4" t="s">
        <v>11</v>
      </c>
    </row>
    <row r="581" spans="1:5" x14ac:dyDescent="0.2">
      <c r="A581" s="1">
        <v>44486</v>
      </c>
      <c r="B581" s="2">
        <v>1168</v>
      </c>
      <c r="C581" s="2">
        <v>227</v>
      </c>
      <c r="D581" s="3">
        <v>3402.39</v>
      </c>
      <c r="E581" s="4" t="s">
        <v>12</v>
      </c>
    </row>
    <row r="582" spans="1:5" hidden="1" x14ac:dyDescent="0.2">
      <c r="A582" s="1">
        <v>44487</v>
      </c>
      <c r="B582" s="2">
        <v>1200</v>
      </c>
      <c r="C582" s="2">
        <v>235</v>
      </c>
      <c r="D582" s="3">
        <v>4103.51</v>
      </c>
      <c r="E582" s="4" t="s">
        <v>11</v>
      </c>
    </row>
    <row r="583" spans="1:5" x14ac:dyDescent="0.2">
      <c r="A583" s="1">
        <v>44487</v>
      </c>
      <c r="B583" s="2">
        <v>1115</v>
      </c>
      <c r="C583" s="2">
        <v>257</v>
      </c>
      <c r="D583" s="3">
        <v>4978.1000000000004</v>
      </c>
      <c r="E583" s="4" t="s">
        <v>12</v>
      </c>
    </row>
    <row r="584" spans="1:5" hidden="1" x14ac:dyDescent="0.2">
      <c r="A584" s="1">
        <v>44488</v>
      </c>
      <c r="B584" s="2">
        <v>1239</v>
      </c>
      <c r="C584" s="2">
        <v>215</v>
      </c>
      <c r="D584" s="3">
        <v>3893.29</v>
      </c>
      <c r="E584" s="4" t="s">
        <v>11</v>
      </c>
    </row>
    <row r="585" spans="1:5" x14ac:dyDescent="0.2">
      <c r="A585" s="1">
        <v>44488</v>
      </c>
      <c r="B585" s="2">
        <v>1188</v>
      </c>
      <c r="C585" s="2">
        <v>283</v>
      </c>
      <c r="D585" s="3">
        <v>5011.3500000000004</v>
      </c>
      <c r="E585" s="4" t="s">
        <v>12</v>
      </c>
    </row>
    <row r="586" spans="1:5" hidden="1" x14ac:dyDescent="0.2">
      <c r="A586" s="1">
        <v>44489</v>
      </c>
      <c r="B586" s="2">
        <v>1160</v>
      </c>
      <c r="C586" s="2">
        <v>208</v>
      </c>
      <c r="D586" s="3">
        <v>3850.28</v>
      </c>
      <c r="E586" s="4" t="s">
        <v>11</v>
      </c>
    </row>
    <row r="587" spans="1:5" x14ac:dyDescent="0.2">
      <c r="A587" s="1">
        <v>44489</v>
      </c>
      <c r="B587" s="2">
        <v>1136</v>
      </c>
      <c r="C587" s="2">
        <v>251</v>
      </c>
      <c r="D587" s="3">
        <v>4805.66</v>
      </c>
      <c r="E587" s="4" t="s">
        <v>12</v>
      </c>
    </row>
    <row r="588" spans="1:5" hidden="1" x14ac:dyDescent="0.2">
      <c r="A588" s="1">
        <v>44490</v>
      </c>
      <c r="B588" s="2">
        <v>1142</v>
      </c>
      <c r="C588" s="2">
        <v>195</v>
      </c>
      <c r="D588" s="3">
        <v>3170.52</v>
      </c>
      <c r="E588" s="4" t="s">
        <v>11</v>
      </c>
    </row>
    <row r="589" spans="1:5" x14ac:dyDescent="0.2">
      <c r="A589" s="1">
        <v>44490</v>
      </c>
      <c r="B589" s="2">
        <v>1128</v>
      </c>
      <c r="C589" s="2">
        <v>292</v>
      </c>
      <c r="D589" s="3">
        <v>4202.28</v>
      </c>
      <c r="E589" s="4" t="s">
        <v>12</v>
      </c>
    </row>
    <row r="590" spans="1:5" hidden="1" x14ac:dyDescent="0.2">
      <c r="A590" s="1">
        <v>44491</v>
      </c>
      <c r="B590" s="2">
        <v>1240</v>
      </c>
      <c r="C590" s="2">
        <v>247</v>
      </c>
      <c r="D590" s="3">
        <v>3603.31</v>
      </c>
      <c r="E590" s="4" t="s">
        <v>11</v>
      </c>
    </row>
    <row r="591" spans="1:5" x14ac:dyDescent="0.2">
      <c r="A591" s="1">
        <v>44491</v>
      </c>
      <c r="B591" s="2">
        <v>1087</v>
      </c>
      <c r="C591" s="2">
        <v>247</v>
      </c>
      <c r="D591" s="3">
        <v>3583.19</v>
      </c>
      <c r="E591" s="4" t="s">
        <v>12</v>
      </c>
    </row>
    <row r="592" spans="1:5" hidden="1" x14ac:dyDescent="0.2">
      <c r="A592" s="1">
        <v>44492</v>
      </c>
      <c r="B592" s="2">
        <v>1176</v>
      </c>
      <c r="C592" s="2">
        <v>226</v>
      </c>
      <c r="D592" s="3">
        <v>3362.08</v>
      </c>
      <c r="E592" s="4" t="s">
        <v>11</v>
      </c>
    </row>
    <row r="593" spans="1:5" x14ac:dyDescent="0.2">
      <c r="A593" s="1">
        <v>44492</v>
      </c>
      <c r="B593" s="2">
        <v>1127</v>
      </c>
      <c r="C593" s="2">
        <v>264</v>
      </c>
      <c r="D593" s="3">
        <v>4477.1499999999996</v>
      </c>
      <c r="E593" s="4" t="s">
        <v>12</v>
      </c>
    </row>
    <row r="594" spans="1:5" hidden="1" x14ac:dyDescent="0.2">
      <c r="A594" s="1">
        <v>44493</v>
      </c>
      <c r="B594" s="2">
        <v>1171</v>
      </c>
      <c r="C594" s="2">
        <v>223</v>
      </c>
      <c r="D594" s="3">
        <v>3141.57</v>
      </c>
      <c r="E594" s="4" t="s">
        <v>11</v>
      </c>
    </row>
    <row r="595" spans="1:5" x14ac:dyDescent="0.2">
      <c r="A595" s="1">
        <v>44493</v>
      </c>
      <c r="B595" s="2">
        <v>1119</v>
      </c>
      <c r="C595" s="2">
        <v>254</v>
      </c>
      <c r="D595" s="3">
        <v>4156.16</v>
      </c>
      <c r="E595" s="4" t="s">
        <v>12</v>
      </c>
    </row>
    <row r="596" spans="1:5" hidden="1" x14ac:dyDescent="0.2">
      <c r="A596" s="1">
        <v>44494</v>
      </c>
      <c r="B596" s="2">
        <v>1244</v>
      </c>
      <c r="C596" s="2">
        <v>227</v>
      </c>
      <c r="D596" s="3">
        <v>3665.2</v>
      </c>
      <c r="E596" s="4" t="s">
        <v>11</v>
      </c>
    </row>
    <row r="597" spans="1:5" x14ac:dyDescent="0.2">
      <c r="A597" s="1">
        <v>44494</v>
      </c>
      <c r="B597" s="2">
        <v>1183</v>
      </c>
      <c r="C597" s="2">
        <v>283</v>
      </c>
      <c r="D597" s="3">
        <v>3517.2</v>
      </c>
      <c r="E597" s="4" t="s">
        <v>12</v>
      </c>
    </row>
    <row r="598" spans="1:5" hidden="1" x14ac:dyDescent="0.2">
      <c r="A598" s="1">
        <v>44495</v>
      </c>
      <c r="B598" s="2">
        <v>1158</v>
      </c>
      <c r="C598" s="2">
        <v>218</v>
      </c>
      <c r="D598" s="3">
        <v>3234.86</v>
      </c>
      <c r="E598" s="4" t="s">
        <v>11</v>
      </c>
    </row>
    <row r="599" spans="1:5" x14ac:dyDescent="0.2">
      <c r="A599" s="1">
        <v>44495</v>
      </c>
      <c r="B599" s="2">
        <v>1130</v>
      </c>
      <c r="C599" s="2">
        <v>251</v>
      </c>
      <c r="D599" s="3">
        <v>3597.81</v>
      </c>
      <c r="E599" s="4" t="s">
        <v>12</v>
      </c>
    </row>
    <row r="600" spans="1:5" hidden="1" x14ac:dyDescent="0.2">
      <c r="A600" s="1">
        <v>44496</v>
      </c>
      <c r="B600" s="2">
        <v>1196</v>
      </c>
      <c r="C600" s="2">
        <v>233</v>
      </c>
      <c r="D600" s="3">
        <v>3719.64</v>
      </c>
      <c r="E600" s="4" t="s">
        <v>11</v>
      </c>
    </row>
    <row r="601" spans="1:5" x14ac:dyDescent="0.2">
      <c r="A601" s="1">
        <v>44496</v>
      </c>
      <c r="B601" s="2">
        <v>1131</v>
      </c>
      <c r="C601" s="2">
        <v>280</v>
      </c>
      <c r="D601" s="3">
        <v>4686.49</v>
      </c>
      <c r="E601" s="4" t="s">
        <v>12</v>
      </c>
    </row>
    <row r="602" spans="1:5" hidden="1" x14ac:dyDescent="0.2">
      <c r="A602" s="1">
        <v>44497</v>
      </c>
      <c r="B602" s="2">
        <v>1166</v>
      </c>
      <c r="C602" s="2">
        <v>214</v>
      </c>
      <c r="D602" s="3">
        <v>3743.67</v>
      </c>
      <c r="E602" s="4" t="s">
        <v>11</v>
      </c>
    </row>
    <row r="603" spans="1:5" x14ac:dyDescent="0.2">
      <c r="A603" s="1">
        <v>44497</v>
      </c>
      <c r="B603" s="2">
        <v>1136</v>
      </c>
      <c r="C603" s="2">
        <v>269</v>
      </c>
      <c r="D603" s="3">
        <v>4270.6400000000003</v>
      </c>
      <c r="E603" s="4" t="s">
        <v>12</v>
      </c>
    </row>
    <row r="604" spans="1:5" hidden="1" x14ac:dyDescent="0.2">
      <c r="A604" s="1">
        <v>44498</v>
      </c>
      <c r="B604" s="2">
        <v>1195</v>
      </c>
      <c r="C604" s="2">
        <v>227</v>
      </c>
      <c r="D604" s="3">
        <v>4269.4799999999996</v>
      </c>
      <c r="E604" s="4" t="s">
        <v>11</v>
      </c>
    </row>
    <row r="605" spans="1:5" x14ac:dyDescent="0.2">
      <c r="A605" s="1">
        <v>44498</v>
      </c>
      <c r="B605" s="2">
        <v>1149</v>
      </c>
      <c r="C605" s="2">
        <v>258</v>
      </c>
      <c r="D605" s="3">
        <v>4966.99</v>
      </c>
      <c r="E605" s="4" t="s">
        <v>12</v>
      </c>
    </row>
    <row r="606" spans="1:5" hidden="1" x14ac:dyDescent="0.2">
      <c r="A606" s="1">
        <v>44499</v>
      </c>
      <c r="B606" s="2">
        <v>1187</v>
      </c>
      <c r="C606" s="2">
        <v>216</v>
      </c>
      <c r="D606" s="3">
        <v>2985.61</v>
      </c>
      <c r="E606" s="4" t="s">
        <v>11</v>
      </c>
    </row>
    <row r="607" spans="1:5" x14ac:dyDescent="0.2">
      <c r="A607" s="1">
        <v>44499</v>
      </c>
      <c r="B607" s="2">
        <v>1120</v>
      </c>
      <c r="C607" s="2">
        <v>264</v>
      </c>
      <c r="D607" s="3">
        <v>3781.93</v>
      </c>
      <c r="E607" s="4" t="s">
        <v>12</v>
      </c>
    </row>
    <row r="608" spans="1:5" hidden="1" x14ac:dyDescent="0.2">
      <c r="A608" s="1">
        <v>44500</v>
      </c>
      <c r="B608" s="2">
        <v>1207</v>
      </c>
      <c r="C608" s="2">
        <v>223</v>
      </c>
      <c r="D608" s="3">
        <v>3024.81</v>
      </c>
      <c r="E608" s="4" t="s">
        <v>11</v>
      </c>
    </row>
    <row r="609" spans="1:5" x14ac:dyDescent="0.2">
      <c r="A609" s="1">
        <v>44500</v>
      </c>
      <c r="B609" s="2">
        <v>1155</v>
      </c>
      <c r="C609" s="2">
        <v>266</v>
      </c>
      <c r="D609" s="3">
        <v>4133.3599999999997</v>
      </c>
      <c r="E609" s="4" t="s">
        <v>12</v>
      </c>
    </row>
    <row r="610" spans="1:5" hidden="1" x14ac:dyDescent="0.2">
      <c r="A610" s="1">
        <v>44501</v>
      </c>
      <c r="B610" s="2">
        <v>1217</v>
      </c>
      <c r="C610" s="2">
        <v>217</v>
      </c>
      <c r="D610" s="3">
        <v>2891.05</v>
      </c>
      <c r="E610" s="4" t="s">
        <v>11</v>
      </c>
    </row>
    <row r="611" spans="1:5" x14ac:dyDescent="0.2">
      <c r="A611" s="1">
        <v>44501</v>
      </c>
      <c r="B611" s="2">
        <v>1181</v>
      </c>
      <c r="C611" s="2">
        <v>262</v>
      </c>
      <c r="D611" s="3">
        <v>3727.38</v>
      </c>
      <c r="E611" s="4" t="s">
        <v>12</v>
      </c>
    </row>
    <row r="612" spans="1:5" hidden="1" x14ac:dyDescent="0.2">
      <c r="A612" s="1">
        <v>44502</v>
      </c>
      <c r="B612" s="2">
        <v>1196</v>
      </c>
      <c r="C612" s="2">
        <v>218</v>
      </c>
      <c r="D612" s="3">
        <v>2861.68</v>
      </c>
      <c r="E612" s="4" t="s">
        <v>11</v>
      </c>
    </row>
    <row r="613" spans="1:5" x14ac:dyDescent="0.2">
      <c r="A613" s="1">
        <v>44502</v>
      </c>
      <c r="B613" s="2">
        <v>1123</v>
      </c>
      <c r="C613" s="2">
        <v>265</v>
      </c>
      <c r="D613" s="3">
        <v>3886.08</v>
      </c>
      <c r="E613" s="4" t="s">
        <v>12</v>
      </c>
    </row>
    <row r="614" spans="1:5" hidden="1" x14ac:dyDescent="0.2">
      <c r="A614" s="1">
        <v>44503</v>
      </c>
      <c r="B614" s="2">
        <v>1228</v>
      </c>
      <c r="C614" s="2">
        <v>242</v>
      </c>
      <c r="D614" s="3">
        <v>3375.3</v>
      </c>
      <c r="E614" s="4" t="s">
        <v>11</v>
      </c>
    </row>
    <row r="615" spans="1:5" x14ac:dyDescent="0.2">
      <c r="A615" s="1">
        <v>44503</v>
      </c>
      <c r="B615" s="2">
        <v>1186</v>
      </c>
      <c r="C615" s="2">
        <v>268</v>
      </c>
      <c r="D615" s="3">
        <v>5032.1499999999996</v>
      </c>
      <c r="E615" s="4" t="s">
        <v>12</v>
      </c>
    </row>
    <row r="616" spans="1:5" hidden="1" x14ac:dyDescent="0.2">
      <c r="A616" s="1">
        <v>44504</v>
      </c>
      <c r="B616" s="2">
        <v>1184</v>
      </c>
      <c r="C616" s="2">
        <v>226</v>
      </c>
      <c r="D616" s="3">
        <v>3619.74</v>
      </c>
      <c r="E616" s="4" t="s">
        <v>11</v>
      </c>
    </row>
    <row r="617" spans="1:5" x14ac:dyDescent="0.2">
      <c r="A617" s="1">
        <v>44504</v>
      </c>
      <c r="B617" s="2">
        <v>1073</v>
      </c>
      <c r="C617" s="2">
        <v>258</v>
      </c>
      <c r="D617" s="3">
        <v>6153.94</v>
      </c>
      <c r="E617" s="4" t="s">
        <v>12</v>
      </c>
    </row>
    <row r="618" spans="1:5" hidden="1" x14ac:dyDescent="0.2">
      <c r="A618" s="1">
        <v>44505</v>
      </c>
      <c r="B618" s="2">
        <v>1239</v>
      </c>
      <c r="C618" s="2">
        <v>224</v>
      </c>
      <c r="D618" s="3">
        <v>3104.71</v>
      </c>
      <c r="E618" s="4" t="s">
        <v>11</v>
      </c>
    </row>
    <row r="619" spans="1:5" x14ac:dyDescent="0.2">
      <c r="A619" s="1">
        <v>44505</v>
      </c>
      <c r="B619" s="2">
        <v>1160</v>
      </c>
      <c r="C619" s="2">
        <v>264</v>
      </c>
      <c r="D619" s="3">
        <v>4397.9799999999996</v>
      </c>
      <c r="E619" s="4" t="s">
        <v>12</v>
      </c>
    </row>
    <row r="620" spans="1:5" hidden="1" x14ac:dyDescent="0.2">
      <c r="A620" s="1">
        <v>44506</v>
      </c>
      <c r="B620" s="2">
        <v>1233</v>
      </c>
      <c r="C620" s="2">
        <v>228</v>
      </c>
      <c r="D620" s="3">
        <v>3086.68</v>
      </c>
      <c r="E620" s="4" t="s">
        <v>11</v>
      </c>
    </row>
    <row r="621" spans="1:5" x14ac:dyDescent="0.2">
      <c r="A621" s="1">
        <v>44506</v>
      </c>
      <c r="B621" s="2">
        <v>1168</v>
      </c>
      <c r="C621" s="2">
        <v>296</v>
      </c>
      <c r="D621" s="3">
        <v>5184.6899999999996</v>
      </c>
      <c r="E621" s="4" t="s">
        <v>12</v>
      </c>
    </row>
    <row r="622" spans="1:5" hidden="1" x14ac:dyDescent="0.2">
      <c r="A622" s="1">
        <v>44507</v>
      </c>
      <c r="B622" s="2">
        <v>1133</v>
      </c>
      <c r="C622" s="2">
        <v>223</v>
      </c>
      <c r="D622" s="3">
        <v>3024.4</v>
      </c>
      <c r="E622" s="4" t="s">
        <v>11</v>
      </c>
    </row>
    <row r="623" spans="1:5" x14ac:dyDescent="0.2">
      <c r="A623" s="1">
        <v>44507</v>
      </c>
      <c r="B623" s="2">
        <v>1135</v>
      </c>
      <c r="C623" s="2">
        <v>224</v>
      </c>
      <c r="D623" s="3">
        <v>3917.76</v>
      </c>
      <c r="E623" s="4" t="s">
        <v>12</v>
      </c>
    </row>
    <row r="624" spans="1:5" hidden="1" x14ac:dyDescent="0.2">
      <c r="A624" s="1">
        <v>44508</v>
      </c>
      <c r="B624" s="2">
        <v>1211</v>
      </c>
      <c r="C624" s="2">
        <v>221</v>
      </c>
      <c r="D624" s="3">
        <v>2921.96</v>
      </c>
      <c r="E624" s="4" t="s">
        <v>11</v>
      </c>
    </row>
    <row r="625" spans="1:5" x14ac:dyDescent="0.2">
      <c r="A625" s="1">
        <v>44508</v>
      </c>
      <c r="B625" s="2">
        <v>1171</v>
      </c>
      <c r="C625" s="2">
        <v>281</v>
      </c>
      <c r="D625" s="3">
        <v>5032.88</v>
      </c>
      <c r="E625" s="4" t="s">
        <v>12</v>
      </c>
    </row>
    <row r="626" spans="1:5" hidden="1" x14ac:dyDescent="0.2">
      <c r="A626" s="1">
        <v>44509</v>
      </c>
      <c r="B626" s="2">
        <v>1194</v>
      </c>
      <c r="C626" s="2">
        <v>219</v>
      </c>
      <c r="D626" s="3">
        <v>3565.53</v>
      </c>
      <c r="E626" s="4" t="s">
        <v>11</v>
      </c>
    </row>
    <row r="627" spans="1:5" x14ac:dyDescent="0.2">
      <c r="A627" s="1">
        <v>44509</v>
      </c>
      <c r="B627" s="2">
        <v>1082</v>
      </c>
      <c r="C627" s="2">
        <v>240</v>
      </c>
      <c r="D627" s="3">
        <v>3748.56</v>
      </c>
      <c r="E627" s="4" t="s">
        <v>12</v>
      </c>
    </row>
    <row r="628" spans="1:5" hidden="1" x14ac:dyDescent="0.2">
      <c r="A628" s="1">
        <v>44510</v>
      </c>
      <c r="B628" s="2">
        <v>1195</v>
      </c>
      <c r="C628" s="2">
        <v>225</v>
      </c>
      <c r="D628" s="3">
        <v>3917.7</v>
      </c>
      <c r="E628" s="4" t="s">
        <v>11</v>
      </c>
    </row>
    <row r="629" spans="1:5" x14ac:dyDescent="0.2">
      <c r="A629" s="1">
        <v>44510</v>
      </c>
      <c r="B629" s="2">
        <v>1176</v>
      </c>
      <c r="C629" s="2">
        <v>262</v>
      </c>
      <c r="D629" s="3">
        <v>4599.3599999999997</v>
      </c>
      <c r="E629" s="4" t="s">
        <v>12</v>
      </c>
    </row>
    <row r="630" spans="1:5" hidden="1" x14ac:dyDescent="0.2">
      <c r="A630" s="1">
        <v>44511</v>
      </c>
      <c r="B630" s="2">
        <v>1216</v>
      </c>
      <c r="C630" s="2">
        <v>224</v>
      </c>
      <c r="D630" s="3">
        <v>3868.76</v>
      </c>
      <c r="E630" s="4" t="s">
        <v>11</v>
      </c>
    </row>
    <row r="631" spans="1:5" x14ac:dyDescent="0.2">
      <c r="A631" s="1">
        <v>44511</v>
      </c>
      <c r="B631" s="2">
        <v>1127</v>
      </c>
      <c r="C631" s="2">
        <v>257</v>
      </c>
      <c r="D631" s="3">
        <v>3543.37</v>
      </c>
      <c r="E631" s="4" t="s">
        <v>12</v>
      </c>
    </row>
    <row r="632" spans="1:5" hidden="1" x14ac:dyDescent="0.2">
      <c r="A632" s="1">
        <v>44512</v>
      </c>
      <c r="B632" s="2">
        <v>1193</v>
      </c>
      <c r="C632" s="2">
        <v>211</v>
      </c>
      <c r="D632" s="3">
        <v>2396.71</v>
      </c>
      <c r="E632" s="4" t="s">
        <v>11</v>
      </c>
    </row>
    <row r="633" spans="1:5" x14ac:dyDescent="0.2">
      <c r="A633" s="1">
        <v>44512</v>
      </c>
      <c r="B633" s="2">
        <v>1149</v>
      </c>
      <c r="C633" s="2">
        <v>277</v>
      </c>
      <c r="D633" s="3">
        <v>4581.6099999999997</v>
      </c>
      <c r="E633" s="4" t="s">
        <v>12</v>
      </c>
    </row>
    <row r="634" spans="1:5" hidden="1" x14ac:dyDescent="0.2">
      <c r="A634" s="1">
        <v>44513</v>
      </c>
      <c r="B634" s="2">
        <v>1161</v>
      </c>
      <c r="C634" s="2">
        <v>219</v>
      </c>
      <c r="D634" s="3">
        <v>3838.5</v>
      </c>
      <c r="E634" s="4" t="s">
        <v>11</v>
      </c>
    </row>
    <row r="635" spans="1:5" x14ac:dyDescent="0.2">
      <c r="A635" s="1">
        <v>44513</v>
      </c>
      <c r="B635" s="2">
        <v>1166</v>
      </c>
      <c r="C635" s="2">
        <v>271</v>
      </c>
      <c r="D635" s="3">
        <v>3877.3</v>
      </c>
      <c r="E635" s="4" t="s">
        <v>12</v>
      </c>
    </row>
    <row r="636" spans="1:5" hidden="1" x14ac:dyDescent="0.2">
      <c r="A636" s="1">
        <v>44514</v>
      </c>
      <c r="B636" s="2">
        <v>1190</v>
      </c>
      <c r="C636" s="2">
        <v>205</v>
      </c>
      <c r="D636" s="3">
        <v>3024.69</v>
      </c>
      <c r="E636" s="4" t="s">
        <v>11</v>
      </c>
    </row>
    <row r="637" spans="1:5" x14ac:dyDescent="0.2">
      <c r="A637" s="1">
        <v>44514</v>
      </c>
      <c r="B637" s="2">
        <v>1157</v>
      </c>
      <c r="C637" s="2">
        <v>244</v>
      </c>
      <c r="D637" s="3">
        <v>3949.57</v>
      </c>
      <c r="E637" s="4" t="s">
        <v>12</v>
      </c>
    </row>
    <row r="638" spans="1:5" hidden="1" x14ac:dyDescent="0.2">
      <c r="A638" s="1">
        <v>44515</v>
      </c>
      <c r="B638" s="2">
        <v>1169</v>
      </c>
      <c r="C638" s="2">
        <v>227</v>
      </c>
      <c r="D638" s="3">
        <v>3437.7</v>
      </c>
      <c r="E638" s="4" t="s">
        <v>11</v>
      </c>
    </row>
    <row r="639" spans="1:5" x14ac:dyDescent="0.2">
      <c r="A639" s="1">
        <v>44515</v>
      </c>
      <c r="B639" s="2">
        <v>1153</v>
      </c>
      <c r="C639" s="2">
        <v>257</v>
      </c>
      <c r="D639" s="3">
        <v>4002.92</v>
      </c>
      <c r="E639" s="4" t="s">
        <v>12</v>
      </c>
    </row>
    <row r="640" spans="1:5" hidden="1" x14ac:dyDescent="0.2">
      <c r="A640" s="1">
        <v>44516</v>
      </c>
      <c r="B640" s="2">
        <v>1179</v>
      </c>
      <c r="C640" s="2">
        <v>210</v>
      </c>
      <c r="D640" s="3">
        <v>2348.7199999999998</v>
      </c>
      <c r="E640" s="4" t="s">
        <v>11</v>
      </c>
    </row>
    <row r="641" spans="1:5" x14ac:dyDescent="0.2">
      <c r="A641" s="1">
        <v>44516</v>
      </c>
      <c r="B641" s="2">
        <v>1074</v>
      </c>
      <c r="C641" s="2">
        <v>229</v>
      </c>
      <c r="D641" s="3">
        <v>3269.94</v>
      </c>
      <c r="E641" s="4" t="s">
        <v>12</v>
      </c>
    </row>
    <row r="642" spans="1:5" hidden="1" x14ac:dyDescent="0.2">
      <c r="A642" s="1">
        <v>44517</v>
      </c>
      <c r="B642" s="2">
        <v>1171</v>
      </c>
      <c r="C642" s="2">
        <v>217</v>
      </c>
      <c r="D642" s="3">
        <v>3724.89</v>
      </c>
      <c r="E642" s="4" t="s">
        <v>11</v>
      </c>
    </row>
    <row r="643" spans="1:5" x14ac:dyDescent="0.2">
      <c r="A643" s="1">
        <v>44517</v>
      </c>
      <c r="B643" s="2">
        <v>1185</v>
      </c>
      <c r="C643" s="2">
        <v>277</v>
      </c>
      <c r="D643" s="3">
        <v>4171</v>
      </c>
      <c r="E643" s="4" t="s">
        <v>12</v>
      </c>
    </row>
    <row r="644" spans="1:5" hidden="1" x14ac:dyDescent="0.2">
      <c r="A644" s="1">
        <v>44518</v>
      </c>
      <c r="B644" s="2">
        <v>1234</v>
      </c>
      <c r="C644" s="2">
        <v>240</v>
      </c>
      <c r="D644" s="3">
        <v>2870.71</v>
      </c>
      <c r="E644" s="4" t="s">
        <v>11</v>
      </c>
    </row>
    <row r="645" spans="1:5" x14ac:dyDescent="0.2">
      <c r="A645" s="1">
        <v>44518</v>
      </c>
      <c r="B645" s="2">
        <v>1188</v>
      </c>
      <c r="C645" s="2">
        <v>266</v>
      </c>
      <c r="D645" s="3">
        <v>2749.29</v>
      </c>
      <c r="E645" s="4" t="s">
        <v>12</v>
      </c>
    </row>
    <row r="646" spans="1:5" hidden="1" x14ac:dyDescent="0.2">
      <c r="A646" s="1">
        <v>44519</v>
      </c>
      <c r="B646" s="2">
        <v>1236</v>
      </c>
      <c r="C646" s="2">
        <v>246</v>
      </c>
      <c r="D646" s="3">
        <v>3783.69</v>
      </c>
      <c r="E646" s="4" t="s">
        <v>11</v>
      </c>
    </row>
    <row r="647" spans="1:5" x14ac:dyDescent="0.2">
      <c r="A647" s="1">
        <v>44519</v>
      </c>
      <c r="B647" s="2">
        <v>1153</v>
      </c>
      <c r="C647" s="2">
        <v>274</v>
      </c>
      <c r="D647" s="3">
        <v>4630.17</v>
      </c>
      <c r="E647" s="4" t="s">
        <v>12</v>
      </c>
    </row>
    <row r="648" spans="1:5" hidden="1" x14ac:dyDescent="0.2">
      <c r="A648" s="1">
        <v>44520</v>
      </c>
      <c r="B648" s="2">
        <v>1161</v>
      </c>
      <c r="C648" s="2">
        <v>250</v>
      </c>
      <c r="D648" s="3">
        <v>3578.73</v>
      </c>
      <c r="E648" s="4" t="s">
        <v>11</v>
      </c>
    </row>
    <row r="649" spans="1:5" x14ac:dyDescent="0.2">
      <c r="A649" s="1">
        <v>44520</v>
      </c>
      <c r="B649" s="2">
        <v>1142</v>
      </c>
      <c r="C649" s="2">
        <v>262</v>
      </c>
      <c r="D649" s="3">
        <v>4281.32</v>
      </c>
      <c r="E649" s="4" t="s">
        <v>12</v>
      </c>
    </row>
    <row r="650" spans="1:5" hidden="1" x14ac:dyDescent="0.2">
      <c r="A650" s="1">
        <v>44521</v>
      </c>
      <c r="B650" s="2">
        <v>1216</v>
      </c>
      <c r="C650" s="2">
        <v>231</v>
      </c>
      <c r="D650" s="3">
        <v>4000.49</v>
      </c>
      <c r="E650" s="4" t="s">
        <v>11</v>
      </c>
    </row>
    <row r="651" spans="1:5" x14ac:dyDescent="0.2">
      <c r="A651" s="1">
        <v>44521</v>
      </c>
      <c r="B651" s="2">
        <v>1184</v>
      </c>
      <c r="C651" s="2">
        <v>281</v>
      </c>
      <c r="D651" s="3">
        <v>4307.0200000000004</v>
      </c>
      <c r="E651" s="4" t="s">
        <v>12</v>
      </c>
    </row>
    <row r="652" spans="1:5" hidden="1" x14ac:dyDescent="0.2">
      <c r="A652" s="1">
        <v>44522</v>
      </c>
      <c r="B652" s="2">
        <v>1149</v>
      </c>
      <c r="C652" s="2">
        <v>217</v>
      </c>
      <c r="D652" s="3">
        <v>3013.89</v>
      </c>
      <c r="E652" s="4" t="s">
        <v>11</v>
      </c>
    </row>
    <row r="653" spans="1:5" x14ac:dyDescent="0.2">
      <c r="A653" s="1">
        <v>44522</v>
      </c>
      <c r="B653" s="2">
        <v>1140</v>
      </c>
      <c r="C653" s="2">
        <v>246</v>
      </c>
      <c r="D653" s="3">
        <v>4036.56</v>
      </c>
      <c r="E653" s="4" t="s">
        <v>12</v>
      </c>
    </row>
    <row r="654" spans="1:5" hidden="1" x14ac:dyDescent="0.2">
      <c r="A654" s="1">
        <v>44523</v>
      </c>
      <c r="B654" s="2">
        <v>1113</v>
      </c>
      <c r="C654" s="2">
        <v>195</v>
      </c>
      <c r="D654" s="3">
        <v>2334.36</v>
      </c>
      <c r="E654" s="4" t="s">
        <v>11</v>
      </c>
    </row>
    <row r="655" spans="1:5" x14ac:dyDescent="0.2">
      <c r="A655" s="1">
        <v>44523</v>
      </c>
      <c r="B655" s="2">
        <v>1150</v>
      </c>
      <c r="C655" s="2">
        <v>289</v>
      </c>
      <c r="D655" s="3">
        <v>4809.88</v>
      </c>
      <c r="E655" s="4" t="s">
        <v>12</v>
      </c>
    </row>
    <row r="656" spans="1:5" hidden="1" x14ac:dyDescent="0.2">
      <c r="A656" s="1">
        <v>44524</v>
      </c>
      <c r="B656" s="2">
        <v>1213</v>
      </c>
      <c r="C656" s="2">
        <v>224</v>
      </c>
      <c r="D656" s="3">
        <v>3031.6</v>
      </c>
      <c r="E656" s="4" t="s">
        <v>11</v>
      </c>
    </row>
    <row r="657" spans="1:5" x14ac:dyDescent="0.2">
      <c r="A657" s="1">
        <v>44524</v>
      </c>
      <c r="B657" s="2">
        <v>1174</v>
      </c>
      <c r="C657" s="2">
        <v>253</v>
      </c>
      <c r="D657" s="3">
        <v>4967.9399999999996</v>
      </c>
      <c r="E657" s="4" t="s">
        <v>12</v>
      </c>
    </row>
    <row r="658" spans="1:5" hidden="1" x14ac:dyDescent="0.2">
      <c r="A658" s="1">
        <v>44525</v>
      </c>
      <c r="B658" s="2">
        <v>1204</v>
      </c>
      <c r="C658" s="2">
        <v>236</v>
      </c>
      <c r="D658" s="3">
        <v>3452.28</v>
      </c>
      <c r="E658" s="4" t="s">
        <v>11</v>
      </c>
    </row>
    <row r="659" spans="1:5" x14ac:dyDescent="0.2">
      <c r="A659" s="1">
        <v>44525</v>
      </c>
      <c r="B659" s="2">
        <v>1189</v>
      </c>
      <c r="C659" s="2">
        <v>286</v>
      </c>
      <c r="D659" s="3">
        <v>4753.32</v>
      </c>
      <c r="E659" s="4" t="s">
        <v>12</v>
      </c>
    </row>
    <row r="660" spans="1:5" hidden="1" x14ac:dyDescent="0.2">
      <c r="A660" s="1">
        <v>44526</v>
      </c>
      <c r="B660" s="2">
        <v>1207</v>
      </c>
      <c r="C660" s="2">
        <v>223</v>
      </c>
      <c r="D660" s="3">
        <v>3302.87</v>
      </c>
      <c r="E660" s="4" t="s">
        <v>11</v>
      </c>
    </row>
    <row r="661" spans="1:5" x14ac:dyDescent="0.2">
      <c r="A661" s="1">
        <v>44526</v>
      </c>
      <c r="B661" s="2">
        <v>1173</v>
      </c>
      <c r="C661" s="2">
        <v>235</v>
      </c>
      <c r="D661" s="3">
        <v>3957.22</v>
      </c>
      <c r="E661" s="4" t="s">
        <v>12</v>
      </c>
    </row>
    <row r="662" spans="1:5" hidden="1" x14ac:dyDescent="0.2">
      <c r="A662" s="1">
        <v>44527</v>
      </c>
      <c r="B662" s="2">
        <v>1231</v>
      </c>
      <c r="C662" s="2">
        <v>241</v>
      </c>
      <c r="D662" s="3">
        <v>3263.33</v>
      </c>
      <c r="E662" s="4" t="s">
        <v>11</v>
      </c>
    </row>
    <row r="663" spans="1:5" x14ac:dyDescent="0.2">
      <c r="A663" s="1">
        <v>44527</v>
      </c>
      <c r="B663" s="2">
        <v>1218</v>
      </c>
      <c r="C663" s="2">
        <v>301</v>
      </c>
      <c r="D663" s="3">
        <v>5033.57</v>
      </c>
      <c r="E663" s="4" t="s">
        <v>12</v>
      </c>
    </row>
    <row r="664" spans="1:5" hidden="1" x14ac:dyDescent="0.2">
      <c r="A664" s="1">
        <v>44528</v>
      </c>
      <c r="B664" s="2">
        <v>1180</v>
      </c>
      <c r="C664" s="2">
        <v>237</v>
      </c>
      <c r="D664" s="3">
        <v>3412.39</v>
      </c>
      <c r="E664" s="4" t="s">
        <v>11</v>
      </c>
    </row>
    <row r="665" spans="1:5" x14ac:dyDescent="0.2">
      <c r="A665" s="1">
        <v>44528</v>
      </c>
      <c r="B665" s="2">
        <v>1177</v>
      </c>
      <c r="C665" s="2">
        <v>262</v>
      </c>
      <c r="D665" s="3">
        <v>3558.23</v>
      </c>
      <c r="E665" s="4" t="s">
        <v>12</v>
      </c>
    </row>
    <row r="666" spans="1:5" hidden="1" x14ac:dyDescent="0.2">
      <c r="A666" s="1">
        <v>44529</v>
      </c>
      <c r="B666" s="2">
        <v>1147</v>
      </c>
      <c r="C666" s="2">
        <v>219</v>
      </c>
      <c r="D666" s="3">
        <v>3500.15</v>
      </c>
      <c r="E666" s="4" t="s">
        <v>11</v>
      </c>
    </row>
    <row r="667" spans="1:5" x14ac:dyDescent="0.2">
      <c r="A667" s="1">
        <v>44529</v>
      </c>
      <c r="B667" s="2">
        <v>1211</v>
      </c>
      <c r="C667" s="2">
        <v>279</v>
      </c>
      <c r="D667" s="3">
        <v>4264.22</v>
      </c>
      <c r="E667" s="4" t="s">
        <v>12</v>
      </c>
    </row>
    <row r="668" spans="1:5" hidden="1" x14ac:dyDescent="0.2">
      <c r="A668" s="1">
        <v>44530</v>
      </c>
      <c r="B668" s="2">
        <v>1207</v>
      </c>
      <c r="C668" s="2">
        <v>215</v>
      </c>
      <c r="D668" s="3">
        <v>3186.63</v>
      </c>
      <c r="E668" s="4" t="s">
        <v>11</v>
      </c>
    </row>
    <row r="669" spans="1:5" x14ac:dyDescent="0.2">
      <c r="A669" s="1">
        <v>44530</v>
      </c>
      <c r="B669" s="2">
        <v>1158</v>
      </c>
      <c r="C669" s="2">
        <v>298</v>
      </c>
      <c r="D669" s="3">
        <v>4745.6099999999997</v>
      </c>
      <c r="E669" s="4" t="s">
        <v>12</v>
      </c>
    </row>
    <row r="670" spans="1:5" hidden="1" x14ac:dyDescent="0.2">
      <c r="A670" s="1">
        <v>44531</v>
      </c>
      <c r="B670" s="2">
        <v>1177</v>
      </c>
      <c r="C670" s="2">
        <v>211</v>
      </c>
      <c r="D670" s="3">
        <v>3522.34</v>
      </c>
      <c r="E670" s="4" t="s">
        <v>11</v>
      </c>
    </row>
    <row r="671" spans="1:5" x14ac:dyDescent="0.2">
      <c r="A671" s="1">
        <v>44531</v>
      </c>
      <c r="B671" s="2">
        <v>1074</v>
      </c>
      <c r="C671" s="2">
        <v>250</v>
      </c>
      <c r="D671" s="3">
        <v>2936.39</v>
      </c>
      <c r="E671" s="4" t="s">
        <v>12</v>
      </c>
    </row>
    <row r="672" spans="1:5" hidden="1" x14ac:dyDescent="0.2">
      <c r="A672" s="1">
        <v>44532</v>
      </c>
      <c r="B672" s="2">
        <v>1146</v>
      </c>
      <c r="C672" s="2">
        <v>208</v>
      </c>
      <c r="D672" s="3">
        <v>1910.69</v>
      </c>
      <c r="E672" s="4" t="s">
        <v>11</v>
      </c>
    </row>
    <row r="673" spans="1:5" x14ac:dyDescent="0.2">
      <c r="A673" s="1">
        <v>44532</v>
      </c>
      <c r="B673" s="2">
        <v>1133</v>
      </c>
      <c r="C673" s="2">
        <v>278</v>
      </c>
      <c r="D673" s="3">
        <v>4239.6000000000004</v>
      </c>
      <c r="E673" s="4" t="s">
        <v>12</v>
      </c>
    </row>
    <row r="674" spans="1:5" hidden="1" x14ac:dyDescent="0.2">
      <c r="A674" s="1">
        <v>44533</v>
      </c>
      <c r="B674" s="2">
        <v>1207</v>
      </c>
      <c r="C674" s="2">
        <v>224</v>
      </c>
      <c r="D674" s="3">
        <v>3154.33</v>
      </c>
      <c r="E674" s="4" t="s">
        <v>11</v>
      </c>
    </row>
    <row r="675" spans="1:5" x14ac:dyDescent="0.2">
      <c r="A675" s="1">
        <v>44533</v>
      </c>
      <c r="B675" s="2">
        <v>1136</v>
      </c>
      <c r="C675" s="2">
        <v>239</v>
      </c>
      <c r="D675" s="3">
        <v>3491.98</v>
      </c>
      <c r="E675" s="4" t="s">
        <v>12</v>
      </c>
    </row>
    <row r="676" spans="1:5" hidden="1" x14ac:dyDescent="0.2">
      <c r="A676" s="1">
        <v>44534</v>
      </c>
      <c r="B676" s="2">
        <v>1220</v>
      </c>
      <c r="C676" s="2">
        <v>250</v>
      </c>
      <c r="D676" s="3">
        <v>3248.89</v>
      </c>
      <c r="E676" s="4" t="s">
        <v>11</v>
      </c>
    </row>
    <row r="677" spans="1:5" x14ac:dyDescent="0.2">
      <c r="A677" s="1">
        <v>44534</v>
      </c>
      <c r="B677" s="2">
        <v>1141</v>
      </c>
      <c r="C677" s="2">
        <v>274</v>
      </c>
      <c r="D677" s="3">
        <v>3971.67</v>
      </c>
      <c r="E677" s="4" t="s">
        <v>12</v>
      </c>
    </row>
    <row r="678" spans="1:5" hidden="1" x14ac:dyDescent="0.2">
      <c r="A678" s="1">
        <v>44535</v>
      </c>
      <c r="B678" s="2">
        <v>1225</v>
      </c>
      <c r="C678" s="2">
        <v>211</v>
      </c>
      <c r="D678" s="3">
        <v>3541.83</v>
      </c>
      <c r="E678" s="4" t="s">
        <v>11</v>
      </c>
    </row>
    <row r="679" spans="1:5" x14ac:dyDescent="0.2">
      <c r="A679" s="1">
        <v>44535</v>
      </c>
      <c r="B679" s="2">
        <v>1193</v>
      </c>
      <c r="C679" s="2">
        <v>277</v>
      </c>
      <c r="D679" s="3">
        <v>5445.61</v>
      </c>
      <c r="E679" s="4" t="s">
        <v>12</v>
      </c>
    </row>
    <row r="680" spans="1:5" hidden="1" x14ac:dyDescent="0.2">
      <c r="A680" s="1">
        <v>44536</v>
      </c>
      <c r="B680" s="2">
        <v>1191</v>
      </c>
      <c r="C680" s="2">
        <v>225</v>
      </c>
      <c r="D680" s="3">
        <v>3207.46</v>
      </c>
      <c r="E680" s="4" t="s">
        <v>11</v>
      </c>
    </row>
    <row r="681" spans="1:5" x14ac:dyDescent="0.2">
      <c r="A681" s="1">
        <v>44536</v>
      </c>
      <c r="B681" s="2">
        <v>1215</v>
      </c>
      <c r="C681" s="2">
        <v>285</v>
      </c>
      <c r="D681" s="3">
        <v>4809.2700000000004</v>
      </c>
      <c r="E681" s="4" t="s">
        <v>12</v>
      </c>
    </row>
    <row r="682" spans="1:5" hidden="1" x14ac:dyDescent="0.2">
      <c r="A682" s="1">
        <v>44537</v>
      </c>
      <c r="B682" s="2">
        <v>1230</v>
      </c>
      <c r="C682" s="2">
        <v>239</v>
      </c>
      <c r="D682" s="3">
        <v>3129.79</v>
      </c>
      <c r="E682" s="4" t="s">
        <v>11</v>
      </c>
    </row>
    <row r="683" spans="1:5" x14ac:dyDescent="0.2">
      <c r="A683" s="1">
        <v>44537</v>
      </c>
      <c r="B683" s="2">
        <v>1178</v>
      </c>
      <c r="C683" s="2">
        <v>286</v>
      </c>
      <c r="D683" s="3">
        <v>4188.76</v>
      </c>
      <c r="E683" s="4" t="s">
        <v>12</v>
      </c>
    </row>
    <row r="684" spans="1:5" hidden="1" x14ac:dyDescent="0.2">
      <c r="A684" s="1">
        <v>44538</v>
      </c>
      <c r="B684" s="2">
        <v>1218</v>
      </c>
      <c r="C684" s="2">
        <v>226</v>
      </c>
      <c r="D684" s="3">
        <v>4143.59</v>
      </c>
      <c r="E684" s="4" t="s">
        <v>11</v>
      </c>
    </row>
    <row r="685" spans="1:5" x14ac:dyDescent="0.2">
      <c r="A685" s="1">
        <v>44538</v>
      </c>
      <c r="B685" s="2">
        <v>1168</v>
      </c>
      <c r="C685" s="2">
        <v>279</v>
      </c>
      <c r="D685" s="3">
        <v>5313.97</v>
      </c>
      <c r="E685" s="4" t="s">
        <v>12</v>
      </c>
    </row>
    <row r="686" spans="1:5" hidden="1" x14ac:dyDescent="0.2">
      <c r="A686" s="1">
        <v>44539</v>
      </c>
      <c r="B686" s="2">
        <v>1229</v>
      </c>
      <c r="C686" s="2">
        <v>215</v>
      </c>
      <c r="D686" s="3">
        <v>3814.33</v>
      </c>
      <c r="E686" s="4" t="s">
        <v>11</v>
      </c>
    </row>
    <row r="687" spans="1:5" x14ac:dyDescent="0.2">
      <c r="A687" s="1">
        <v>44539</v>
      </c>
      <c r="B687" s="2">
        <v>1120</v>
      </c>
      <c r="C687" s="2">
        <v>246</v>
      </c>
      <c r="D687" s="3">
        <v>4278.04</v>
      </c>
      <c r="E687" s="4" t="s">
        <v>12</v>
      </c>
    </row>
    <row r="688" spans="1:5" hidden="1" x14ac:dyDescent="0.2">
      <c r="A688" s="1">
        <v>44540</v>
      </c>
      <c r="B688" s="2">
        <v>1241</v>
      </c>
      <c r="C688" s="2">
        <v>225</v>
      </c>
      <c r="D688" s="3">
        <v>3725.71</v>
      </c>
      <c r="E688" s="4" t="s">
        <v>11</v>
      </c>
    </row>
    <row r="689" spans="1:5" x14ac:dyDescent="0.2">
      <c r="A689" s="1">
        <v>44540</v>
      </c>
      <c r="B689" s="2">
        <v>1133</v>
      </c>
      <c r="C689" s="2">
        <v>258</v>
      </c>
      <c r="D689" s="3">
        <v>4107.87</v>
      </c>
      <c r="E689" s="4" t="s">
        <v>12</v>
      </c>
    </row>
    <row r="690" spans="1:5" hidden="1" x14ac:dyDescent="0.2">
      <c r="A690" s="1">
        <v>44541</v>
      </c>
      <c r="B690" s="2">
        <v>1175</v>
      </c>
      <c r="C690" s="2">
        <v>237</v>
      </c>
      <c r="D690" s="3">
        <v>2948.06</v>
      </c>
      <c r="E690" s="4" t="s">
        <v>11</v>
      </c>
    </row>
    <row r="691" spans="1:5" x14ac:dyDescent="0.2">
      <c r="A691" s="1">
        <v>44541</v>
      </c>
      <c r="B691" s="2">
        <v>1129</v>
      </c>
      <c r="C691" s="2">
        <v>309</v>
      </c>
      <c r="D691" s="3">
        <v>5061.1000000000004</v>
      </c>
      <c r="E691" s="4" t="s">
        <v>12</v>
      </c>
    </row>
    <row r="692" spans="1:5" hidden="1" x14ac:dyDescent="0.2">
      <c r="A692" s="1">
        <v>44542</v>
      </c>
      <c r="B692" s="2">
        <v>1250</v>
      </c>
      <c r="C692" s="2">
        <v>247</v>
      </c>
      <c r="D692" s="3">
        <v>2880.71</v>
      </c>
      <c r="E692" s="4" t="s">
        <v>11</v>
      </c>
    </row>
    <row r="693" spans="1:5" x14ac:dyDescent="0.2">
      <c r="A693" s="1">
        <v>44542</v>
      </c>
      <c r="B693" s="2">
        <v>1207</v>
      </c>
      <c r="C693" s="2">
        <v>263</v>
      </c>
      <c r="D693" s="3">
        <v>4764.8900000000003</v>
      </c>
      <c r="E693" s="4" t="s">
        <v>12</v>
      </c>
    </row>
    <row r="694" spans="1:5" hidden="1" x14ac:dyDescent="0.2">
      <c r="A694" s="1">
        <v>44543</v>
      </c>
      <c r="B694" s="2">
        <v>1179</v>
      </c>
      <c r="C694" s="2">
        <v>236</v>
      </c>
      <c r="D694" s="3">
        <v>3124.14</v>
      </c>
      <c r="E694" s="4" t="s">
        <v>11</v>
      </c>
    </row>
    <row r="695" spans="1:5" x14ac:dyDescent="0.2">
      <c r="A695" s="1">
        <v>44543</v>
      </c>
      <c r="B695" s="2">
        <v>1166</v>
      </c>
      <c r="C695" s="2">
        <v>293</v>
      </c>
      <c r="D695" s="3">
        <v>4270.6400000000003</v>
      </c>
      <c r="E695" s="4" t="s">
        <v>12</v>
      </c>
    </row>
    <row r="696" spans="1:5" hidden="1" x14ac:dyDescent="0.2">
      <c r="A696" s="1">
        <v>44544</v>
      </c>
      <c r="B696" s="2">
        <v>1224</v>
      </c>
      <c r="C696" s="2">
        <v>243</v>
      </c>
      <c r="D696" s="3">
        <v>3757.48</v>
      </c>
      <c r="E696" s="4" t="s">
        <v>11</v>
      </c>
    </row>
    <row r="697" spans="1:5" x14ac:dyDescent="0.2">
      <c r="A697" s="1">
        <v>44544</v>
      </c>
      <c r="B697" s="2">
        <v>1099</v>
      </c>
      <c r="C697" s="2">
        <v>258</v>
      </c>
      <c r="D697" s="3">
        <v>4461.59</v>
      </c>
      <c r="E697" s="4" t="s">
        <v>12</v>
      </c>
    </row>
    <row r="698" spans="1:5" hidden="1" x14ac:dyDescent="0.2">
      <c r="A698" s="1">
        <v>44545</v>
      </c>
      <c r="B698" s="2">
        <v>1222</v>
      </c>
      <c r="C698" s="2">
        <v>242</v>
      </c>
      <c r="D698" s="3">
        <v>4196.38</v>
      </c>
      <c r="E698" s="4" t="s">
        <v>11</v>
      </c>
    </row>
    <row r="699" spans="1:5" x14ac:dyDescent="0.2">
      <c r="A699" s="1">
        <v>44545</v>
      </c>
      <c r="B699" s="2">
        <v>1235</v>
      </c>
      <c r="C699" s="2">
        <v>304</v>
      </c>
      <c r="D699" s="3">
        <v>4945.6499999999996</v>
      </c>
      <c r="E699" s="4" t="s">
        <v>12</v>
      </c>
    </row>
    <row r="700" spans="1:5" hidden="1" x14ac:dyDescent="0.2">
      <c r="A700" s="1">
        <v>44546</v>
      </c>
      <c r="B700" s="2">
        <v>1205</v>
      </c>
      <c r="C700" s="2">
        <v>244</v>
      </c>
      <c r="D700" s="3">
        <v>3498.9</v>
      </c>
      <c r="E700" s="4" t="s">
        <v>11</v>
      </c>
    </row>
    <row r="701" spans="1:5" x14ac:dyDescent="0.2">
      <c r="A701" s="1">
        <v>44546</v>
      </c>
      <c r="B701" s="2">
        <v>1131</v>
      </c>
      <c r="C701" s="2">
        <v>240</v>
      </c>
      <c r="D701" s="3">
        <v>3738.4</v>
      </c>
      <c r="E701" s="4" t="s">
        <v>12</v>
      </c>
    </row>
    <row r="702" spans="1:5" hidden="1" x14ac:dyDescent="0.2">
      <c r="A702" s="1">
        <v>44547</v>
      </c>
      <c r="B702" s="2">
        <v>1194</v>
      </c>
      <c r="C702" s="2">
        <v>229</v>
      </c>
      <c r="D702" s="3">
        <v>2882.18</v>
      </c>
      <c r="E702" s="4" t="s">
        <v>11</v>
      </c>
    </row>
    <row r="703" spans="1:5" x14ac:dyDescent="0.2">
      <c r="A703" s="1">
        <v>44547</v>
      </c>
      <c r="B703" s="2">
        <v>1140</v>
      </c>
      <c r="C703" s="2">
        <v>240</v>
      </c>
      <c r="D703" s="3">
        <v>3323.85</v>
      </c>
      <c r="E703" s="4" t="s">
        <v>12</v>
      </c>
    </row>
    <row r="704" spans="1:5" hidden="1" x14ac:dyDescent="0.2">
      <c r="A704" s="1">
        <v>44548</v>
      </c>
      <c r="B704" s="2">
        <v>1156</v>
      </c>
      <c r="C704" s="2">
        <v>209</v>
      </c>
      <c r="D704" s="3">
        <v>3595.14</v>
      </c>
      <c r="E704" s="4" t="s">
        <v>11</v>
      </c>
    </row>
    <row r="705" spans="1:5" x14ac:dyDescent="0.2">
      <c r="A705" s="1">
        <v>44548</v>
      </c>
      <c r="B705" s="2">
        <v>1176</v>
      </c>
      <c r="C705" s="2">
        <v>271</v>
      </c>
      <c r="D705" s="3">
        <v>4911.26</v>
      </c>
      <c r="E705" s="4" t="s">
        <v>12</v>
      </c>
    </row>
    <row r="706" spans="1:5" hidden="1" x14ac:dyDescent="0.2">
      <c r="A706" s="1">
        <v>44549</v>
      </c>
      <c r="B706" s="2">
        <v>1212</v>
      </c>
      <c r="C706" s="2">
        <v>224</v>
      </c>
      <c r="D706" s="3">
        <v>4294.55</v>
      </c>
      <c r="E706" s="4" t="s">
        <v>11</v>
      </c>
    </row>
    <row r="707" spans="1:5" x14ac:dyDescent="0.2">
      <c r="A707" s="1">
        <v>44549</v>
      </c>
      <c r="B707" s="2">
        <v>1190</v>
      </c>
      <c r="C707" s="2">
        <v>251</v>
      </c>
      <c r="D707" s="3">
        <v>3506.59</v>
      </c>
      <c r="E707" s="4" t="s">
        <v>12</v>
      </c>
    </row>
    <row r="708" spans="1:5" hidden="1" x14ac:dyDescent="0.2">
      <c r="A708" s="1">
        <v>44550</v>
      </c>
      <c r="B708" s="2">
        <v>1150</v>
      </c>
      <c r="C708" s="2">
        <v>228</v>
      </c>
      <c r="D708" s="3">
        <v>3509.44</v>
      </c>
      <c r="E708" s="4" t="s">
        <v>11</v>
      </c>
    </row>
    <row r="709" spans="1:5" x14ac:dyDescent="0.2">
      <c r="A709" s="1">
        <v>44550</v>
      </c>
      <c r="B709" s="2">
        <v>1154</v>
      </c>
      <c r="C709" s="2">
        <v>269</v>
      </c>
      <c r="D709" s="3">
        <v>3817.61</v>
      </c>
      <c r="E709" s="4" t="s">
        <v>12</v>
      </c>
    </row>
    <row r="710" spans="1:5" hidden="1" x14ac:dyDescent="0.2">
      <c r="A710" s="1">
        <v>44551</v>
      </c>
      <c r="B710" s="2">
        <v>1112</v>
      </c>
      <c r="C710" s="2">
        <v>196</v>
      </c>
      <c r="D710" s="3">
        <v>3298.2</v>
      </c>
      <c r="E710" s="4" t="s">
        <v>11</v>
      </c>
    </row>
    <row r="711" spans="1:5" x14ac:dyDescent="0.2">
      <c r="A711" s="1">
        <v>44551</v>
      </c>
      <c r="B711" s="2">
        <v>1201</v>
      </c>
      <c r="C711" s="2">
        <v>280</v>
      </c>
      <c r="D711" s="3">
        <v>3614.39</v>
      </c>
      <c r="E711" s="4" t="s">
        <v>12</v>
      </c>
    </row>
    <row r="712" spans="1:5" hidden="1" x14ac:dyDescent="0.2">
      <c r="A712" s="1">
        <v>44552</v>
      </c>
      <c r="B712" s="2">
        <v>1186</v>
      </c>
      <c r="C712" s="2">
        <v>239</v>
      </c>
      <c r="D712" s="3">
        <v>3825.33</v>
      </c>
      <c r="E712" s="4" t="s">
        <v>11</v>
      </c>
    </row>
    <row r="713" spans="1:5" x14ac:dyDescent="0.2">
      <c r="A713" s="1">
        <v>44552</v>
      </c>
      <c r="B713" s="2">
        <v>1136</v>
      </c>
      <c r="C713" s="2">
        <v>253</v>
      </c>
      <c r="D713" s="3">
        <v>4956.96</v>
      </c>
      <c r="E713" s="4" t="s">
        <v>12</v>
      </c>
    </row>
    <row r="714" spans="1:5" hidden="1" x14ac:dyDescent="0.2">
      <c r="A714" s="1">
        <v>44553</v>
      </c>
      <c r="B714" s="2">
        <v>1127</v>
      </c>
      <c r="C714" s="2">
        <v>200</v>
      </c>
      <c r="D714" s="3">
        <v>2614.12</v>
      </c>
      <c r="E714" s="4" t="s">
        <v>11</v>
      </c>
    </row>
    <row r="715" spans="1:5" x14ac:dyDescent="0.2">
      <c r="A715" s="1">
        <v>44553</v>
      </c>
      <c r="B715" s="2">
        <v>1177</v>
      </c>
      <c r="C715" s="2">
        <v>261</v>
      </c>
      <c r="D715" s="3">
        <v>5026.0600000000004</v>
      </c>
      <c r="E715" s="4" t="s">
        <v>12</v>
      </c>
    </row>
    <row r="716" spans="1:5" hidden="1" x14ac:dyDescent="0.2">
      <c r="A716" s="1">
        <v>44554</v>
      </c>
      <c r="B716" s="2">
        <v>1174</v>
      </c>
      <c r="C716" s="2">
        <v>222</v>
      </c>
      <c r="D716" s="3">
        <v>3066.35</v>
      </c>
      <c r="E716" s="4" t="s">
        <v>11</v>
      </c>
    </row>
    <row r="717" spans="1:5" x14ac:dyDescent="0.2">
      <c r="A717" s="1">
        <v>44554</v>
      </c>
      <c r="B717" s="2">
        <v>1134</v>
      </c>
      <c r="C717" s="2">
        <v>250</v>
      </c>
      <c r="D717" s="3">
        <v>3917.18</v>
      </c>
      <c r="E717" s="4" t="s">
        <v>12</v>
      </c>
    </row>
    <row r="718" spans="1:5" hidden="1" x14ac:dyDescent="0.2">
      <c r="A718" s="1">
        <v>44555</v>
      </c>
      <c r="B718" s="2">
        <v>1185</v>
      </c>
      <c r="C718" s="2">
        <v>207</v>
      </c>
      <c r="D718" s="3">
        <v>2362.33</v>
      </c>
      <c r="E718" s="4" t="s">
        <v>11</v>
      </c>
    </row>
    <row r="719" spans="1:5" x14ac:dyDescent="0.2">
      <c r="A719" s="1">
        <v>44555</v>
      </c>
      <c r="B719" s="2">
        <v>1166</v>
      </c>
      <c r="C719" s="2">
        <v>294</v>
      </c>
      <c r="D719" s="3">
        <v>3907</v>
      </c>
      <c r="E719" s="4" t="s">
        <v>12</v>
      </c>
    </row>
    <row r="720" spans="1:5" hidden="1" x14ac:dyDescent="0.2">
      <c r="A720" s="1">
        <v>44556</v>
      </c>
      <c r="B720" s="2">
        <v>1215</v>
      </c>
      <c r="C720" s="2">
        <v>225</v>
      </c>
      <c r="D720" s="3">
        <v>4027.92</v>
      </c>
      <c r="E720" s="4" t="s">
        <v>11</v>
      </c>
    </row>
    <row r="721" spans="1:5" x14ac:dyDescent="0.2">
      <c r="A721" s="1">
        <v>44556</v>
      </c>
      <c r="B721" s="2">
        <v>1140</v>
      </c>
      <c r="C721" s="2">
        <v>257</v>
      </c>
      <c r="D721" s="3">
        <v>5040.8999999999996</v>
      </c>
      <c r="E721" s="4" t="s">
        <v>12</v>
      </c>
    </row>
    <row r="722" spans="1:5" hidden="1" x14ac:dyDescent="0.2">
      <c r="A722" s="1">
        <v>44557</v>
      </c>
      <c r="B722" s="2">
        <v>1161</v>
      </c>
      <c r="C722" s="2">
        <v>227</v>
      </c>
      <c r="D722" s="3">
        <v>4387.9399999999996</v>
      </c>
      <c r="E722" s="4" t="s">
        <v>11</v>
      </c>
    </row>
    <row r="723" spans="1:5" x14ac:dyDescent="0.2">
      <c r="A723" s="1">
        <v>44557</v>
      </c>
      <c r="B723" s="2">
        <v>1194</v>
      </c>
      <c r="C723" s="2">
        <v>266</v>
      </c>
      <c r="D723" s="3">
        <v>4889.37</v>
      </c>
      <c r="E723" s="4" t="s">
        <v>12</v>
      </c>
    </row>
    <row r="724" spans="1:5" hidden="1" x14ac:dyDescent="0.2">
      <c r="A724" s="1">
        <v>44558</v>
      </c>
      <c r="B724" s="2">
        <v>1204</v>
      </c>
      <c r="C724" s="2">
        <v>227</v>
      </c>
      <c r="D724" s="3">
        <v>2689.04</v>
      </c>
      <c r="E724" s="4" t="s">
        <v>11</v>
      </c>
    </row>
    <row r="725" spans="1:5" x14ac:dyDescent="0.2">
      <c r="A725" s="1">
        <v>44558</v>
      </c>
      <c r="B725" s="2">
        <v>1109</v>
      </c>
      <c r="C725" s="2">
        <v>257</v>
      </c>
      <c r="D725" s="3">
        <v>3699.35</v>
      </c>
      <c r="E725" s="4" t="s">
        <v>12</v>
      </c>
    </row>
    <row r="726" spans="1:5" hidden="1" x14ac:dyDescent="0.2">
      <c r="A726" s="1">
        <v>44559</v>
      </c>
      <c r="B726" s="2">
        <v>1141</v>
      </c>
      <c r="C726" s="2">
        <v>225</v>
      </c>
      <c r="D726" s="3">
        <v>4397.1499999999996</v>
      </c>
      <c r="E726" s="4" t="s">
        <v>11</v>
      </c>
    </row>
    <row r="727" spans="1:5" x14ac:dyDescent="0.2">
      <c r="A727" s="1">
        <v>44559</v>
      </c>
      <c r="B727" s="2">
        <v>1186</v>
      </c>
      <c r="C727" s="2">
        <v>258</v>
      </c>
      <c r="D727" s="3">
        <v>3919.33</v>
      </c>
      <c r="E727" s="4" t="s">
        <v>12</v>
      </c>
    </row>
    <row r="728" spans="1:5" hidden="1" x14ac:dyDescent="0.2">
      <c r="A728" s="1">
        <v>44560</v>
      </c>
      <c r="B728" s="2">
        <v>1154</v>
      </c>
      <c r="C728" s="2">
        <v>257</v>
      </c>
      <c r="D728" s="3">
        <v>4079.09</v>
      </c>
      <c r="E728" s="4" t="s">
        <v>11</v>
      </c>
    </row>
    <row r="729" spans="1:5" x14ac:dyDescent="0.2">
      <c r="A729" s="1">
        <v>44560</v>
      </c>
      <c r="B729" s="2">
        <v>1158</v>
      </c>
      <c r="C729" s="2">
        <v>242</v>
      </c>
      <c r="D729" s="3">
        <v>2646.39</v>
      </c>
      <c r="E729" s="4" t="s">
        <v>12</v>
      </c>
    </row>
    <row r="730" spans="1:5" hidden="1" x14ac:dyDescent="0.2">
      <c r="A730" s="1">
        <v>44561</v>
      </c>
      <c r="B730" s="2">
        <v>1143</v>
      </c>
      <c r="C730" s="2">
        <v>225</v>
      </c>
      <c r="D730" s="3">
        <v>4271.2</v>
      </c>
      <c r="E730" s="4" t="s">
        <v>11</v>
      </c>
    </row>
    <row r="731" spans="1:5" x14ac:dyDescent="0.2">
      <c r="A731" s="1">
        <v>44561</v>
      </c>
      <c r="B731" s="2">
        <v>1138</v>
      </c>
      <c r="C731" s="2">
        <v>261</v>
      </c>
      <c r="D731" s="3">
        <v>3741.66</v>
      </c>
      <c r="E731" s="4" t="s">
        <v>12</v>
      </c>
    </row>
    <row r="732" spans="1:5" hidden="1" x14ac:dyDescent="0.2">
      <c r="A732" s="1">
        <v>44562</v>
      </c>
      <c r="B732" s="2">
        <v>1188</v>
      </c>
      <c r="C732" s="2">
        <v>241</v>
      </c>
      <c r="D732" s="3">
        <v>3820.26</v>
      </c>
      <c r="E732" s="4" t="s">
        <v>11</v>
      </c>
    </row>
    <row r="733" spans="1:5" x14ac:dyDescent="0.2">
      <c r="A733" s="1">
        <v>44562</v>
      </c>
      <c r="B733" s="2">
        <v>1158</v>
      </c>
      <c r="C733" s="2">
        <v>273</v>
      </c>
      <c r="D733" s="3">
        <v>4596.34</v>
      </c>
      <c r="E733" s="4" t="s">
        <v>12</v>
      </c>
    </row>
    <row r="734" spans="1:5" hidden="1" x14ac:dyDescent="0.2">
      <c r="A734" s="1">
        <v>44563</v>
      </c>
      <c r="B734" s="2">
        <v>1231</v>
      </c>
      <c r="C734" s="2">
        <v>226</v>
      </c>
      <c r="D734" s="3">
        <v>4417.1400000000003</v>
      </c>
      <c r="E734" s="4" t="s">
        <v>11</v>
      </c>
    </row>
    <row r="735" spans="1:5" x14ac:dyDescent="0.2">
      <c r="A735" s="1">
        <v>44563</v>
      </c>
      <c r="B735" s="2">
        <v>1120</v>
      </c>
      <c r="C735" s="2">
        <v>276</v>
      </c>
      <c r="D735" s="3">
        <v>4906.75</v>
      </c>
      <c r="E735" s="4" t="s">
        <v>12</v>
      </c>
    </row>
    <row r="736" spans="1:5" hidden="1" x14ac:dyDescent="0.2">
      <c r="A736" s="1">
        <v>44564</v>
      </c>
      <c r="B736" s="2">
        <v>1129</v>
      </c>
      <c r="C736" s="2">
        <v>206</v>
      </c>
      <c r="D736" s="3">
        <v>3044.06</v>
      </c>
      <c r="E736" s="4" t="s">
        <v>11</v>
      </c>
    </row>
    <row r="737" spans="1:5" x14ac:dyDescent="0.2">
      <c r="A737" s="1">
        <v>44564</v>
      </c>
      <c r="B737" s="2">
        <v>1112</v>
      </c>
      <c r="C737" s="2">
        <v>253</v>
      </c>
      <c r="D737" s="3">
        <v>3640.69</v>
      </c>
      <c r="E737" s="4" t="s">
        <v>12</v>
      </c>
    </row>
    <row r="738" spans="1:5" hidden="1" x14ac:dyDescent="0.2">
      <c r="A738" s="1">
        <v>44565</v>
      </c>
      <c r="B738" s="2">
        <v>1123</v>
      </c>
      <c r="C738" s="2">
        <v>221</v>
      </c>
      <c r="D738" s="3">
        <v>3796.24</v>
      </c>
      <c r="E738" s="4" t="s">
        <v>11</v>
      </c>
    </row>
    <row r="739" spans="1:5" x14ac:dyDescent="0.2">
      <c r="A739" s="1">
        <v>44565</v>
      </c>
      <c r="B739" s="2">
        <v>1109</v>
      </c>
      <c r="C739" s="2">
        <v>256</v>
      </c>
      <c r="D739" s="3">
        <v>3903.33</v>
      </c>
      <c r="E739" s="4" t="s">
        <v>12</v>
      </c>
    </row>
    <row r="740" spans="1:5" hidden="1" x14ac:dyDescent="0.2">
      <c r="A740" s="1">
        <v>44566</v>
      </c>
      <c r="B740" s="2">
        <v>1207</v>
      </c>
      <c r="C740" s="2">
        <v>232</v>
      </c>
      <c r="D740" s="3">
        <v>3561.33</v>
      </c>
      <c r="E740" s="4" t="s">
        <v>11</v>
      </c>
    </row>
    <row r="741" spans="1:5" x14ac:dyDescent="0.2">
      <c r="A741" s="1">
        <v>44566</v>
      </c>
      <c r="B741" s="2">
        <v>1164</v>
      </c>
      <c r="C741" s="2">
        <v>238</v>
      </c>
      <c r="D741" s="3">
        <v>3171.72</v>
      </c>
      <c r="E741" s="4" t="s">
        <v>12</v>
      </c>
    </row>
    <row r="742" spans="1:5" hidden="1" x14ac:dyDescent="0.2">
      <c r="A742" s="1">
        <v>44567</v>
      </c>
      <c r="B742" s="2">
        <v>1179</v>
      </c>
      <c r="C742" s="2">
        <v>228</v>
      </c>
      <c r="D742" s="3">
        <v>3443.83</v>
      </c>
      <c r="E742" s="4" t="s">
        <v>11</v>
      </c>
    </row>
    <row r="743" spans="1:5" x14ac:dyDescent="0.2">
      <c r="A743" s="1">
        <v>44567</v>
      </c>
      <c r="B743" s="2">
        <v>1124</v>
      </c>
      <c r="C743" s="2">
        <v>288</v>
      </c>
      <c r="D743" s="3">
        <v>3997.09</v>
      </c>
      <c r="E743" s="4" t="s">
        <v>12</v>
      </c>
    </row>
    <row r="744" spans="1:5" hidden="1" x14ac:dyDescent="0.2">
      <c r="A744" s="1">
        <v>44568</v>
      </c>
      <c r="B744" s="2">
        <v>1277</v>
      </c>
      <c r="C744" s="2">
        <v>243</v>
      </c>
      <c r="D744" s="3">
        <v>4205.6400000000003</v>
      </c>
      <c r="E744" s="4" t="s">
        <v>11</v>
      </c>
    </row>
    <row r="745" spans="1:5" x14ac:dyDescent="0.2">
      <c r="A745" s="1">
        <v>44568</v>
      </c>
      <c r="B745" s="2">
        <v>1141</v>
      </c>
      <c r="C745" s="2">
        <v>279</v>
      </c>
      <c r="D745" s="3">
        <v>5237.58</v>
      </c>
      <c r="E745" s="4" t="s">
        <v>12</v>
      </c>
    </row>
    <row r="746" spans="1:5" hidden="1" x14ac:dyDescent="0.2">
      <c r="A746" s="1">
        <v>44569</v>
      </c>
      <c r="B746" s="2">
        <v>1183</v>
      </c>
      <c r="C746" s="2">
        <v>204</v>
      </c>
      <c r="D746" s="3">
        <v>3684.32</v>
      </c>
      <c r="E746" s="4" t="s">
        <v>11</v>
      </c>
    </row>
    <row r="747" spans="1:5" x14ac:dyDescent="0.2">
      <c r="A747" s="1">
        <v>44569</v>
      </c>
      <c r="B747" s="2">
        <v>1131</v>
      </c>
      <c r="C747" s="2">
        <v>267</v>
      </c>
      <c r="D747" s="3">
        <v>4627.07</v>
      </c>
      <c r="E747" s="4" t="s">
        <v>12</v>
      </c>
    </row>
    <row r="748" spans="1:5" hidden="1" x14ac:dyDescent="0.2">
      <c r="A748" s="1">
        <v>44570</v>
      </c>
      <c r="B748" s="2">
        <v>1164</v>
      </c>
      <c r="C748" s="2">
        <v>216</v>
      </c>
      <c r="D748" s="3">
        <v>3160.88</v>
      </c>
      <c r="E748" s="4" t="s">
        <v>11</v>
      </c>
    </row>
    <row r="749" spans="1:5" x14ac:dyDescent="0.2">
      <c r="A749" s="1">
        <v>44570</v>
      </c>
      <c r="B749" s="2">
        <v>1135</v>
      </c>
      <c r="C749" s="2">
        <v>259</v>
      </c>
      <c r="D749" s="3">
        <v>3959.24</v>
      </c>
      <c r="E749" s="4" t="s">
        <v>12</v>
      </c>
    </row>
    <row r="750" spans="1:5" hidden="1" x14ac:dyDescent="0.2">
      <c r="A750" s="1">
        <v>44571</v>
      </c>
      <c r="B750" s="2">
        <v>1191</v>
      </c>
      <c r="C750" s="2">
        <v>213</v>
      </c>
      <c r="D750" s="3">
        <v>3715.07</v>
      </c>
      <c r="E750" s="4" t="s">
        <v>11</v>
      </c>
    </row>
    <row r="751" spans="1:5" x14ac:dyDescent="0.2">
      <c r="A751" s="1">
        <v>44571</v>
      </c>
      <c r="B751" s="2">
        <v>1142</v>
      </c>
      <c r="C751" s="2">
        <v>270</v>
      </c>
      <c r="D751" s="3">
        <v>3846.54</v>
      </c>
      <c r="E751" s="4" t="s">
        <v>12</v>
      </c>
    </row>
    <row r="752" spans="1:5" hidden="1" x14ac:dyDescent="0.2">
      <c r="A752" s="1">
        <v>44572</v>
      </c>
      <c r="B752" s="2">
        <v>1244</v>
      </c>
      <c r="C752" s="2">
        <v>218</v>
      </c>
      <c r="D752" s="3">
        <v>3827.87</v>
      </c>
      <c r="E752" s="4" t="s">
        <v>11</v>
      </c>
    </row>
    <row r="753" spans="1:5" x14ac:dyDescent="0.2">
      <c r="A753" s="1">
        <v>44572</v>
      </c>
      <c r="B753" s="2">
        <v>1140</v>
      </c>
      <c r="C753" s="2">
        <v>239</v>
      </c>
      <c r="D753" s="3">
        <v>2764.36</v>
      </c>
      <c r="E753" s="4" t="s">
        <v>12</v>
      </c>
    </row>
    <row r="754" spans="1:5" hidden="1" x14ac:dyDescent="0.2">
      <c r="A754" s="1">
        <v>44573</v>
      </c>
      <c r="B754" s="2">
        <v>1156</v>
      </c>
      <c r="C754" s="2">
        <v>218</v>
      </c>
      <c r="D754" s="3">
        <v>3183.7</v>
      </c>
      <c r="E754" s="4" t="s">
        <v>11</v>
      </c>
    </row>
    <row r="755" spans="1:5" x14ac:dyDescent="0.2">
      <c r="A755" s="1">
        <v>44573</v>
      </c>
      <c r="B755" s="2">
        <v>1142</v>
      </c>
      <c r="C755" s="2">
        <v>271</v>
      </c>
      <c r="D755" s="3">
        <v>5456.81</v>
      </c>
      <c r="E755" s="4" t="s">
        <v>12</v>
      </c>
    </row>
    <row r="756" spans="1:5" hidden="1" x14ac:dyDescent="0.2">
      <c r="A756" s="1">
        <v>44574</v>
      </c>
      <c r="B756" s="2">
        <v>1161</v>
      </c>
      <c r="C756" s="2">
        <v>228</v>
      </c>
      <c r="D756" s="3">
        <v>3729.6</v>
      </c>
      <c r="E756" s="4" t="s">
        <v>11</v>
      </c>
    </row>
    <row r="757" spans="1:5" x14ac:dyDescent="0.2">
      <c r="A757" s="1">
        <v>44574</v>
      </c>
      <c r="B757" s="2">
        <v>1180</v>
      </c>
      <c r="C757" s="2">
        <v>262</v>
      </c>
      <c r="D757" s="3">
        <v>3766.3</v>
      </c>
      <c r="E757" s="4" t="s">
        <v>12</v>
      </c>
    </row>
    <row r="758" spans="1:5" hidden="1" x14ac:dyDescent="0.2">
      <c r="A758" s="1">
        <v>44575</v>
      </c>
      <c r="B758" s="2">
        <v>1207</v>
      </c>
      <c r="C758" s="2">
        <v>220</v>
      </c>
      <c r="D758" s="3">
        <v>2810.9</v>
      </c>
      <c r="E758" s="4" t="s">
        <v>11</v>
      </c>
    </row>
    <row r="759" spans="1:5" x14ac:dyDescent="0.2">
      <c r="A759" s="1">
        <v>44575</v>
      </c>
      <c r="B759" s="2">
        <v>1125</v>
      </c>
      <c r="C759" s="2">
        <v>269</v>
      </c>
      <c r="D759" s="3">
        <v>4284.7299999999996</v>
      </c>
      <c r="E759" s="4" t="s">
        <v>12</v>
      </c>
    </row>
    <row r="760" spans="1:5" hidden="1" x14ac:dyDescent="0.2">
      <c r="A760" s="1">
        <v>44576</v>
      </c>
      <c r="B760" s="2">
        <v>1178</v>
      </c>
      <c r="C760" s="2">
        <v>236</v>
      </c>
      <c r="D760" s="3">
        <v>3842.34</v>
      </c>
      <c r="E760" s="4" t="s">
        <v>11</v>
      </c>
    </row>
    <row r="761" spans="1:5" x14ac:dyDescent="0.2">
      <c r="A761" s="1">
        <v>44576</v>
      </c>
      <c r="B761" s="2">
        <v>1114</v>
      </c>
      <c r="C761" s="2">
        <v>243</v>
      </c>
      <c r="D761" s="3">
        <v>3947.82</v>
      </c>
      <c r="E761" s="4" t="s">
        <v>12</v>
      </c>
    </row>
    <row r="762" spans="1:5" hidden="1" x14ac:dyDescent="0.2">
      <c r="A762" s="1">
        <v>44577</v>
      </c>
      <c r="B762" s="2">
        <v>1205</v>
      </c>
      <c r="C762" s="2">
        <v>227</v>
      </c>
      <c r="D762" s="3">
        <v>3509</v>
      </c>
      <c r="E762" s="4" t="s">
        <v>11</v>
      </c>
    </row>
    <row r="763" spans="1:5" x14ac:dyDescent="0.2">
      <c r="A763" s="1">
        <v>44577</v>
      </c>
      <c r="B763" s="2">
        <v>1199</v>
      </c>
      <c r="C763" s="2">
        <v>279</v>
      </c>
      <c r="D763" s="3">
        <v>5063.47</v>
      </c>
      <c r="E763" s="4" t="s">
        <v>12</v>
      </c>
    </row>
    <row r="764" spans="1:5" hidden="1" x14ac:dyDescent="0.2">
      <c r="A764" s="1">
        <v>44578</v>
      </c>
      <c r="B764" s="2">
        <v>1226</v>
      </c>
      <c r="C764" s="2">
        <v>252</v>
      </c>
      <c r="D764" s="3">
        <v>3360.69</v>
      </c>
      <c r="E764" s="4" t="s">
        <v>11</v>
      </c>
    </row>
    <row r="765" spans="1:5" x14ac:dyDescent="0.2">
      <c r="A765" s="1">
        <v>44578</v>
      </c>
      <c r="B765" s="2">
        <v>1124</v>
      </c>
      <c r="C765" s="2">
        <v>265</v>
      </c>
      <c r="D765" s="3">
        <v>3901.71</v>
      </c>
      <c r="E765" s="4" t="s">
        <v>12</v>
      </c>
    </row>
    <row r="766" spans="1:5" hidden="1" x14ac:dyDescent="0.2">
      <c r="A766" s="1">
        <v>44579</v>
      </c>
      <c r="B766" s="2">
        <v>1193</v>
      </c>
      <c r="C766" s="2">
        <v>227</v>
      </c>
      <c r="D766" s="3">
        <v>3437.35</v>
      </c>
      <c r="E766" s="4" t="s">
        <v>11</v>
      </c>
    </row>
    <row r="767" spans="1:5" x14ac:dyDescent="0.2">
      <c r="A767" s="1">
        <v>44579</v>
      </c>
      <c r="B767" s="2">
        <v>1120</v>
      </c>
      <c r="C767" s="2">
        <v>252</v>
      </c>
      <c r="D767" s="3">
        <v>3380.07</v>
      </c>
      <c r="E767" s="4" t="s">
        <v>12</v>
      </c>
    </row>
    <row r="768" spans="1:5" hidden="1" x14ac:dyDescent="0.2">
      <c r="A768" s="1">
        <v>44580</v>
      </c>
      <c r="B768" s="2">
        <v>1217</v>
      </c>
      <c r="C768" s="2">
        <v>214</v>
      </c>
      <c r="D768" s="3">
        <v>4195.96</v>
      </c>
      <c r="E768" s="4" t="s">
        <v>11</v>
      </c>
    </row>
    <row r="769" spans="1:5" x14ac:dyDescent="0.2">
      <c r="A769" s="1">
        <v>44580</v>
      </c>
      <c r="B769" s="2">
        <v>1166</v>
      </c>
      <c r="C769" s="2">
        <v>239</v>
      </c>
      <c r="D769" s="3">
        <v>3116.83</v>
      </c>
      <c r="E769" s="4" t="s">
        <v>12</v>
      </c>
    </row>
    <row r="770" spans="1:5" hidden="1" x14ac:dyDescent="0.2">
      <c r="A770" s="1">
        <v>44581</v>
      </c>
      <c r="B770" s="2">
        <v>1223</v>
      </c>
      <c r="C770" s="2">
        <v>250</v>
      </c>
      <c r="D770" s="3">
        <v>3918.07</v>
      </c>
      <c r="E770" s="4" t="s">
        <v>11</v>
      </c>
    </row>
    <row r="771" spans="1:5" x14ac:dyDescent="0.2">
      <c r="A771" s="1">
        <v>44581</v>
      </c>
      <c r="B771" s="2">
        <v>1125</v>
      </c>
      <c r="C771" s="2">
        <v>240</v>
      </c>
      <c r="D771" s="3">
        <v>3730.81</v>
      </c>
      <c r="E771" s="4" t="s">
        <v>12</v>
      </c>
    </row>
    <row r="772" spans="1:5" hidden="1" x14ac:dyDescent="0.2">
      <c r="A772" s="1">
        <v>44582</v>
      </c>
      <c r="B772" s="2">
        <v>1200</v>
      </c>
      <c r="C772" s="2">
        <v>218</v>
      </c>
      <c r="D772" s="3">
        <v>2929.98</v>
      </c>
      <c r="E772" s="4" t="s">
        <v>11</v>
      </c>
    </row>
    <row r="773" spans="1:5" x14ac:dyDescent="0.2">
      <c r="A773" s="1">
        <v>44582</v>
      </c>
      <c r="B773" s="2">
        <v>1141</v>
      </c>
      <c r="C773" s="2">
        <v>293</v>
      </c>
      <c r="D773" s="3">
        <v>5322.04</v>
      </c>
      <c r="E773" s="4" t="s">
        <v>12</v>
      </c>
    </row>
    <row r="774" spans="1:5" hidden="1" x14ac:dyDescent="0.2">
      <c r="A774" s="1">
        <v>44583</v>
      </c>
      <c r="B774" s="2">
        <v>1267</v>
      </c>
      <c r="C774" s="2">
        <v>253</v>
      </c>
      <c r="D774" s="3">
        <v>4399.55</v>
      </c>
      <c r="E774" s="4" t="s">
        <v>11</v>
      </c>
    </row>
    <row r="775" spans="1:5" x14ac:dyDescent="0.2">
      <c r="A775" s="1">
        <v>44583</v>
      </c>
      <c r="B775" s="2">
        <v>1157</v>
      </c>
      <c r="C775" s="2">
        <v>279</v>
      </c>
      <c r="D775" s="3">
        <v>4963.21</v>
      </c>
      <c r="E775" s="4" t="s">
        <v>12</v>
      </c>
    </row>
    <row r="776" spans="1:5" hidden="1" x14ac:dyDescent="0.2">
      <c r="A776" s="1">
        <v>44584</v>
      </c>
      <c r="B776" s="2">
        <v>1193</v>
      </c>
      <c r="C776" s="2">
        <v>219</v>
      </c>
      <c r="D776" s="3">
        <v>2609.25</v>
      </c>
      <c r="E776" s="4" t="s">
        <v>11</v>
      </c>
    </row>
    <row r="777" spans="1:5" x14ac:dyDescent="0.2">
      <c r="A777" s="1">
        <v>44584</v>
      </c>
      <c r="B777" s="2">
        <v>1117</v>
      </c>
      <c r="C777" s="2">
        <v>281</v>
      </c>
      <c r="D777" s="3">
        <v>4140.3900000000003</v>
      </c>
      <c r="E777" s="4" t="s">
        <v>12</v>
      </c>
    </row>
    <row r="778" spans="1:5" hidden="1" x14ac:dyDescent="0.2">
      <c r="A778" s="1">
        <v>44585</v>
      </c>
      <c r="B778" s="2">
        <v>1227</v>
      </c>
      <c r="C778" s="2">
        <v>245</v>
      </c>
      <c r="D778" s="3">
        <v>3614.37</v>
      </c>
      <c r="E778" s="4" t="s">
        <v>11</v>
      </c>
    </row>
    <row r="779" spans="1:5" x14ac:dyDescent="0.2">
      <c r="A779" s="1">
        <v>44585</v>
      </c>
      <c r="B779" s="2">
        <v>1134</v>
      </c>
      <c r="C779" s="2">
        <v>278</v>
      </c>
      <c r="D779" s="3">
        <v>4702.54</v>
      </c>
      <c r="E779" s="4" t="s">
        <v>12</v>
      </c>
    </row>
    <row r="780" spans="1:5" hidden="1" x14ac:dyDescent="0.2">
      <c r="A780" s="1">
        <v>44586</v>
      </c>
      <c r="B780" s="2">
        <v>1173</v>
      </c>
      <c r="C780" s="2">
        <v>213</v>
      </c>
      <c r="D780" s="3">
        <v>3368.83</v>
      </c>
      <c r="E780" s="4" t="s">
        <v>11</v>
      </c>
    </row>
    <row r="781" spans="1:5" x14ac:dyDescent="0.2">
      <c r="A781" s="1">
        <v>44586</v>
      </c>
      <c r="B781" s="2">
        <v>1109</v>
      </c>
      <c r="C781" s="2">
        <v>225</v>
      </c>
      <c r="D781" s="3">
        <v>3847.86</v>
      </c>
      <c r="E781" s="4" t="s">
        <v>12</v>
      </c>
    </row>
    <row r="782" spans="1:5" hidden="1" x14ac:dyDescent="0.2">
      <c r="A782" s="1">
        <v>44587</v>
      </c>
      <c r="B782" s="2">
        <v>1183</v>
      </c>
      <c r="C782" s="2">
        <v>200</v>
      </c>
      <c r="D782" s="3">
        <v>2855.98</v>
      </c>
      <c r="E782" s="4" t="s">
        <v>11</v>
      </c>
    </row>
    <row r="783" spans="1:5" x14ac:dyDescent="0.2">
      <c r="A783" s="1">
        <v>44587</v>
      </c>
      <c r="B783" s="2">
        <v>1183</v>
      </c>
      <c r="C783" s="2">
        <v>251</v>
      </c>
      <c r="D783" s="3">
        <v>3650.51</v>
      </c>
      <c r="E783" s="4" t="s">
        <v>12</v>
      </c>
    </row>
    <row r="784" spans="1:5" hidden="1" x14ac:dyDescent="0.2">
      <c r="A784" s="1">
        <v>44588</v>
      </c>
      <c r="B784" s="2">
        <v>1183</v>
      </c>
      <c r="C784" s="2">
        <v>238</v>
      </c>
      <c r="D784" s="3">
        <v>4060.02</v>
      </c>
      <c r="E784" s="4" t="s">
        <v>11</v>
      </c>
    </row>
    <row r="785" spans="1:5" x14ac:dyDescent="0.2">
      <c r="A785" s="1">
        <v>44588</v>
      </c>
      <c r="B785" s="2">
        <v>1168</v>
      </c>
      <c r="C785" s="2">
        <v>284</v>
      </c>
      <c r="D785" s="3">
        <v>5039.4799999999996</v>
      </c>
      <c r="E785" s="4" t="s">
        <v>12</v>
      </c>
    </row>
    <row r="786" spans="1:5" hidden="1" x14ac:dyDescent="0.2">
      <c r="A786" s="1">
        <v>44589</v>
      </c>
      <c r="B786" s="2">
        <v>1125</v>
      </c>
      <c r="C786" s="2">
        <v>210</v>
      </c>
      <c r="D786" s="3">
        <v>2679.79</v>
      </c>
      <c r="E786" s="4" t="s">
        <v>11</v>
      </c>
    </row>
    <row r="787" spans="1:5" x14ac:dyDescent="0.2">
      <c r="A787" s="1">
        <v>44589</v>
      </c>
      <c r="B787" s="2">
        <v>1188</v>
      </c>
      <c r="C787" s="2">
        <v>261</v>
      </c>
      <c r="D787" s="3">
        <v>3970.58</v>
      </c>
      <c r="E787" s="4" t="s">
        <v>12</v>
      </c>
    </row>
    <row r="788" spans="1:5" hidden="1" x14ac:dyDescent="0.2">
      <c r="A788" s="1">
        <v>44590</v>
      </c>
      <c r="B788" s="2">
        <v>1201</v>
      </c>
      <c r="C788" s="2">
        <v>225</v>
      </c>
      <c r="D788" s="3">
        <v>3615.01</v>
      </c>
      <c r="E788" s="4" t="s">
        <v>11</v>
      </c>
    </row>
    <row r="789" spans="1:5" x14ac:dyDescent="0.2">
      <c r="A789" s="1">
        <v>44590</v>
      </c>
      <c r="B789" s="2">
        <v>1100</v>
      </c>
      <c r="C789" s="2">
        <v>244</v>
      </c>
      <c r="D789" s="3">
        <v>4313.66</v>
      </c>
      <c r="E789" s="4" t="s">
        <v>12</v>
      </c>
    </row>
    <row r="790" spans="1:5" hidden="1" x14ac:dyDescent="0.2">
      <c r="A790" s="1">
        <v>44591</v>
      </c>
      <c r="B790" s="2">
        <v>1223</v>
      </c>
      <c r="C790" s="2">
        <v>225</v>
      </c>
      <c r="D790" s="3">
        <v>3854.33</v>
      </c>
      <c r="E790" s="4" t="s">
        <v>11</v>
      </c>
    </row>
    <row r="791" spans="1:5" x14ac:dyDescent="0.2">
      <c r="A791" s="1">
        <v>44591</v>
      </c>
      <c r="B791" s="2">
        <v>1126</v>
      </c>
      <c r="C791" s="2">
        <v>223</v>
      </c>
      <c r="D791" s="3">
        <v>4215.87</v>
      </c>
      <c r="E791" s="4" t="s">
        <v>12</v>
      </c>
    </row>
    <row r="792" spans="1:5" hidden="1" x14ac:dyDescent="0.2">
      <c r="A792" s="1">
        <v>44592</v>
      </c>
      <c r="B792" s="2">
        <v>1230</v>
      </c>
      <c r="C792" s="2">
        <v>238</v>
      </c>
      <c r="D792" s="3">
        <v>3771.86</v>
      </c>
      <c r="E792" s="4" t="s">
        <v>11</v>
      </c>
    </row>
    <row r="793" spans="1:5" x14ac:dyDescent="0.2">
      <c r="A793" s="1">
        <v>44592</v>
      </c>
      <c r="B793" s="2">
        <v>1137</v>
      </c>
      <c r="C793" s="2">
        <v>261</v>
      </c>
      <c r="D793" s="3">
        <v>4196.59</v>
      </c>
      <c r="E793" s="4" t="s">
        <v>12</v>
      </c>
    </row>
    <row r="794" spans="1:5" hidden="1" x14ac:dyDescent="0.2">
      <c r="A794" s="1">
        <v>44593</v>
      </c>
      <c r="B794" s="2">
        <v>1194</v>
      </c>
      <c r="C794" s="2">
        <v>234</v>
      </c>
      <c r="D794" s="3">
        <v>3425.08</v>
      </c>
      <c r="E794" s="4" t="s">
        <v>11</v>
      </c>
    </row>
    <row r="795" spans="1:5" x14ac:dyDescent="0.2">
      <c r="A795" s="1">
        <v>44593</v>
      </c>
      <c r="B795" s="2">
        <v>1166</v>
      </c>
      <c r="C795" s="2">
        <v>274</v>
      </c>
      <c r="D795" s="3">
        <v>4325.7299999999996</v>
      </c>
      <c r="E795" s="4" t="s">
        <v>12</v>
      </c>
    </row>
    <row r="796" spans="1:5" hidden="1" x14ac:dyDescent="0.2">
      <c r="A796" s="1">
        <v>44594</v>
      </c>
      <c r="B796" s="2">
        <v>1231</v>
      </c>
      <c r="C796" s="2">
        <v>239</v>
      </c>
      <c r="D796" s="3">
        <v>3995.13</v>
      </c>
      <c r="E796" s="4" t="s">
        <v>11</v>
      </c>
    </row>
    <row r="797" spans="1:5" x14ac:dyDescent="0.2">
      <c r="A797" s="1">
        <v>44594</v>
      </c>
      <c r="B797" s="2">
        <v>1151</v>
      </c>
      <c r="C797" s="2">
        <v>262</v>
      </c>
      <c r="D797" s="3">
        <v>3758.03</v>
      </c>
      <c r="E797" s="4" t="s">
        <v>12</v>
      </c>
    </row>
    <row r="798" spans="1:5" hidden="1" x14ac:dyDescent="0.2">
      <c r="A798" s="1">
        <v>44595</v>
      </c>
      <c r="B798" s="2">
        <v>1194</v>
      </c>
      <c r="C798" s="2">
        <v>240</v>
      </c>
      <c r="D798" s="3">
        <v>3422.12</v>
      </c>
      <c r="E798" s="4" t="s">
        <v>11</v>
      </c>
    </row>
    <row r="799" spans="1:5" x14ac:dyDescent="0.2">
      <c r="A799" s="1">
        <v>44595</v>
      </c>
      <c r="B799" s="2">
        <v>1120</v>
      </c>
      <c r="C799" s="2">
        <v>247</v>
      </c>
      <c r="D799" s="3">
        <v>3286.06</v>
      </c>
      <c r="E799" s="4" t="s">
        <v>12</v>
      </c>
    </row>
    <row r="800" spans="1:5" hidden="1" x14ac:dyDescent="0.2">
      <c r="A800" s="1">
        <v>44596</v>
      </c>
      <c r="B800" s="2">
        <v>1153</v>
      </c>
      <c r="C800" s="2">
        <v>233</v>
      </c>
      <c r="D800" s="3">
        <v>2480.4899999999998</v>
      </c>
      <c r="E800" s="4" t="s">
        <v>11</v>
      </c>
    </row>
    <row r="801" spans="1:5" x14ac:dyDescent="0.2">
      <c r="A801" s="1">
        <v>44596</v>
      </c>
      <c r="B801" s="2">
        <v>1138</v>
      </c>
      <c r="C801" s="2">
        <v>246</v>
      </c>
      <c r="D801" s="3">
        <v>4023.81</v>
      </c>
      <c r="E801" s="4" t="s">
        <v>12</v>
      </c>
    </row>
    <row r="802" spans="1:5" hidden="1" x14ac:dyDescent="0.2">
      <c r="A802" s="1">
        <v>44597</v>
      </c>
      <c r="B802" s="2">
        <v>1171</v>
      </c>
      <c r="C802" s="2">
        <v>229</v>
      </c>
      <c r="D802" s="3">
        <v>4008.8</v>
      </c>
      <c r="E802" s="4" t="s">
        <v>11</v>
      </c>
    </row>
    <row r="803" spans="1:5" x14ac:dyDescent="0.2">
      <c r="A803" s="1">
        <v>44597</v>
      </c>
      <c r="B803" s="2">
        <v>1134</v>
      </c>
      <c r="C803" s="2">
        <v>238</v>
      </c>
      <c r="D803" s="3">
        <v>3594.65</v>
      </c>
      <c r="E803" s="4" t="s">
        <v>12</v>
      </c>
    </row>
    <row r="804" spans="1:5" hidden="1" x14ac:dyDescent="0.2">
      <c r="A804" s="1">
        <v>44598</v>
      </c>
      <c r="B804" s="2">
        <v>1243</v>
      </c>
      <c r="C804" s="2">
        <v>216</v>
      </c>
      <c r="D804" s="3">
        <v>3359.82</v>
      </c>
      <c r="E804" s="4" t="s">
        <v>11</v>
      </c>
    </row>
    <row r="805" spans="1:5" x14ac:dyDescent="0.2">
      <c r="A805" s="1">
        <v>44598</v>
      </c>
      <c r="B805" s="2">
        <v>1148</v>
      </c>
      <c r="C805" s="2">
        <v>257</v>
      </c>
      <c r="D805" s="3">
        <v>4100.55</v>
      </c>
      <c r="E805" s="4" t="s">
        <v>12</v>
      </c>
    </row>
    <row r="806" spans="1:5" hidden="1" x14ac:dyDescent="0.2">
      <c r="A806" s="1">
        <v>44599</v>
      </c>
      <c r="B806" s="2">
        <v>1242</v>
      </c>
      <c r="C806" s="2">
        <v>221</v>
      </c>
      <c r="D806" s="3">
        <v>3608.8</v>
      </c>
      <c r="E806" s="4" t="s">
        <v>11</v>
      </c>
    </row>
    <row r="807" spans="1:5" x14ac:dyDescent="0.2">
      <c r="A807" s="1">
        <v>44599</v>
      </c>
      <c r="B807" s="2">
        <v>1134</v>
      </c>
      <c r="C807" s="2">
        <v>253</v>
      </c>
      <c r="D807" s="3">
        <v>3768.22</v>
      </c>
      <c r="E807" s="4" t="s">
        <v>12</v>
      </c>
    </row>
    <row r="808" spans="1:5" hidden="1" x14ac:dyDescent="0.2">
      <c r="A808" s="1">
        <v>44600</v>
      </c>
      <c r="B808" s="2">
        <v>1172</v>
      </c>
      <c r="C808" s="2">
        <v>220</v>
      </c>
      <c r="D808" s="3">
        <v>2520.73</v>
      </c>
      <c r="E808" s="4" t="s">
        <v>11</v>
      </c>
    </row>
    <row r="809" spans="1:5" x14ac:dyDescent="0.2">
      <c r="A809" s="1">
        <v>44600</v>
      </c>
      <c r="B809" s="2">
        <v>1142</v>
      </c>
      <c r="C809" s="2">
        <v>274</v>
      </c>
      <c r="D809" s="3">
        <v>4642.41</v>
      </c>
      <c r="E809" s="4" t="s">
        <v>12</v>
      </c>
    </row>
    <row r="810" spans="1:5" hidden="1" x14ac:dyDescent="0.2">
      <c r="A810" s="1">
        <v>44601</v>
      </c>
      <c r="B810" s="2">
        <v>1130</v>
      </c>
      <c r="C810" s="2">
        <v>218</v>
      </c>
      <c r="D810" s="3">
        <v>3472.47</v>
      </c>
      <c r="E810" s="4" t="s">
        <v>11</v>
      </c>
    </row>
    <row r="811" spans="1:5" x14ac:dyDescent="0.2">
      <c r="A811" s="1">
        <v>44601</v>
      </c>
      <c r="B811" s="2">
        <v>1104</v>
      </c>
      <c r="C811" s="2">
        <v>257</v>
      </c>
      <c r="D811" s="3">
        <v>3829.02</v>
      </c>
      <c r="E811" s="4" t="s">
        <v>12</v>
      </c>
    </row>
    <row r="812" spans="1:5" hidden="1" x14ac:dyDescent="0.2">
      <c r="A812" s="1">
        <v>44602</v>
      </c>
      <c r="B812" s="2">
        <v>1256</v>
      </c>
      <c r="C812" s="2">
        <v>245</v>
      </c>
      <c r="D812" s="3">
        <v>3962.22</v>
      </c>
      <c r="E812" s="4" t="s">
        <v>11</v>
      </c>
    </row>
    <row r="813" spans="1:5" x14ac:dyDescent="0.2">
      <c r="A813" s="1">
        <v>44602</v>
      </c>
      <c r="B813" s="2">
        <v>1113</v>
      </c>
      <c r="C813" s="2">
        <v>242</v>
      </c>
      <c r="D813" s="3">
        <v>3672.39</v>
      </c>
      <c r="E813" s="4" t="s">
        <v>12</v>
      </c>
    </row>
    <row r="814" spans="1:5" hidden="1" x14ac:dyDescent="0.2">
      <c r="A814" s="1">
        <v>44603</v>
      </c>
      <c r="B814" s="2">
        <v>1255</v>
      </c>
      <c r="C814" s="2">
        <v>258</v>
      </c>
      <c r="D814" s="3">
        <v>3357.43</v>
      </c>
      <c r="E814" s="4" t="s">
        <v>11</v>
      </c>
    </row>
    <row r="815" spans="1:5" x14ac:dyDescent="0.2">
      <c r="A815" s="1">
        <v>44603</v>
      </c>
      <c r="B815" s="2">
        <v>1138</v>
      </c>
      <c r="C815" s="2">
        <v>279</v>
      </c>
      <c r="D815" s="3">
        <v>3897.14</v>
      </c>
      <c r="E815" s="4" t="s">
        <v>12</v>
      </c>
    </row>
    <row r="816" spans="1:5" hidden="1" x14ac:dyDescent="0.2">
      <c r="A816" s="1">
        <v>44604</v>
      </c>
      <c r="B816" s="2">
        <v>1220</v>
      </c>
      <c r="C816" s="2">
        <v>230</v>
      </c>
      <c r="D816" s="3">
        <v>3751.29</v>
      </c>
      <c r="E816" s="4" t="s">
        <v>11</v>
      </c>
    </row>
    <row r="817" spans="1:5" x14ac:dyDescent="0.2">
      <c r="A817" s="1">
        <v>44604</v>
      </c>
      <c r="B817" s="2">
        <v>1164</v>
      </c>
      <c r="C817" s="2">
        <v>288</v>
      </c>
      <c r="D817" s="3">
        <v>5075.0200000000004</v>
      </c>
      <c r="E817" s="4" t="s">
        <v>12</v>
      </c>
    </row>
    <row r="818" spans="1:5" hidden="1" x14ac:dyDescent="0.2">
      <c r="A818" s="1">
        <v>44605</v>
      </c>
      <c r="B818" s="2">
        <v>1188</v>
      </c>
      <c r="C818" s="2">
        <v>220</v>
      </c>
      <c r="D818" s="3">
        <v>3131.56</v>
      </c>
      <c r="E818" s="4" t="s">
        <v>11</v>
      </c>
    </row>
    <row r="819" spans="1:5" x14ac:dyDescent="0.2">
      <c r="A819" s="1">
        <v>44605</v>
      </c>
      <c r="B819" s="2">
        <v>1115</v>
      </c>
      <c r="C819" s="2">
        <v>250</v>
      </c>
      <c r="D819" s="3">
        <v>3938.14</v>
      </c>
      <c r="E819" s="4" t="s">
        <v>12</v>
      </c>
    </row>
    <row r="820" spans="1:5" hidden="1" x14ac:dyDescent="0.2">
      <c r="A820" s="1">
        <v>44606</v>
      </c>
      <c r="B820" s="2">
        <v>1230</v>
      </c>
      <c r="C820" s="2">
        <v>254</v>
      </c>
      <c r="D820" s="3">
        <v>4410.3999999999996</v>
      </c>
      <c r="E820" s="4" t="s">
        <v>11</v>
      </c>
    </row>
    <row r="821" spans="1:5" x14ac:dyDescent="0.2">
      <c r="A821" s="1">
        <v>44606</v>
      </c>
      <c r="B821" s="2">
        <v>1086</v>
      </c>
      <c r="C821" s="2">
        <v>246</v>
      </c>
      <c r="D821" s="3">
        <v>4172.6099999999997</v>
      </c>
      <c r="E821" s="4" t="s">
        <v>12</v>
      </c>
    </row>
    <row r="822" spans="1:5" hidden="1" x14ac:dyDescent="0.2">
      <c r="A822" s="1">
        <v>44607</v>
      </c>
      <c r="B822" s="2">
        <v>1185</v>
      </c>
      <c r="C822" s="2">
        <v>228</v>
      </c>
      <c r="D822" s="3">
        <v>2978.57</v>
      </c>
      <c r="E822" s="4" t="s">
        <v>11</v>
      </c>
    </row>
    <row r="823" spans="1:5" x14ac:dyDescent="0.2">
      <c r="A823" s="1">
        <v>44607</v>
      </c>
      <c r="B823" s="2">
        <v>1117</v>
      </c>
      <c r="C823" s="2">
        <v>252</v>
      </c>
      <c r="D823" s="3">
        <v>3875.6</v>
      </c>
      <c r="E823" s="4" t="s">
        <v>12</v>
      </c>
    </row>
    <row r="824" spans="1:5" hidden="1" x14ac:dyDescent="0.2">
      <c r="A824" s="1">
        <v>44608</v>
      </c>
      <c r="B824" s="2">
        <v>1210</v>
      </c>
      <c r="C824" s="2">
        <v>223</v>
      </c>
      <c r="D824" s="3">
        <v>3278.13</v>
      </c>
      <c r="E824" s="4" t="s">
        <v>11</v>
      </c>
    </row>
    <row r="825" spans="1:5" x14ac:dyDescent="0.2">
      <c r="A825" s="1">
        <v>44608</v>
      </c>
      <c r="B825" s="2">
        <v>1182</v>
      </c>
      <c r="C825" s="2">
        <v>252</v>
      </c>
      <c r="D825" s="3">
        <v>3309.69</v>
      </c>
      <c r="E825" s="4" t="s">
        <v>12</v>
      </c>
    </row>
    <row r="826" spans="1:5" hidden="1" x14ac:dyDescent="0.2">
      <c r="A826" s="1">
        <v>44609</v>
      </c>
      <c r="B826" s="2">
        <v>1184</v>
      </c>
      <c r="C826" s="2">
        <v>208</v>
      </c>
      <c r="D826" s="3">
        <v>2967.95</v>
      </c>
      <c r="E826" s="4" t="s">
        <v>11</v>
      </c>
    </row>
    <row r="827" spans="1:5" x14ac:dyDescent="0.2">
      <c r="A827" s="1">
        <v>44609</v>
      </c>
      <c r="B827" s="2">
        <v>1161</v>
      </c>
      <c r="C827" s="2">
        <v>281</v>
      </c>
      <c r="D827" s="3">
        <v>4410.97</v>
      </c>
      <c r="E827" s="4" t="s">
        <v>12</v>
      </c>
    </row>
    <row r="828" spans="1:5" hidden="1" x14ac:dyDescent="0.2">
      <c r="A828" s="1">
        <v>44610</v>
      </c>
      <c r="B828" s="2">
        <v>1158</v>
      </c>
      <c r="C828" s="2">
        <v>200</v>
      </c>
      <c r="D828" s="3">
        <v>2997.18</v>
      </c>
      <c r="E828" s="4" t="s">
        <v>11</v>
      </c>
    </row>
    <row r="829" spans="1:5" x14ac:dyDescent="0.2">
      <c r="A829" s="1">
        <v>44610</v>
      </c>
      <c r="B829" s="2">
        <v>1104</v>
      </c>
      <c r="C829" s="2">
        <v>281</v>
      </c>
      <c r="D829" s="3">
        <v>4374.83</v>
      </c>
      <c r="E829" s="4" t="s">
        <v>12</v>
      </c>
    </row>
    <row r="830" spans="1:5" hidden="1" x14ac:dyDescent="0.2">
      <c r="A830" s="1">
        <v>44611</v>
      </c>
      <c r="B830" s="2">
        <v>1300</v>
      </c>
      <c r="C830" s="2">
        <v>238</v>
      </c>
      <c r="D830" s="3">
        <v>3636.59</v>
      </c>
      <c r="E830" s="4" t="s">
        <v>11</v>
      </c>
    </row>
    <row r="831" spans="1:5" x14ac:dyDescent="0.2">
      <c r="A831" s="1">
        <v>44611</v>
      </c>
      <c r="B831" s="2">
        <v>1153</v>
      </c>
      <c r="C831" s="2">
        <v>247</v>
      </c>
      <c r="D831" s="3">
        <v>4444.08</v>
      </c>
      <c r="E831" s="4" t="s">
        <v>12</v>
      </c>
    </row>
    <row r="832" spans="1:5" hidden="1" x14ac:dyDescent="0.2">
      <c r="A832" s="1">
        <v>44612</v>
      </c>
      <c r="B832" s="2">
        <v>1182</v>
      </c>
      <c r="C832" s="2">
        <v>220</v>
      </c>
      <c r="D832" s="3">
        <v>3718.01</v>
      </c>
      <c r="E832" s="4" t="s">
        <v>11</v>
      </c>
    </row>
    <row r="833" spans="1:5" x14ac:dyDescent="0.2">
      <c r="A833" s="1">
        <v>44612</v>
      </c>
      <c r="B833" s="2">
        <v>1073</v>
      </c>
      <c r="C833" s="2">
        <v>260</v>
      </c>
      <c r="D833" s="3">
        <v>4286.3599999999997</v>
      </c>
      <c r="E833" s="4" t="s">
        <v>12</v>
      </c>
    </row>
    <row r="834" spans="1:5" hidden="1" x14ac:dyDescent="0.2">
      <c r="A834" s="1">
        <v>44613</v>
      </c>
      <c r="B834" s="2">
        <v>1192</v>
      </c>
      <c r="C834" s="2">
        <v>258</v>
      </c>
      <c r="D834" s="3">
        <v>2736.8</v>
      </c>
      <c r="E834" s="4" t="s">
        <v>11</v>
      </c>
    </row>
    <row r="835" spans="1:5" x14ac:dyDescent="0.2">
      <c r="A835" s="1">
        <v>44613</v>
      </c>
      <c r="B835" s="2">
        <v>1204</v>
      </c>
      <c r="C835" s="2">
        <v>279</v>
      </c>
      <c r="D835" s="3">
        <v>4373.53</v>
      </c>
      <c r="E835" s="4" t="s">
        <v>12</v>
      </c>
    </row>
    <row r="836" spans="1:5" hidden="1" x14ac:dyDescent="0.2">
      <c r="A836" s="1">
        <v>44614</v>
      </c>
      <c r="B836" s="2">
        <v>1241</v>
      </c>
      <c r="C836" s="2">
        <v>241</v>
      </c>
      <c r="D836" s="3">
        <v>3821.94</v>
      </c>
      <c r="E836" s="4" t="s">
        <v>11</v>
      </c>
    </row>
    <row r="837" spans="1:5" x14ac:dyDescent="0.2">
      <c r="A837" s="1">
        <v>44614</v>
      </c>
      <c r="B837" s="2">
        <v>1140</v>
      </c>
      <c r="C837" s="2">
        <v>260</v>
      </c>
      <c r="D837" s="3">
        <v>4357.41</v>
      </c>
      <c r="E837" s="4" t="s">
        <v>12</v>
      </c>
    </row>
    <row r="838" spans="1:5" hidden="1" x14ac:dyDescent="0.2">
      <c r="A838" s="1">
        <v>44615</v>
      </c>
      <c r="B838" s="2">
        <v>1195</v>
      </c>
      <c r="C838" s="2">
        <v>225</v>
      </c>
      <c r="D838" s="3">
        <v>3638.66</v>
      </c>
      <c r="E838" s="4" t="s">
        <v>11</v>
      </c>
    </row>
    <row r="839" spans="1:5" x14ac:dyDescent="0.2">
      <c r="A839" s="1">
        <v>44615</v>
      </c>
      <c r="B839" s="2">
        <v>1154</v>
      </c>
      <c r="C839" s="2">
        <v>257</v>
      </c>
      <c r="D839" s="3">
        <v>3733.3</v>
      </c>
      <c r="E839" s="4" t="s">
        <v>12</v>
      </c>
    </row>
    <row r="840" spans="1:5" hidden="1" x14ac:dyDescent="0.2">
      <c r="A840" s="1">
        <v>44616</v>
      </c>
      <c r="B840" s="2">
        <v>1198</v>
      </c>
      <c r="C840" s="2">
        <v>256</v>
      </c>
      <c r="D840" s="3">
        <v>3795.23</v>
      </c>
      <c r="E840" s="4" t="s">
        <v>11</v>
      </c>
    </row>
    <row r="841" spans="1:5" x14ac:dyDescent="0.2">
      <c r="A841" s="1">
        <v>44616</v>
      </c>
      <c r="B841" s="2">
        <v>1148</v>
      </c>
      <c r="C841" s="2">
        <v>267</v>
      </c>
      <c r="D841" s="3">
        <v>4564.8</v>
      </c>
      <c r="E841" s="4" t="s">
        <v>12</v>
      </c>
    </row>
    <row r="842" spans="1:5" hidden="1" x14ac:dyDescent="0.2">
      <c r="A842" s="1">
        <v>44617</v>
      </c>
      <c r="B842" s="2">
        <v>1174</v>
      </c>
      <c r="C842" s="2">
        <v>223</v>
      </c>
      <c r="D842" s="3">
        <v>3773.3</v>
      </c>
      <c r="E842" s="4" t="s">
        <v>11</v>
      </c>
    </row>
    <row r="843" spans="1:5" x14ac:dyDescent="0.2">
      <c r="A843" s="1">
        <v>44617</v>
      </c>
      <c r="B843" s="2">
        <v>1155</v>
      </c>
      <c r="C843" s="2">
        <v>297</v>
      </c>
      <c r="D843" s="3">
        <v>5026.72</v>
      </c>
      <c r="E843" s="4" t="s">
        <v>12</v>
      </c>
    </row>
    <row r="844" spans="1:5" hidden="1" x14ac:dyDescent="0.2">
      <c r="A844" s="1">
        <v>44618</v>
      </c>
      <c r="B844" s="2">
        <v>1184</v>
      </c>
      <c r="C844" s="2">
        <v>205</v>
      </c>
      <c r="D844" s="3">
        <v>2931.73</v>
      </c>
      <c r="E844" s="4" t="s">
        <v>11</v>
      </c>
    </row>
    <row r="845" spans="1:5" x14ac:dyDescent="0.2">
      <c r="A845" s="1">
        <v>44618</v>
      </c>
      <c r="B845" s="2">
        <v>1184</v>
      </c>
      <c r="C845" s="2">
        <v>276</v>
      </c>
      <c r="D845" s="3">
        <v>3989.54</v>
      </c>
      <c r="E845" s="4" t="s">
        <v>12</v>
      </c>
    </row>
    <row r="846" spans="1:5" hidden="1" x14ac:dyDescent="0.2">
      <c r="A846" s="1">
        <v>44619</v>
      </c>
      <c r="B846" s="2">
        <v>1242</v>
      </c>
      <c r="C846" s="2">
        <v>252</v>
      </c>
      <c r="D846" s="3">
        <v>4050.97</v>
      </c>
      <c r="E846" s="4" t="s">
        <v>11</v>
      </c>
    </row>
    <row r="847" spans="1:5" x14ac:dyDescent="0.2">
      <c r="A847" s="1">
        <v>44619</v>
      </c>
      <c r="B847" s="2">
        <v>1115</v>
      </c>
      <c r="C847" s="2">
        <v>244</v>
      </c>
      <c r="D847" s="3">
        <v>4112.95</v>
      </c>
      <c r="E847" s="4" t="s">
        <v>12</v>
      </c>
    </row>
    <row r="848" spans="1:5" hidden="1" x14ac:dyDescent="0.2">
      <c r="A848" s="1">
        <v>44620</v>
      </c>
      <c r="B848" s="2">
        <v>1203</v>
      </c>
      <c r="C848" s="2">
        <v>230</v>
      </c>
      <c r="D848" s="3">
        <v>3407.25</v>
      </c>
      <c r="E848" s="4" t="s">
        <v>11</v>
      </c>
    </row>
    <row r="849" spans="1:5" x14ac:dyDescent="0.2">
      <c r="A849" s="1">
        <v>44620</v>
      </c>
      <c r="B849" s="2">
        <v>1156</v>
      </c>
      <c r="C849" s="2">
        <v>241</v>
      </c>
      <c r="D849" s="3">
        <v>3740.56</v>
      </c>
      <c r="E849" s="4" t="s">
        <v>12</v>
      </c>
    </row>
    <row r="850" spans="1:5" hidden="1" x14ac:dyDescent="0.2">
      <c r="A850" s="1">
        <v>44621</v>
      </c>
      <c r="B850" s="2">
        <v>1264</v>
      </c>
      <c r="C850" s="2">
        <v>249</v>
      </c>
      <c r="D850" s="3">
        <v>3432.1</v>
      </c>
      <c r="E850" s="4" t="s">
        <v>11</v>
      </c>
    </row>
    <row r="851" spans="1:5" x14ac:dyDescent="0.2">
      <c r="A851" s="1">
        <v>44621</v>
      </c>
      <c r="B851" s="2">
        <v>1130</v>
      </c>
      <c r="C851" s="2">
        <v>267</v>
      </c>
      <c r="D851" s="3">
        <v>4465.8999999999996</v>
      </c>
      <c r="E851" s="4" t="s">
        <v>12</v>
      </c>
    </row>
    <row r="852" spans="1:5" hidden="1" x14ac:dyDescent="0.2">
      <c r="A852" s="1">
        <v>44622</v>
      </c>
      <c r="B852" s="2">
        <v>1162</v>
      </c>
      <c r="C852" s="2">
        <v>220</v>
      </c>
      <c r="D852" s="3">
        <v>3456.49</v>
      </c>
      <c r="E852" s="4" t="s">
        <v>11</v>
      </c>
    </row>
    <row r="853" spans="1:5" x14ac:dyDescent="0.2">
      <c r="A853" s="1">
        <v>44622</v>
      </c>
      <c r="B853" s="2">
        <v>1177</v>
      </c>
      <c r="C853" s="2">
        <v>259</v>
      </c>
      <c r="D853" s="3">
        <v>4243.24</v>
      </c>
      <c r="E853" s="4" t="s">
        <v>12</v>
      </c>
    </row>
    <row r="854" spans="1:5" hidden="1" x14ac:dyDescent="0.2">
      <c r="A854" s="1">
        <v>44623</v>
      </c>
      <c r="B854" s="2">
        <v>1212</v>
      </c>
      <c r="C854" s="2">
        <v>236</v>
      </c>
      <c r="D854" s="3">
        <v>3654.64</v>
      </c>
      <c r="E854" s="4" t="s">
        <v>11</v>
      </c>
    </row>
    <row r="855" spans="1:5" x14ac:dyDescent="0.2">
      <c r="A855" s="1">
        <v>44623</v>
      </c>
      <c r="B855" s="2">
        <v>1117</v>
      </c>
      <c r="C855" s="2">
        <v>262</v>
      </c>
      <c r="D855" s="3">
        <v>3100.98</v>
      </c>
      <c r="E855" s="4" t="s">
        <v>12</v>
      </c>
    </row>
    <row r="856" spans="1:5" hidden="1" x14ac:dyDescent="0.2">
      <c r="A856" s="1">
        <v>44624</v>
      </c>
      <c r="B856" s="2">
        <v>1194</v>
      </c>
      <c r="C856" s="2">
        <v>238</v>
      </c>
      <c r="D856" s="3">
        <v>2629.67</v>
      </c>
      <c r="E856" s="4" t="s">
        <v>11</v>
      </c>
    </row>
    <row r="857" spans="1:5" x14ac:dyDescent="0.2">
      <c r="A857" s="1">
        <v>44624</v>
      </c>
      <c r="B857" s="2">
        <v>1214</v>
      </c>
      <c r="C857" s="2">
        <v>291</v>
      </c>
      <c r="D857" s="3">
        <v>5093.1400000000003</v>
      </c>
      <c r="E857" s="4" t="s">
        <v>12</v>
      </c>
    </row>
    <row r="858" spans="1:5" hidden="1" x14ac:dyDescent="0.2">
      <c r="A858" s="1">
        <v>44625</v>
      </c>
      <c r="B858" s="2">
        <v>1225</v>
      </c>
      <c r="C858" s="2">
        <v>243</v>
      </c>
      <c r="D858" s="3">
        <v>4443.68</v>
      </c>
      <c r="E858" s="4" t="s">
        <v>11</v>
      </c>
    </row>
    <row r="859" spans="1:5" x14ac:dyDescent="0.2">
      <c r="A859" s="1">
        <v>44625</v>
      </c>
      <c r="B859" s="2">
        <v>1149</v>
      </c>
      <c r="C859" s="2">
        <v>297</v>
      </c>
      <c r="D859" s="3">
        <v>4966.22</v>
      </c>
      <c r="E859" s="4" t="s">
        <v>12</v>
      </c>
    </row>
    <row r="860" spans="1:5" hidden="1" x14ac:dyDescent="0.2">
      <c r="A860" s="1">
        <v>44626</v>
      </c>
      <c r="B860" s="2">
        <v>1211</v>
      </c>
      <c r="C860" s="2">
        <v>239</v>
      </c>
      <c r="D860" s="3">
        <v>3351.61</v>
      </c>
      <c r="E860" s="4" t="s">
        <v>11</v>
      </c>
    </row>
    <row r="861" spans="1:5" x14ac:dyDescent="0.2">
      <c r="A861" s="1">
        <v>44626</v>
      </c>
      <c r="B861" s="2">
        <v>1117</v>
      </c>
      <c r="C861" s="2">
        <v>253</v>
      </c>
      <c r="D861" s="3">
        <v>4368.46</v>
      </c>
      <c r="E861" s="4" t="s">
        <v>12</v>
      </c>
    </row>
    <row r="862" spans="1:5" hidden="1" x14ac:dyDescent="0.2">
      <c r="A862" s="1">
        <v>44627</v>
      </c>
      <c r="B862" s="2">
        <v>1208</v>
      </c>
      <c r="C862" s="2">
        <v>229</v>
      </c>
      <c r="D862" s="3">
        <v>3398.79</v>
      </c>
      <c r="E862" s="4" t="s">
        <v>11</v>
      </c>
    </row>
    <row r="863" spans="1:5" x14ac:dyDescent="0.2">
      <c r="A863" s="1">
        <v>44627</v>
      </c>
      <c r="B863" s="2">
        <v>1189</v>
      </c>
      <c r="C863" s="2">
        <v>290</v>
      </c>
      <c r="D863" s="3">
        <v>4304.1099999999997</v>
      </c>
      <c r="E863" s="4" t="s">
        <v>12</v>
      </c>
    </row>
    <row r="864" spans="1:5" hidden="1" x14ac:dyDescent="0.2">
      <c r="A864" s="1">
        <v>44628</v>
      </c>
      <c r="B864" s="2">
        <v>1195</v>
      </c>
      <c r="C864" s="2">
        <v>242</v>
      </c>
      <c r="D864" s="3">
        <v>3301.54</v>
      </c>
      <c r="E864" s="4" t="s">
        <v>11</v>
      </c>
    </row>
    <row r="865" spans="1:5" x14ac:dyDescent="0.2">
      <c r="A865" s="1">
        <v>44628</v>
      </c>
      <c r="B865" s="2">
        <v>1137</v>
      </c>
      <c r="C865" s="2">
        <v>290</v>
      </c>
      <c r="D865" s="3">
        <v>4455.42</v>
      </c>
      <c r="E865" s="4" t="s">
        <v>12</v>
      </c>
    </row>
    <row r="866" spans="1:5" hidden="1" x14ac:dyDescent="0.2">
      <c r="A866" s="1">
        <v>44629</v>
      </c>
      <c r="B866" s="2">
        <v>1210</v>
      </c>
      <c r="C866" s="2">
        <v>225</v>
      </c>
      <c r="D866" s="3">
        <v>2856.98</v>
      </c>
      <c r="E866" s="4" t="s">
        <v>11</v>
      </c>
    </row>
    <row r="867" spans="1:5" x14ac:dyDescent="0.2">
      <c r="A867" s="1">
        <v>44629</v>
      </c>
      <c r="B867" s="2">
        <v>1177</v>
      </c>
      <c r="C867" s="2">
        <v>257</v>
      </c>
      <c r="D867" s="3">
        <v>2652.71</v>
      </c>
      <c r="E867" s="4" t="s">
        <v>12</v>
      </c>
    </row>
    <row r="868" spans="1:5" hidden="1" x14ac:dyDescent="0.2">
      <c r="A868" s="1">
        <v>44630</v>
      </c>
      <c r="B868" s="2">
        <v>1127</v>
      </c>
      <c r="C868" s="2">
        <v>229</v>
      </c>
      <c r="D868" s="3">
        <v>3862.06</v>
      </c>
      <c r="E868" s="4" t="s">
        <v>11</v>
      </c>
    </row>
    <row r="869" spans="1:5" x14ac:dyDescent="0.2">
      <c r="A869" s="1">
        <v>44630</v>
      </c>
      <c r="B869" s="2">
        <v>1156</v>
      </c>
      <c r="C869" s="2">
        <v>270</v>
      </c>
      <c r="D869" s="3">
        <v>4095.85</v>
      </c>
      <c r="E869" s="4" t="s">
        <v>12</v>
      </c>
    </row>
    <row r="870" spans="1:5" hidden="1" x14ac:dyDescent="0.2">
      <c r="A870" s="1">
        <v>44631</v>
      </c>
      <c r="B870" s="2">
        <v>1296</v>
      </c>
      <c r="C870" s="2">
        <v>269</v>
      </c>
      <c r="D870" s="3">
        <v>4282.63</v>
      </c>
      <c r="E870" s="4" t="s">
        <v>11</v>
      </c>
    </row>
    <row r="871" spans="1:5" x14ac:dyDescent="0.2">
      <c r="A871" s="1">
        <v>44631</v>
      </c>
      <c r="B871" s="2">
        <v>1157</v>
      </c>
      <c r="C871" s="2">
        <v>269</v>
      </c>
      <c r="D871" s="3">
        <v>4408.83</v>
      </c>
      <c r="E871" s="4" t="s">
        <v>12</v>
      </c>
    </row>
    <row r="872" spans="1:5" hidden="1" x14ac:dyDescent="0.2">
      <c r="A872" s="1">
        <v>44632</v>
      </c>
      <c r="B872" s="2">
        <v>1191</v>
      </c>
      <c r="C872" s="2">
        <v>247</v>
      </c>
      <c r="D872" s="3">
        <v>3215.1</v>
      </c>
      <c r="E872" s="4" t="s">
        <v>11</v>
      </c>
    </row>
    <row r="873" spans="1:5" x14ac:dyDescent="0.2">
      <c r="A873" s="1">
        <v>44632</v>
      </c>
      <c r="B873" s="2">
        <v>1204</v>
      </c>
      <c r="C873" s="2">
        <v>252</v>
      </c>
      <c r="D873" s="3">
        <v>3713.03</v>
      </c>
      <c r="E873" s="4" t="s">
        <v>12</v>
      </c>
    </row>
    <row r="874" spans="1:5" hidden="1" x14ac:dyDescent="0.2">
      <c r="A874" s="1">
        <v>44633</v>
      </c>
      <c r="B874" s="2">
        <v>1165</v>
      </c>
      <c r="C874" s="2">
        <v>234</v>
      </c>
      <c r="D874" s="3">
        <v>3301.3</v>
      </c>
      <c r="E874" s="4" t="s">
        <v>11</v>
      </c>
    </row>
    <row r="875" spans="1:5" x14ac:dyDescent="0.2">
      <c r="A875" s="1">
        <v>44633</v>
      </c>
      <c r="B875" s="2">
        <v>1133</v>
      </c>
      <c r="C875" s="2">
        <v>239</v>
      </c>
      <c r="D875" s="3">
        <v>3878.08</v>
      </c>
      <c r="E875" s="4" t="s">
        <v>12</v>
      </c>
    </row>
    <row r="876" spans="1:5" hidden="1" x14ac:dyDescent="0.2">
      <c r="A876" s="1">
        <v>44634</v>
      </c>
      <c r="B876" s="2">
        <v>1168</v>
      </c>
      <c r="C876" s="2">
        <v>211</v>
      </c>
      <c r="D876" s="3">
        <v>3873.4</v>
      </c>
      <c r="E876" s="4" t="s">
        <v>11</v>
      </c>
    </row>
    <row r="877" spans="1:5" x14ac:dyDescent="0.2">
      <c r="A877" s="1">
        <v>44634</v>
      </c>
      <c r="B877" s="2">
        <v>1145</v>
      </c>
      <c r="C877" s="2">
        <v>282</v>
      </c>
      <c r="D877" s="3">
        <v>3433.83</v>
      </c>
      <c r="E877" s="4" t="s">
        <v>12</v>
      </c>
    </row>
    <row r="878" spans="1:5" hidden="1" x14ac:dyDescent="0.2">
      <c r="A878" s="1">
        <v>44635</v>
      </c>
      <c r="B878" s="2">
        <v>1204</v>
      </c>
      <c r="C878" s="2">
        <v>222</v>
      </c>
      <c r="D878" s="3">
        <v>2842.21</v>
      </c>
      <c r="E878" s="4" t="s">
        <v>11</v>
      </c>
    </row>
    <row r="879" spans="1:5" x14ac:dyDescent="0.2">
      <c r="A879" s="1">
        <v>44635</v>
      </c>
      <c r="B879" s="2">
        <v>1218</v>
      </c>
      <c r="C879" s="2">
        <v>274</v>
      </c>
      <c r="D879" s="3">
        <v>5162.4399999999996</v>
      </c>
      <c r="E879" s="4" t="s">
        <v>12</v>
      </c>
    </row>
    <row r="880" spans="1:5" hidden="1" x14ac:dyDescent="0.2">
      <c r="A880" s="1">
        <v>44636</v>
      </c>
      <c r="B880" s="2">
        <v>1168</v>
      </c>
      <c r="C880" s="2">
        <v>214</v>
      </c>
      <c r="D880" s="3">
        <v>2567.91</v>
      </c>
      <c r="E880" s="4" t="s">
        <v>11</v>
      </c>
    </row>
    <row r="881" spans="1:5" x14ac:dyDescent="0.2">
      <c r="A881" s="1">
        <v>44636</v>
      </c>
      <c r="B881" s="2">
        <v>1164</v>
      </c>
      <c r="C881" s="2">
        <v>302</v>
      </c>
      <c r="D881" s="3">
        <v>4361.58</v>
      </c>
      <c r="E881" s="4" t="s">
        <v>12</v>
      </c>
    </row>
    <row r="882" spans="1:5" hidden="1" x14ac:dyDescent="0.2">
      <c r="A882" s="1">
        <v>44637</v>
      </c>
      <c r="B882" s="2">
        <v>1233</v>
      </c>
      <c r="C882" s="2">
        <v>250</v>
      </c>
      <c r="D882" s="3">
        <v>4323.0200000000004</v>
      </c>
      <c r="E882" s="4" t="s">
        <v>11</v>
      </c>
    </row>
    <row r="883" spans="1:5" x14ac:dyDescent="0.2">
      <c r="A883" s="1">
        <v>44637</v>
      </c>
      <c r="B883" s="2">
        <v>1140</v>
      </c>
      <c r="C883" s="2">
        <v>260</v>
      </c>
      <c r="D883" s="3">
        <v>3755.77</v>
      </c>
      <c r="E883" s="4" t="s">
        <v>12</v>
      </c>
    </row>
    <row r="884" spans="1:5" hidden="1" x14ac:dyDescent="0.2">
      <c r="A884" s="1">
        <v>44638</v>
      </c>
      <c r="B884" s="2">
        <v>1171</v>
      </c>
      <c r="C884" s="2">
        <v>222</v>
      </c>
      <c r="D884" s="3">
        <v>3128.07</v>
      </c>
      <c r="E884" s="4" t="s">
        <v>11</v>
      </c>
    </row>
    <row r="885" spans="1:5" x14ac:dyDescent="0.2">
      <c r="A885" s="1">
        <v>44638</v>
      </c>
      <c r="B885" s="2">
        <v>1140</v>
      </c>
      <c r="C885" s="2">
        <v>262</v>
      </c>
      <c r="D885" s="3">
        <v>3647.14</v>
      </c>
      <c r="E885" s="4" t="s">
        <v>12</v>
      </c>
    </row>
    <row r="886" spans="1:5" hidden="1" x14ac:dyDescent="0.2">
      <c r="A886" s="1">
        <v>44639</v>
      </c>
      <c r="B886" s="2">
        <v>1159</v>
      </c>
      <c r="C886" s="2">
        <v>199</v>
      </c>
      <c r="D886" s="3">
        <v>2692.39</v>
      </c>
      <c r="E886" s="4" t="s">
        <v>11</v>
      </c>
    </row>
    <row r="887" spans="1:5" x14ac:dyDescent="0.2">
      <c r="A887" s="1">
        <v>44639</v>
      </c>
      <c r="B887" s="2">
        <v>1150</v>
      </c>
      <c r="C887" s="2">
        <v>255</v>
      </c>
      <c r="D887" s="3">
        <v>4924.67</v>
      </c>
      <c r="E887" s="4" t="s">
        <v>12</v>
      </c>
    </row>
    <row r="888" spans="1:5" hidden="1" x14ac:dyDescent="0.2">
      <c r="A888" s="1">
        <v>44640</v>
      </c>
      <c r="B888" s="2">
        <v>1200</v>
      </c>
      <c r="C888" s="2">
        <v>234</v>
      </c>
      <c r="D888" s="3">
        <v>3691.76</v>
      </c>
      <c r="E888" s="4" t="s">
        <v>11</v>
      </c>
    </row>
    <row r="889" spans="1:5" x14ac:dyDescent="0.2">
      <c r="A889" s="1">
        <v>44640</v>
      </c>
      <c r="B889" s="2">
        <v>1170</v>
      </c>
      <c r="C889" s="2">
        <v>283</v>
      </c>
      <c r="D889" s="3">
        <v>4474.33</v>
      </c>
      <c r="E889" s="4" t="s">
        <v>12</v>
      </c>
    </row>
    <row r="890" spans="1:5" hidden="1" x14ac:dyDescent="0.2">
      <c r="A890" s="1">
        <v>44641</v>
      </c>
      <c r="B890" s="2">
        <v>1135</v>
      </c>
      <c r="C890" s="2">
        <v>209</v>
      </c>
      <c r="D890" s="3">
        <v>3355.09</v>
      </c>
      <c r="E890" s="4" t="s">
        <v>11</v>
      </c>
    </row>
    <row r="891" spans="1:5" x14ac:dyDescent="0.2">
      <c r="A891" s="1">
        <v>44641</v>
      </c>
      <c r="B891" s="2">
        <v>1155</v>
      </c>
      <c r="C891" s="2">
        <v>298</v>
      </c>
      <c r="D891" s="3">
        <v>4483.46</v>
      </c>
      <c r="E891" s="4" t="s">
        <v>12</v>
      </c>
    </row>
    <row r="892" spans="1:5" hidden="1" x14ac:dyDescent="0.2">
      <c r="A892" s="1">
        <v>44642</v>
      </c>
      <c r="B892" s="2">
        <v>1178</v>
      </c>
      <c r="C892" s="2">
        <v>238</v>
      </c>
      <c r="D892" s="3">
        <v>3428.45</v>
      </c>
      <c r="E892" s="4" t="s">
        <v>11</v>
      </c>
    </row>
    <row r="893" spans="1:5" x14ac:dyDescent="0.2">
      <c r="A893" s="1">
        <v>44642</v>
      </c>
      <c r="B893" s="2">
        <v>1130</v>
      </c>
      <c r="C893" s="2">
        <v>274</v>
      </c>
      <c r="D893" s="3">
        <v>4248.9799999999996</v>
      </c>
      <c r="E893" s="4" t="s">
        <v>12</v>
      </c>
    </row>
    <row r="894" spans="1:5" hidden="1" x14ac:dyDescent="0.2">
      <c r="A894" s="1">
        <v>44643</v>
      </c>
      <c r="B894" s="2">
        <v>1162</v>
      </c>
      <c r="C894" s="2">
        <v>187</v>
      </c>
      <c r="D894" s="3">
        <v>2801.53</v>
      </c>
      <c r="E894" s="4" t="s">
        <v>11</v>
      </c>
    </row>
    <row r="895" spans="1:5" x14ac:dyDescent="0.2">
      <c r="A895" s="1">
        <v>44643</v>
      </c>
      <c r="B895" s="2">
        <v>1115</v>
      </c>
      <c r="C895" s="2">
        <v>256</v>
      </c>
      <c r="D895" s="3">
        <v>4253.17</v>
      </c>
      <c r="E895" s="4" t="s">
        <v>12</v>
      </c>
    </row>
    <row r="896" spans="1:5" hidden="1" x14ac:dyDescent="0.2">
      <c r="A896" s="1">
        <v>44644</v>
      </c>
      <c r="B896" s="2">
        <v>1146</v>
      </c>
      <c r="C896" s="2">
        <v>224</v>
      </c>
      <c r="D896" s="3">
        <v>3145.52</v>
      </c>
      <c r="E896" s="4" t="s">
        <v>11</v>
      </c>
    </row>
    <row r="897" spans="1:5" x14ac:dyDescent="0.2">
      <c r="A897" s="1">
        <v>44644</v>
      </c>
      <c r="B897" s="2">
        <v>1147</v>
      </c>
      <c r="C897" s="2">
        <v>281</v>
      </c>
      <c r="D897" s="3">
        <v>4698.03</v>
      </c>
      <c r="E897" s="4" t="s">
        <v>12</v>
      </c>
    </row>
    <row r="898" spans="1:5" hidden="1" x14ac:dyDescent="0.2">
      <c r="A898" s="1">
        <v>44645</v>
      </c>
      <c r="B898" s="2">
        <v>1231</v>
      </c>
      <c r="C898" s="2">
        <v>238</v>
      </c>
      <c r="D898" s="3">
        <v>2433.8200000000002</v>
      </c>
      <c r="E898" s="4" t="s">
        <v>11</v>
      </c>
    </row>
    <row r="899" spans="1:5" x14ac:dyDescent="0.2">
      <c r="A899" s="1">
        <v>44645</v>
      </c>
      <c r="B899" s="2">
        <v>1198</v>
      </c>
      <c r="C899" s="2">
        <v>272</v>
      </c>
      <c r="D899" s="3">
        <v>4082.24</v>
      </c>
      <c r="E899" s="4" t="s">
        <v>12</v>
      </c>
    </row>
    <row r="900" spans="1:5" hidden="1" x14ac:dyDescent="0.2">
      <c r="A900" s="1">
        <v>44646</v>
      </c>
      <c r="B900" s="2">
        <v>1201</v>
      </c>
      <c r="C900" s="2">
        <v>214</v>
      </c>
      <c r="D900" s="3">
        <v>3314.29</v>
      </c>
      <c r="E900" s="4" t="s">
        <v>11</v>
      </c>
    </row>
    <row r="901" spans="1:5" x14ac:dyDescent="0.2">
      <c r="A901" s="1">
        <v>44646</v>
      </c>
      <c r="B901" s="2">
        <v>1128</v>
      </c>
      <c r="C901" s="2">
        <v>249</v>
      </c>
      <c r="D901" s="3">
        <v>3441.08</v>
      </c>
      <c r="E901" s="4" t="s">
        <v>12</v>
      </c>
    </row>
    <row r="902" spans="1:5" hidden="1" x14ac:dyDescent="0.2">
      <c r="A902" s="1">
        <v>44647</v>
      </c>
      <c r="B902" s="2">
        <v>1126</v>
      </c>
      <c r="C902" s="2">
        <v>213</v>
      </c>
      <c r="D902" s="3">
        <v>3405.47</v>
      </c>
      <c r="E902" s="4" t="s">
        <v>11</v>
      </c>
    </row>
    <row r="903" spans="1:5" x14ac:dyDescent="0.2">
      <c r="A903" s="1">
        <v>44647</v>
      </c>
      <c r="B903" s="2">
        <v>1125</v>
      </c>
      <c r="C903" s="2">
        <v>253</v>
      </c>
      <c r="D903" s="3">
        <v>2603.56</v>
      </c>
      <c r="E903" s="4" t="s">
        <v>12</v>
      </c>
    </row>
    <row r="904" spans="1:5" hidden="1" x14ac:dyDescent="0.2">
      <c r="A904" s="1">
        <v>44648</v>
      </c>
      <c r="B904" s="2">
        <v>1183</v>
      </c>
      <c r="C904" s="2">
        <v>247</v>
      </c>
      <c r="D904" s="3">
        <v>3727.47</v>
      </c>
      <c r="E904" s="4" t="s">
        <v>11</v>
      </c>
    </row>
    <row r="905" spans="1:5" x14ac:dyDescent="0.2">
      <c r="A905" s="1">
        <v>44648</v>
      </c>
      <c r="B905" s="2">
        <v>1145</v>
      </c>
      <c r="C905" s="2">
        <v>260</v>
      </c>
      <c r="D905" s="3">
        <v>4450.33</v>
      </c>
      <c r="E905" s="4" t="s">
        <v>12</v>
      </c>
    </row>
    <row r="906" spans="1:5" hidden="1" x14ac:dyDescent="0.2">
      <c r="A906" s="1">
        <v>44649</v>
      </c>
      <c r="B906" s="2">
        <v>1203</v>
      </c>
      <c r="C906" s="2">
        <v>209</v>
      </c>
      <c r="D906" s="3">
        <v>3132.68</v>
      </c>
      <c r="E906" s="4" t="s">
        <v>11</v>
      </c>
    </row>
    <row r="907" spans="1:5" x14ac:dyDescent="0.2">
      <c r="A907" s="1">
        <v>44649</v>
      </c>
      <c r="B907" s="2">
        <v>1160</v>
      </c>
      <c r="C907" s="2">
        <v>271</v>
      </c>
      <c r="D907" s="3">
        <v>4974.75</v>
      </c>
      <c r="E907" s="4" t="s">
        <v>12</v>
      </c>
    </row>
    <row r="908" spans="1:5" hidden="1" x14ac:dyDescent="0.2">
      <c r="A908" s="1">
        <v>44650</v>
      </c>
      <c r="B908" s="2">
        <v>1211</v>
      </c>
      <c r="C908" s="2">
        <v>228</v>
      </c>
      <c r="D908" s="3">
        <v>2707.26</v>
      </c>
      <c r="E908" s="4" t="s">
        <v>11</v>
      </c>
    </row>
    <row r="909" spans="1:5" x14ac:dyDescent="0.2">
      <c r="A909" s="1">
        <v>44650</v>
      </c>
      <c r="B909" s="2">
        <v>1143</v>
      </c>
      <c r="C909" s="2">
        <v>261</v>
      </c>
      <c r="D909" s="3">
        <v>3560.32</v>
      </c>
      <c r="E909" s="4" t="s">
        <v>12</v>
      </c>
    </row>
    <row r="910" spans="1:5" hidden="1" x14ac:dyDescent="0.2">
      <c r="A910" s="1">
        <v>44651</v>
      </c>
      <c r="B910" s="2">
        <v>1207</v>
      </c>
      <c r="C910" s="2">
        <v>234</v>
      </c>
      <c r="D910" s="3">
        <v>3521.8</v>
      </c>
      <c r="E910" s="4" t="s">
        <v>11</v>
      </c>
    </row>
    <row r="911" spans="1:5" x14ac:dyDescent="0.2">
      <c r="A911" s="1">
        <v>44651</v>
      </c>
      <c r="B911" s="2">
        <v>1125</v>
      </c>
      <c r="C911" s="2">
        <v>271</v>
      </c>
      <c r="D911" s="3">
        <v>3499.63</v>
      </c>
      <c r="E911" s="4" t="s">
        <v>12</v>
      </c>
    </row>
    <row r="912" spans="1:5" hidden="1" x14ac:dyDescent="0.2">
      <c r="A912" s="1">
        <v>44652</v>
      </c>
      <c r="B912" s="2">
        <v>1195</v>
      </c>
      <c r="C912" s="2">
        <v>228</v>
      </c>
      <c r="D912" s="3">
        <v>3515.55</v>
      </c>
      <c r="E912" s="4" t="s">
        <v>11</v>
      </c>
    </row>
    <row r="913" spans="1:5" x14ac:dyDescent="0.2">
      <c r="A913" s="1">
        <v>44652</v>
      </c>
      <c r="B913" s="2">
        <v>1194</v>
      </c>
      <c r="C913" s="2">
        <v>258</v>
      </c>
      <c r="D913" s="3">
        <v>3564.72</v>
      </c>
      <c r="E913" s="4" t="s">
        <v>12</v>
      </c>
    </row>
    <row r="914" spans="1:5" hidden="1" x14ac:dyDescent="0.2">
      <c r="A914" s="1">
        <v>44653</v>
      </c>
      <c r="B914" s="2">
        <v>1145</v>
      </c>
      <c r="C914" s="2">
        <v>211</v>
      </c>
      <c r="D914" s="3">
        <v>3485.52</v>
      </c>
      <c r="E914" s="4" t="s">
        <v>11</v>
      </c>
    </row>
    <row r="915" spans="1:5" x14ac:dyDescent="0.2">
      <c r="A915" s="1">
        <v>44653</v>
      </c>
      <c r="B915" s="2">
        <v>1132</v>
      </c>
      <c r="C915" s="2">
        <v>239</v>
      </c>
      <c r="D915" s="3">
        <v>3684.54</v>
      </c>
      <c r="E915" s="4" t="s">
        <v>12</v>
      </c>
    </row>
    <row r="916" spans="1:5" hidden="1" x14ac:dyDescent="0.2">
      <c r="A916" s="1">
        <v>44654</v>
      </c>
      <c r="B916" s="2">
        <v>1225</v>
      </c>
      <c r="C916" s="2">
        <v>224</v>
      </c>
      <c r="D916" s="3">
        <v>2751.36</v>
      </c>
      <c r="E916" s="4" t="s">
        <v>11</v>
      </c>
    </row>
    <row r="917" spans="1:5" x14ac:dyDescent="0.2">
      <c r="A917" s="1">
        <v>44654</v>
      </c>
      <c r="B917" s="2">
        <v>1149</v>
      </c>
      <c r="C917" s="2">
        <v>264</v>
      </c>
      <c r="D917" s="3">
        <v>3653.9</v>
      </c>
      <c r="E917" s="4" t="s">
        <v>12</v>
      </c>
    </row>
    <row r="918" spans="1:5" hidden="1" x14ac:dyDescent="0.2">
      <c r="A918" s="1">
        <v>44655</v>
      </c>
      <c r="B918" s="2">
        <v>1195</v>
      </c>
      <c r="C918" s="2">
        <v>250</v>
      </c>
      <c r="D918" s="3">
        <v>3521.18</v>
      </c>
      <c r="E918" s="4" t="s">
        <v>11</v>
      </c>
    </row>
    <row r="919" spans="1:5" x14ac:dyDescent="0.2">
      <c r="A919" s="1">
        <v>44655</v>
      </c>
      <c r="B919" s="2">
        <v>1159</v>
      </c>
      <c r="C919" s="2">
        <v>252</v>
      </c>
      <c r="D919" s="3">
        <v>4125.59</v>
      </c>
      <c r="E919" s="4" t="s">
        <v>12</v>
      </c>
    </row>
    <row r="920" spans="1:5" hidden="1" x14ac:dyDescent="0.2">
      <c r="A920" s="1">
        <v>44656</v>
      </c>
      <c r="B920" s="2">
        <v>1196</v>
      </c>
      <c r="C920" s="2">
        <v>207</v>
      </c>
      <c r="D920" s="3">
        <v>3604.54</v>
      </c>
      <c r="E920" s="4" t="s">
        <v>11</v>
      </c>
    </row>
    <row r="921" spans="1:5" x14ac:dyDescent="0.2">
      <c r="A921" s="1">
        <v>44656</v>
      </c>
      <c r="B921" s="2">
        <v>1154</v>
      </c>
      <c r="C921" s="2">
        <v>271</v>
      </c>
      <c r="D921" s="3">
        <v>3508.28</v>
      </c>
      <c r="E921" s="4" t="s">
        <v>12</v>
      </c>
    </row>
    <row r="922" spans="1:5" hidden="1" x14ac:dyDescent="0.2">
      <c r="A922" s="1">
        <v>44657</v>
      </c>
      <c r="B922" s="2">
        <v>1169</v>
      </c>
      <c r="C922" s="2">
        <v>208</v>
      </c>
      <c r="D922" s="3">
        <v>2576.13</v>
      </c>
      <c r="E922" s="4" t="s">
        <v>11</v>
      </c>
    </row>
    <row r="923" spans="1:5" x14ac:dyDescent="0.2">
      <c r="A923" s="1">
        <v>44657</v>
      </c>
      <c r="B923" s="2">
        <v>1182</v>
      </c>
      <c r="C923" s="2">
        <v>266</v>
      </c>
      <c r="D923" s="3">
        <v>3405.93</v>
      </c>
      <c r="E923" s="4" t="s">
        <v>12</v>
      </c>
    </row>
    <row r="924" spans="1:5" hidden="1" x14ac:dyDescent="0.2">
      <c r="A924" s="1">
        <v>44658</v>
      </c>
      <c r="B924" s="2">
        <v>1176</v>
      </c>
      <c r="C924" s="2">
        <v>235</v>
      </c>
      <c r="D924" s="3">
        <v>2995.08</v>
      </c>
      <c r="E924" s="4" t="s">
        <v>11</v>
      </c>
    </row>
    <row r="925" spans="1:5" x14ac:dyDescent="0.2">
      <c r="A925" s="1">
        <v>44658</v>
      </c>
      <c r="B925" s="2">
        <v>1082</v>
      </c>
      <c r="C925" s="2">
        <v>239</v>
      </c>
      <c r="D925" s="3">
        <v>4363.1400000000003</v>
      </c>
      <c r="E925" s="4" t="s">
        <v>12</v>
      </c>
    </row>
    <row r="926" spans="1:5" hidden="1" x14ac:dyDescent="0.2">
      <c r="A926" s="1">
        <v>44659</v>
      </c>
      <c r="B926" s="2">
        <v>1183</v>
      </c>
      <c r="C926" s="2">
        <v>221</v>
      </c>
      <c r="D926" s="3">
        <v>3051.77</v>
      </c>
      <c r="E926" s="4" t="s">
        <v>11</v>
      </c>
    </row>
    <row r="927" spans="1:5" x14ac:dyDescent="0.2">
      <c r="A927" s="1">
        <v>44659</v>
      </c>
      <c r="B927" s="2">
        <v>1145</v>
      </c>
      <c r="C927" s="2">
        <v>254</v>
      </c>
      <c r="D927" s="3">
        <v>4521.47</v>
      </c>
      <c r="E927" s="4" t="s">
        <v>12</v>
      </c>
    </row>
    <row r="928" spans="1:5" hidden="1" x14ac:dyDescent="0.2">
      <c r="A928" s="1">
        <v>44660</v>
      </c>
      <c r="B928" s="2">
        <v>1211</v>
      </c>
      <c r="C928" s="2">
        <v>217</v>
      </c>
      <c r="D928" s="3">
        <v>2534.09</v>
      </c>
      <c r="E928" s="4" t="s">
        <v>11</v>
      </c>
    </row>
    <row r="929" spans="1:5" x14ac:dyDescent="0.2">
      <c r="A929" s="1">
        <v>44660</v>
      </c>
      <c r="B929" s="2">
        <v>1147</v>
      </c>
      <c r="C929" s="2">
        <v>264</v>
      </c>
      <c r="D929" s="3">
        <v>4489.72</v>
      </c>
      <c r="E929" s="4" t="s">
        <v>12</v>
      </c>
    </row>
    <row r="930" spans="1:5" hidden="1" x14ac:dyDescent="0.2">
      <c r="A930" s="1">
        <v>44661</v>
      </c>
      <c r="B930" s="2">
        <v>1207</v>
      </c>
      <c r="C930" s="2">
        <v>249</v>
      </c>
      <c r="D930" s="3">
        <v>3711.41</v>
      </c>
      <c r="E930" s="4" t="s">
        <v>11</v>
      </c>
    </row>
    <row r="931" spans="1:5" x14ac:dyDescent="0.2">
      <c r="A931" s="1">
        <v>44661</v>
      </c>
      <c r="B931" s="2">
        <v>1131</v>
      </c>
      <c r="C931" s="2">
        <v>272</v>
      </c>
      <c r="D931" s="3">
        <v>3491.3</v>
      </c>
      <c r="E931" s="4" t="s">
        <v>12</v>
      </c>
    </row>
    <row r="932" spans="1:5" hidden="1" x14ac:dyDescent="0.2">
      <c r="A932" s="1">
        <v>44662</v>
      </c>
      <c r="B932" s="2">
        <v>1174</v>
      </c>
      <c r="C932" s="2">
        <v>205</v>
      </c>
      <c r="D932" s="3">
        <v>3240.73</v>
      </c>
      <c r="E932" s="4" t="s">
        <v>11</v>
      </c>
    </row>
    <row r="933" spans="1:5" x14ac:dyDescent="0.2">
      <c r="A933" s="1">
        <v>44662</v>
      </c>
      <c r="B933" s="2">
        <v>1100</v>
      </c>
      <c r="C933" s="2">
        <v>240</v>
      </c>
      <c r="D933" s="3">
        <v>4183.62</v>
      </c>
      <c r="E933" s="4" t="s">
        <v>12</v>
      </c>
    </row>
    <row r="934" spans="1:5" hidden="1" x14ac:dyDescent="0.2">
      <c r="A934" s="1">
        <v>44663</v>
      </c>
      <c r="B934" s="2">
        <v>1238</v>
      </c>
      <c r="C934" s="2">
        <v>209</v>
      </c>
      <c r="D934" s="3">
        <v>2915.29</v>
      </c>
      <c r="E934" s="4" t="s">
        <v>11</v>
      </c>
    </row>
    <row r="935" spans="1:5" x14ac:dyDescent="0.2">
      <c r="A935" s="1">
        <v>44663</v>
      </c>
      <c r="B935" s="2">
        <v>1164</v>
      </c>
      <c r="C935" s="2">
        <v>277</v>
      </c>
      <c r="D935" s="3">
        <v>4449.95</v>
      </c>
      <c r="E935" s="4" t="s">
        <v>12</v>
      </c>
    </row>
    <row r="936" spans="1:5" hidden="1" x14ac:dyDescent="0.2">
      <c r="A936" s="1">
        <v>44664</v>
      </c>
      <c r="B936" s="2">
        <v>1204</v>
      </c>
      <c r="C936" s="2">
        <v>232</v>
      </c>
      <c r="D936" s="3">
        <v>2379.5500000000002</v>
      </c>
      <c r="E936" s="4" t="s">
        <v>11</v>
      </c>
    </row>
    <row r="937" spans="1:5" x14ac:dyDescent="0.2">
      <c r="A937" s="1">
        <v>44664</v>
      </c>
      <c r="B937" s="2">
        <v>1100</v>
      </c>
      <c r="C937" s="2">
        <v>277</v>
      </c>
      <c r="D937" s="3">
        <v>5563.31</v>
      </c>
      <c r="E937" s="4" t="s">
        <v>12</v>
      </c>
    </row>
    <row r="938" spans="1:5" hidden="1" x14ac:dyDescent="0.2">
      <c r="A938" s="1">
        <v>44665</v>
      </c>
      <c r="B938" s="2">
        <v>1151</v>
      </c>
      <c r="C938" s="2">
        <v>225</v>
      </c>
      <c r="D938" s="3">
        <v>3066.17</v>
      </c>
      <c r="E938" s="4" t="s">
        <v>11</v>
      </c>
    </row>
    <row r="939" spans="1:5" x14ac:dyDescent="0.2">
      <c r="A939" s="1">
        <v>44665</v>
      </c>
      <c r="B939" s="2">
        <v>1221</v>
      </c>
      <c r="C939" s="2">
        <v>265</v>
      </c>
      <c r="D939" s="3">
        <v>3480.68</v>
      </c>
      <c r="E939" s="4" t="s">
        <v>12</v>
      </c>
    </row>
    <row r="940" spans="1:5" hidden="1" x14ac:dyDescent="0.2">
      <c r="A940" s="1">
        <v>44666</v>
      </c>
      <c r="B940" s="2">
        <v>1177</v>
      </c>
      <c r="C940" s="2">
        <v>211</v>
      </c>
      <c r="D940" s="3">
        <v>2784.92</v>
      </c>
      <c r="E940" s="4" t="s">
        <v>11</v>
      </c>
    </row>
    <row r="941" spans="1:5" x14ac:dyDescent="0.2">
      <c r="A941" s="1">
        <v>44666</v>
      </c>
      <c r="B941" s="2">
        <v>1213</v>
      </c>
      <c r="C941" s="2">
        <v>303</v>
      </c>
      <c r="D941" s="3">
        <v>4263.6899999999996</v>
      </c>
      <c r="E941" s="4" t="s">
        <v>12</v>
      </c>
    </row>
    <row r="942" spans="1:5" hidden="1" x14ac:dyDescent="0.2">
      <c r="A942" s="1">
        <v>44667</v>
      </c>
      <c r="B942" s="2">
        <v>1256</v>
      </c>
      <c r="C942" s="2">
        <v>230</v>
      </c>
      <c r="D942" s="3">
        <v>3698.82</v>
      </c>
      <c r="E942" s="4" t="s">
        <v>11</v>
      </c>
    </row>
    <row r="943" spans="1:5" x14ac:dyDescent="0.2">
      <c r="A943" s="1">
        <v>44667</v>
      </c>
      <c r="B943" s="2">
        <v>1146</v>
      </c>
      <c r="C943" s="2">
        <v>268</v>
      </c>
      <c r="D943" s="3">
        <v>4757.63</v>
      </c>
      <c r="E943" s="4" t="s">
        <v>12</v>
      </c>
    </row>
    <row r="944" spans="1:5" hidden="1" x14ac:dyDescent="0.2">
      <c r="A944" s="1">
        <v>44668</v>
      </c>
      <c r="B944" s="2">
        <v>1264</v>
      </c>
      <c r="C944" s="2">
        <v>239</v>
      </c>
      <c r="D944" s="3">
        <v>3417.29</v>
      </c>
      <c r="E944" s="4" t="s">
        <v>11</v>
      </c>
    </row>
    <row r="945" spans="1:5" x14ac:dyDescent="0.2">
      <c r="A945" s="1">
        <v>44668</v>
      </c>
      <c r="B945" s="2">
        <v>1136</v>
      </c>
      <c r="C945" s="2">
        <v>264</v>
      </c>
      <c r="D945" s="3">
        <v>3052.71</v>
      </c>
      <c r="E945" s="4" t="s">
        <v>12</v>
      </c>
    </row>
    <row r="946" spans="1:5" hidden="1" x14ac:dyDescent="0.2">
      <c r="A946" s="1">
        <v>44669</v>
      </c>
      <c r="B946" s="2">
        <v>1154</v>
      </c>
      <c r="C946" s="2">
        <v>205</v>
      </c>
      <c r="D946" s="3">
        <v>2344.73</v>
      </c>
      <c r="E946" s="4" t="s">
        <v>11</v>
      </c>
    </row>
    <row r="947" spans="1:5" x14ac:dyDescent="0.2">
      <c r="A947" s="1">
        <v>44669</v>
      </c>
      <c r="B947" s="2">
        <v>1090</v>
      </c>
      <c r="C947" s="2">
        <v>257</v>
      </c>
      <c r="D947" s="3">
        <v>2965.54</v>
      </c>
      <c r="E947" s="4" t="s">
        <v>12</v>
      </c>
    </row>
    <row r="948" spans="1:5" hidden="1" x14ac:dyDescent="0.2">
      <c r="A948" s="1">
        <v>44670</v>
      </c>
      <c r="B948" s="2">
        <v>1192</v>
      </c>
      <c r="C948" s="2">
        <v>243</v>
      </c>
      <c r="D948" s="3">
        <v>2985.53</v>
      </c>
      <c r="E948" s="4" t="s">
        <v>11</v>
      </c>
    </row>
    <row r="949" spans="1:5" x14ac:dyDescent="0.2">
      <c r="A949" s="1">
        <v>44670</v>
      </c>
      <c r="B949" s="2">
        <v>1099</v>
      </c>
      <c r="C949" s="2">
        <v>232</v>
      </c>
      <c r="D949" s="3">
        <v>3815.54</v>
      </c>
      <c r="E949" s="4" t="s">
        <v>12</v>
      </c>
    </row>
    <row r="950" spans="1:5" hidden="1" x14ac:dyDescent="0.2">
      <c r="A950" s="1">
        <v>44671</v>
      </c>
      <c r="B950" s="2">
        <v>1194</v>
      </c>
      <c r="C950" s="2">
        <v>247</v>
      </c>
      <c r="D950" s="3">
        <v>3942.49</v>
      </c>
      <c r="E950" s="4" t="s">
        <v>11</v>
      </c>
    </row>
    <row r="951" spans="1:5" x14ac:dyDescent="0.2">
      <c r="A951" s="1">
        <v>44671</v>
      </c>
      <c r="B951" s="2">
        <v>1116</v>
      </c>
      <c r="C951" s="2">
        <v>262</v>
      </c>
      <c r="D951" s="3">
        <v>4976.28</v>
      </c>
      <c r="E951" s="4" t="s">
        <v>12</v>
      </c>
    </row>
    <row r="952" spans="1:5" hidden="1" x14ac:dyDescent="0.2">
      <c r="A952" s="1">
        <v>44672</v>
      </c>
      <c r="B952" s="2">
        <v>1209</v>
      </c>
      <c r="C952" s="2">
        <v>228</v>
      </c>
      <c r="D952" s="3">
        <v>3998.05</v>
      </c>
      <c r="E952" s="4" t="s">
        <v>11</v>
      </c>
    </row>
    <row r="953" spans="1:5" x14ac:dyDescent="0.2">
      <c r="A953" s="1">
        <v>44672</v>
      </c>
      <c r="B953" s="2">
        <v>1133</v>
      </c>
      <c r="C953" s="2">
        <v>278</v>
      </c>
      <c r="D953" s="3">
        <v>4608.53</v>
      </c>
      <c r="E953" s="4" t="s">
        <v>12</v>
      </c>
    </row>
    <row r="954" spans="1:5" hidden="1" x14ac:dyDescent="0.2">
      <c r="A954" s="1">
        <v>44673</v>
      </c>
      <c r="B954" s="2">
        <v>1212</v>
      </c>
      <c r="C954" s="2">
        <v>222</v>
      </c>
      <c r="D954" s="3">
        <v>3072.47</v>
      </c>
      <c r="E954" s="4" t="s">
        <v>11</v>
      </c>
    </row>
    <row r="955" spans="1:5" x14ac:dyDescent="0.2">
      <c r="A955" s="1">
        <v>44673</v>
      </c>
      <c r="B955" s="2">
        <v>1105</v>
      </c>
      <c r="C955" s="2">
        <v>259</v>
      </c>
      <c r="D955" s="3">
        <v>3544.98</v>
      </c>
      <c r="E955" s="4" t="s">
        <v>12</v>
      </c>
    </row>
    <row r="956" spans="1:5" hidden="1" x14ac:dyDescent="0.2">
      <c r="A956" s="1">
        <v>44674</v>
      </c>
      <c r="B956" s="2">
        <v>1235</v>
      </c>
      <c r="C956" s="2">
        <v>239</v>
      </c>
      <c r="D956" s="3">
        <v>3989.29</v>
      </c>
      <c r="E956" s="4" t="s">
        <v>11</v>
      </c>
    </row>
    <row r="957" spans="1:5" x14ac:dyDescent="0.2">
      <c r="A957" s="1">
        <v>44674</v>
      </c>
      <c r="B957" s="2">
        <v>1078</v>
      </c>
      <c r="C957" s="2">
        <v>260</v>
      </c>
      <c r="D957" s="3">
        <v>4427.3100000000004</v>
      </c>
      <c r="E957" s="4" t="s">
        <v>12</v>
      </c>
    </row>
    <row r="958" spans="1:5" hidden="1" x14ac:dyDescent="0.2">
      <c r="A958" s="1">
        <v>44675</v>
      </c>
      <c r="B958" s="2">
        <v>1214</v>
      </c>
      <c r="C958" s="2">
        <v>249</v>
      </c>
      <c r="D958" s="3">
        <v>3314.11</v>
      </c>
      <c r="E958" s="4" t="s">
        <v>11</v>
      </c>
    </row>
    <row r="959" spans="1:5" x14ac:dyDescent="0.2">
      <c r="A959" s="1">
        <v>44675</v>
      </c>
      <c r="B959" s="2">
        <v>1122</v>
      </c>
      <c r="C959" s="2">
        <v>283</v>
      </c>
      <c r="D959" s="3">
        <v>4841.22</v>
      </c>
      <c r="E959" s="4" t="s">
        <v>12</v>
      </c>
    </row>
    <row r="960" spans="1:5" hidden="1" x14ac:dyDescent="0.2">
      <c r="A960" s="1">
        <v>44676</v>
      </c>
      <c r="B960" s="2">
        <v>1158</v>
      </c>
      <c r="C960" s="2">
        <v>217</v>
      </c>
      <c r="D960" s="3">
        <v>3426.61</v>
      </c>
      <c r="E960" s="4" t="s">
        <v>11</v>
      </c>
    </row>
    <row r="961" spans="1:5" x14ac:dyDescent="0.2">
      <c r="A961" s="1">
        <v>44676</v>
      </c>
      <c r="B961" s="2">
        <v>1122</v>
      </c>
      <c r="C961" s="2">
        <v>251</v>
      </c>
      <c r="D961" s="3">
        <v>3535.3</v>
      </c>
      <c r="E961" s="4" t="s">
        <v>12</v>
      </c>
    </row>
    <row r="962" spans="1:5" hidden="1" x14ac:dyDescent="0.2">
      <c r="A962" s="1">
        <v>44677</v>
      </c>
      <c r="B962" s="2">
        <v>1195</v>
      </c>
      <c r="C962" s="2">
        <v>262</v>
      </c>
      <c r="D962" s="3">
        <v>3427.6</v>
      </c>
      <c r="E962" s="4" t="s">
        <v>11</v>
      </c>
    </row>
    <row r="963" spans="1:5" x14ac:dyDescent="0.2">
      <c r="A963" s="1">
        <v>44677</v>
      </c>
      <c r="B963" s="2">
        <v>1156</v>
      </c>
      <c r="C963" s="2">
        <v>291</v>
      </c>
      <c r="D963" s="3">
        <v>3868.84</v>
      </c>
      <c r="E963" s="4" t="s">
        <v>12</v>
      </c>
    </row>
    <row r="964" spans="1:5" hidden="1" x14ac:dyDescent="0.2">
      <c r="A964" s="1">
        <v>44678</v>
      </c>
      <c r="B964" s="2">
        <v>1251</v>
      </c>
      <c r="C964" s="2">
        <v>218</v>
      </c>
      <c r="D964" s="3">
        <v>3556.78</v>
      </c>
      <c r="E964" s="4" t="s">
        <v>11</v>
      </c>
    </row>
    <row r="965" spans="1:5" x14ac:dyDescent="0.2">
      <c r="A965" s="1">
        <v>44678</v>
      </c>
      <c r="B965" s="2">
        <v>1168</v>
      </c>
      <c r="C965" s="2">
        <v>267</v>
      </c>
      <c r="D965" s="3">
        <v>4234.87</v>
      </c>
      <c r="E965" s="4" t="s">
        <v>12</v>
      </c>
    </row>
    <row r="966" spans="1:5" hidden="1" x14ac:dyDescent="0.2">
      <c r="A966" s="1">
        <v>44679</v>
      </c>
      <c r="B966" s="2">
        <v>1145</v>
      </c>
      <c r="C966" s="2">
        <v>210</v>
      </c>
      <c r="D966" s="3">
        <v>2974.68</v>
      </c>
      <c r="E966" s="4" t="s">
        <v>11</v>
      </c>
    </row>
    <row r="967" spans="1:5" x14ac:dyDescent="0.2">
      <c r="A967" s="1">
        <v>44679</v>
      </c>
      <c r="B967" s="2">
        <v>1106</v>
      </c>
      <c r="C967" s="2">
        <v>260</v>
      </c>
      <c r="D967" s="3">
        <v>4338.91</v>
      </c>
      <c r="E967" s="4" t="s">
        <v>12</v>
      </c>
    </row>
    <row r="968" spans="1:5" hidden="1" x14ac:dyDescent="0.2">
      <c r="A968" s="1">
        <v>44680</v>
      </c>
      <c r="B968" s="2">
        <v>1162</v>
      </c>
      <c r="C968" s="2">
        <v>227</v>
      </c>
      <c r="D968" s="3">
        <v>3630.37</v>
      </c>
      <c r="E968" s="4" t="s">
        <v>11</v>
      </c>
    </row>
    <row r="969" spans="1:5" x14ac:dyDescent="0.2">
      <c r="A969" s="1">
        <v>44680</v>
      </c>
      <c r="B969" s="2">
        <v>1168</v>
      </c>
      <c r="C969" s="2">
        <v>288</v>
      </c>
      <c r="D969" s="3">
        <v>5803.24</v>
      </c>
      <c r="E969" s="4" t="s">
        <v>12</v>
      </c>
    </row>
    <row r="970" spans="1:5" hidden="1" x14ac:dyDescent="0.2">
      <c r="A970" s="1">
        <v>44681</v>
      </c>
      <c r="B970" s="2">
        <v>1109</v>
      </c>
      <c r="C970" s="2">
        <v>230</v>
      </c>
      <c r="D970" s="3">
        <v>3680.38</v>
      </c>
      <c r="E970" s="4" t="s">
        <v>11</v>
      </c>
    </row>
    <row r="971" spans="1:5" x14ac:dyDescent="0.2">
      <c r="A971" s="1">
        <v>44681</v>
      </c>
      <c r="B971" s="2">
        <v>1123</v>
      </c>
      <c r="C971" s="2">
        <v>241</v>
      </c>
      <c r="D971" s="3">
        <v>3432.58</v>
      </c>
      <c r="E971" s="4" t="s">
        <v>12</v>
      </c>
    </row>
    <row r="972" spans="1:5" hidden="1" x14ac:dyDescent="0.2">
      <c r="A972" s="1">
        <v>44682</v>
      </c>
      <c r="B972" s="2">
        <v>1256</v>
      </c>
      <c r="C972" s="2">
        <v>252</v>
      </c>
      <c r="D972" s="3">
        <v>2862.17</v>
      </c>
      <c r="E972" s="4" t="s">
        <v>11</v>
      </c>
    </row>
    <row r="973" spans="1:5" x14ac:dyDescent="0.2">
      <c r="A973" s="1">
        <v>44682</v>
      </c>
      <c r="B973" s="2">
        <v>1219</v>
      </c>
      <c r="C973" s="2">
        <v>289</v>
      </c>
      <c r="D973" s="3">
        <v>4278.55</v>
      </c>
      <c r="E973" s="4" t="s">
        <v>12</v>
      </c>
    </row>
    <row r="974" spans="1:5" hidden="1" x14ac:dyDescent="0.2">
      <c r="A974" s="1">
        <v>44683</v>
      </c>
      <c r="B974" s="2">
        <v>1176</v>
      </c>
      <c r="C974" s="2">
        <v>230</v>
      </c>
      <c r="D974" s="3">
        <v>3851.5</v>
      </c>
      <c r="E974" s="4" t="s">
        <v>11</v>
      </c>
    </row>
    <row r="975" spans="1:5" x14ac:dyDescent="0.2">
      <c r="A975" s="1">
        <v>44683</v>
      </c>
      <c r="B975" s="2">
        <v>1162</v>
      </c>
      <c r="C975" s="2">
        <v>274</v>
      </c>
      <c r="D975" s="3">
        <v>3854.55</v>
      </c>
      <c r="E975" s="4" t="s">
        <v>12</v>
      </c>
    </row>
    <row r="976" spans="1:5" hidden="1" x14ac:dyDescent="0.2">
      <c r="A976" s="1">
        <v>44684</v>
      </c>
      <c r="B976" s="2">
        <v>1215</v>
      </c>
      <c r="C976" s="2">
        <v>253</v>
      </c>
      <c r="D976" s="3">
        <v>4195.68</v>
      </c>
      <c r="E976" s="4" t="s">
        <v>11</v>
      </c>
    </row>
    <row r="977" spans="1:5" x14ac:dyDescent="0.2">
      <c r="A977" s="1">
        <v>44684</v>
      </c>
      <c r="B977" s="2">
        <v>1126</v>
      </c>
      <c r="C977" s="2">
        <v>287</v>
      </c>
      <c r="D977" s="3">
        <v>4264.45</v>
      </c>
      <c r="E977" s="4" t="s">
        <v>12</v>
      </c>
    </row>
    <row r="978" spans="1:5" hidden="1" x14ac:dyDescent="0.2">
      <c r="A978" s="1">
        <v>44685</v>
      </c>
      <c r="B978" s="2">
        <v>1200</v>
      </c>
      <c r="C978" s="2">
        <v>208</v>
      </c>
      <c r="D978" s="3">
        <v>2871.89</v>
      </c>
      <c r="E978" s="4" t="s">
        <v>11</v>
      </c>
    </row>
    <row r="979" spans="1:5" x14ac:dyDescent="0.2">
      <c r="A979" s="1">
        <v>44685</v>
      </c>
      <c r="B979" s="2">
        <v>1127</v>
      </c>
      <c r="C979" s="2">
        <v>272</v>
      </c>
      <c r="D979" s="3">
        <v>4189.25</v>
      </c>
      <c r="E979" s="4" t="s">
        <v>12</v>
      </c>
    </row>
    <row r="980" spans="1:5" hidden="1" x14ac:dyDescent="0.2">
      <c r="A980" s="1">
        <v>44686</v>
      </c>
      <c r="B980" s="2">
        <v>1213</v>
      </c>
      <c r="C980" s="2">
        <v>211</v>
      </c>
      <c r="D980" s="3">
        <v>2925.98</v>
      </c>
      <c r="E980" s="4" t="s">
        <v>11</v>
      </c>
    </row>
    <row r="981" spans="1:5" x14ac:dyDescent="0.2">
      <c r="A981" s="1">
        <v>44686</v>
      </c>
      <c r="B981" s="2">
        <v>1087</v>
      </c>
      <c r="C981" s="2">
        <v>240</v>
      </c>
      <c r="D981" s="3">
        <v>4239.18</v>
      </c>
      <c r="E981" s="4" t="s">
        <v>12</v>
      </c>
    </row>
    <row r="982" spans="1:5" hidden="1" x14ac:dyDescent="0.2">
      <c r="A982" s="1">
        <v>44687</v>
      </c>
      <c r="B982" s="2">
        <v>1264</v>
      </c>
      <c r="C982" s="2">
        <v>251</v>
      </c>
      <c r="D982" s="3">
        <v>4277.8</v>
      </c>
      <c r="E982" s="4" t="s">
        <v>11</v>
      </c>
    </row>
    <row r="983" spans="1:5" x14ac:dyDescent="0.2">
      <c r="A983" s="1">
        <v>44687</v>
      </c>
      <c r="B983" s="2">
        <v>1114</v>
      </c>
      <c r="C983" s="2">
        <v>281</v>
      </c>
      <c r="D983" s="3">
        <v>5012.43</v>
      </c>
      <c r="E983" s="4" t="s">
        <v>12</v>
      </c>
    </row>
    <row r="984" spans="1:5" hidden="1" x14ac:dyDescent="0.2">
      <c r="A984" s="1">
        <v>44688</v>
      </c>
      <c r="B984" s="2">
        <v>1186</v>
      </c>
      <c r="C984" s="2">
        <v>231</v>
      </c>
      <c r="D984" s="3">
        <v>3659.86</v>
      </c>
      <c r="E984" s="4" t="s">
        <v>11</v>
      </c>
    </row>
    <row r="985" spans="1:5" x14ac:dyDescent="0.2">
      <c r="A985" s="1">
        <v>44688</v>
      </c>
      <c r="B985" s="2">
        <v>1198</v>
      </c>
      <c r="C985" s="2">
        <v>283</v>
      </c>
      <c r="D985" s="3">
        <v>5269.57</v>
      </c>
      <c r="E985" s="4" t="s">
        <v>12</v>
      </c>
    </row>
    <row r="986" spans="1:5" hidden="1" x14ac:dyDescent="0.2">
      <c r="A986" s="1">
        <v>44689</v>
      </c>
      <c r="B986" s="2">
        <v>1192</v>
      </c>
      <c r="C986" s="2">
        <v>229</v>
      </c>
      <c r="D986" s="3">
        <v>3276.91</v>
      </c>
      <c r="E986" s="4" t="s">
        <v>11</v>
      </c>
    </row>
    <row r="987" spans="1:5" x14ac:dyDescent="0.2">
      <c r="A987" s="1">
        <v>44689</v>
      </c>
      <c r="B987" s="2">
        <v>1119</v>
      </c>
      <c r="C987" s="2">
        <v>257</v>
      </c>
      <c r="D987" s="3">
        <v>4363.4799999999996</v>
      </c>
      <c r="E987" s="4" t="s">
        <v>12</v>
      </c>
    </row>
    <row r="988" spans="1:5" hidden="1" x14ac:dyDescent="0.2">
      <c r="A988" s="1">
        <v>44690</v>
      </c>
      <c r="B988" s="2">
        <v>1241</v>
      </c>
      <c r="C988" s="2">
        <v>232</v>
      </c>
      <c r="D988" s="3">
        <v>3505.92</v>
      </c>
      <c r="E988" s="4" t="s">
        <v>11</v>
      </c>
    </row>
    <row r="989" spans="1:5" x14ac:dyDescent="0.2">
      <c r="A989" s="1">
        <v>44690</v>
      </c>
      <c r="B989" s="2">
        <v>1146</v>
      </c>
      <c r="C989" s="2">
        <v>252</v>
      </c>
      <c r="D989" s="3">
        <v>3875.94</v>
      </c>
      <c r="E989" s="4" t="s">
        <v>12</v>
      </c>
    </row>
    <row r="990" spans="1:5" hidden="1" x14ac:dyDescent="0.2">
      <c r="A990" s="1">
        <v>44691</v>
      </c>
      <c r="B990" s="2">
        <v>1223</v>
      </c>
      <c r="C990" s="2">
        <v>222</v>
      </c>
      <c r="D990" s="3">
        <v>3488.18</v>
      </c>
      <c r="E990" s="4" t="s">
        <v>11</v>
      </c>
    </row>
    <row r="991" spans="1:5" x14ac:dyDescent="0.2">
      <c r="A991" s="1">
        <v>44691</v>
      </c>
      <c r="B991" s="2">
        <v>1119</v>
      </c>
      <c r="C991" s="2">
        <v>261</v>
      </c>
      <c r="D991" s="3">
        <v>4834.51</v>
      </c>
      <c r="E991" s="4" t="s">
        <v>12</v>
      </c>
    </row>
    <row r="992" spans="1:5" hidden="1" x14ac:dyDescent="0.2">
      <c r="A992" s="1">
        <v>44692</v>
      </c>
      <c r="B992" s="2">
        <v>1192</v>
      </c>
      <c r="C992" s="2">
        <v>232</v>
      </c>
      <c r="D992" s="3">
        <v>3722.78</v>
      </c>
      <c r="E992" s="4" t="s">
        <v>11</v>
      </c>
    </row>
    <row r="993" spans="1:5" x14ac:dyDescent="0.2">
      <c r="A993" s="1">
        <v>44692</v>
      </c>
      <c r="B993" s="2">
        <v>1148</v>
      </c>
      <c r="C993" s="2">
        <v>263</v>
      </c>
      <c r="D993" s="3">
        <v>3566.11</v>
      </c>
      <c r="E993" s="4" t="s">
        <v>12</v>
      </c>
    </row>
    <row r="994" spans="1:5" hidden="1" x14ac:dyDescent="0.2">
      <c r="A994" s="1">
        <v>44693</v>
      </c>
      <c r="B994" s="2">
        <v>1233</v>
      </c>
      <c r="C994" s="2">
        <v>249</v>
      </c>
      <c r="D994" s="3">
        <v>2929.88</v>
      </c>
      <c r="E994" s="4" t="s">
        <v>11</v>
      </c>
    </row>
    <row r="995" spans="1:5" x14ac:dyDescent="0.2">
      <c r="A995" s="1">
        <v>44693</v>
      </c>
      <c r="B995" s="2">
        <v>1206</v>
      </c>
      <c r="C995" s="2">
        <v>289</v>
      </c>
      <c r="D995" s="3">
        <v>4491.42</v>
      </c>
      <c r="E995" s="4" t="s">
        <v>12</v>
      </c>
    </row>
    <row r="996" spans="1:5" hidden="1" x14ac:dyDescent="0.2">
      <c r="A996" s="1">
        <v>44694</v>
      </c>
      <c r="B996" s="2">
        <v>1155</v>
      </c>
      <c r="C996" s="2">
        <v>207</v>
      </c>
      <c r="D996" s="3">
        <v>3718.53</v>
      </c>
      <c r="E996" s="4" t="s">
        <v>11</v>
      </c>
    </row>
    <row r="997" spans="1:5" x14ac:dyDescent="0.2">
      <c r="A997" s="1">
        <v>44694</v>
      </c>
      <c r="B997" s="2">
        <v>1120</v>
      </c>
      <c r="C997" s="2">
        <v>249</v>
      </c>
      <c r="D997" s="3">
        <v>3842.96</v>
      </c>
      <c r="E997" s="4" t="s">
        <v>12</v>
      </c>
    </row>
    <row r="998" spans="1:5" hidden="1" x14ac:dyDescent="0.2">
      <c r="A998" s="1">
        <v>44695</v>
      </c>
      <c r="B998" s="2">
        <v>1222</v>
      </c>
      <c r="C998" s="2">
        <v>251</v>
      </c>
      <c r="D998" s="3">
        <v>4092.46</v>
      </c>
      <c r="E998" s="4" t="s">
        <v>11</v>
      </c>
    </row>
    <row r="999" spans="1:5" x14ac:dyDescent="0.2">
      <c r="A999" s="1">
        <v>44695</v>
      </c>
      <c r="B999" s="2">
        <v>1114</v>
      </c>
      <c r="C999" s="2">
        <v>247</v>
      </c>
      <c r="D999" s="3">
        <v>3146.12</v>
      </c>
      <c r="E999" s="4" t="s">
        <v>12</v>
      </c>
    </row>
    <row r="1000" spans="1:5" hidden="1" x14ac:dyDescent="0.2">
      <c r="A1000" s="1">
        <v>44696</v>
      </c>
      <c r="B1000" s="2">
        <v>1230</v>
      </c>
      <c r="C1000" s="2">
        <v>235</v>
      </c>
      <c r="D1000" s="3">
        <v>3416.29</v>
      </c>
      <c r="E1000" s="4" t="s">
        <v>11</v>
      </c>
    </row>
    <row r="1001" spans="1:5" x14ac:dyDescent="0.2">
      <c r="A1001" s="1">
        <v>44696</v>
      </c>
      <c r="B1001" s="2">
        <v>1139</v>
      </c>
      <c r="C1001" s="2">
        <v>241</v>
      </c>
      <c r="D1001" s="3">
        <v>3578.17</v>
      </c>
      <c r="E1001" s="4" t="s">
        <v>12</v>
      </c>
    </row>
    <row r="1002" spans="1:5" hidden="1" x14ac:dyDescent="0.2">
      <c r="A1002" s="1">
        <v>44697</v>
      </c>
      <c r="B1002" s="2">
        <v>1172</v>
      </c>
      <c r="C1002" s="2">
        <v>232</v>
      </c>
      <c r="D1002" s="3">
        <v>3441.62</v>
      </c>
      <c r="E1002" s="4" t="s">
        <v>11</v>
      </c>
    </row>
    <row r="1003" spans="1:5" x14ac:dyDescent="0.2">
      <c r="A1003" s="1">
        <v>44697</v>
      </c>
      <c r="B1003" s="2">
        <v>1134</v>
      </c>
      <c r="C1003" s="2">
        <v>263</v>
      </c>
      <c r="D1003" s="3">
        <v>4335.87</v>
      </c>
      <c r="E1003" s="4" t="s">
        <v>12</v>
      </c>
    </row>
    <row r="1004" spans="1:5" hidden="1" x14ac:dyDescent="0.2">
      <c r="A1004" s="1">
        <v>44698</v>
      </c>
      <c r="B1004" s="2">
        <v>1232</v>
      </c>
      <c r="C1004" s="2">
        <v>219</v>
      </c>
      <c r="D1004" s="3">
        <v>2850.12</v>
      </c>
      <c r="E1004" s="4" t="s">
        <v>11</v>
      </c>
    </row>
    <row r="1005" spans="1:5" x14ac:dyDescent="0.2">
      <c r="A1005" s="1">
        <v>44698</v>
      </c>
      <c r="B1005" s="2">
        <v>1178</v>
      </c>
      <c r="C1005" s="2">
        <v>261</v>
      </c>
      <c r="D1005" s="3">
        <v>3421.6</v>
      </c>
      <c r="E1005" s="4" t="s">
        <v>12</v>
      </c>
    </row>
    <row r="1006" spans="1:5" hidden="1" x14ac:dyDescent="0.2">
      <c r="A1006" s="1">
        <v>44699</v>
      </c>
      <c r="B1006" s="2">
        <v>1191</v>
      </c>
      <c r="C1006" s="2">
        <v>222</v>
      </c>
      <c r="D1006" s="3">
        <v>3059.89</v>
      </c>
      <c r="E1006" s="4" t="s">
        <v>11</v>
      </c>
    </row>
    <row r="1007" spans="1:5" x14ac:dyDescent="0.2">
      <c r="A1007" s="1">
        <v>44699</v>
      </c>
      <c r="B1007" s="2">
        <v>1183</v>
      </c>
      <c r="C1007" s="2">
        <v>257</v>
      </c>
      <c r="D1007" s="3">
        <v>4416.5600000000004</v>
      </c>
      <c r="E1007" s="4" t="s">
        <v>12</v>
      </c>
    </row>
    <row r="1008" spans="1:5" hidden="1" x14ac:dyDescent="0.2">
      <c r="A1008" s="1">
        <v>44700</v>
      </c>
      <c r="B1008" s="2">
        <v>1121</v>
      </c>
      <c r="C1008" s="2">
        <v>220</v>
      </c>
      <c r="D1008" s="3">
        <v>3618.04</v>
      </c>
      <c r="E1008" s="4" t="s">
        <v>11</v>
      </c>
    </row>
    <row r="1009" spans="1:5" x14ac:dyDescent="0.2">
      <c r="A1009" s="1">
        <v>44700</v>
      </c>
      <c r="B1009" s="2">
        <v>1166</v>
      </c>
      <c r="C1009" s="2">
        <v>253</v>
      </c>
      <c r="D1009" s="3">
        <v>4104.57</v>
      </c>
      <c r="E1009" s="4" t="s">
        <v>12</v>
      </c>
    </row>
    <row r="1010" spans="1:5" hidden="1" x14ac:dyDescent="0.2">
      <c r="A1010" s="1">
        <v>44701</v>
      </c>
      <c r="B1010" s="2">
        <v>1196</v>
      </c>
      <c r="C1010" s="2">
        <v>212</v>
      </c>
      <c r="D1010" s="3">
        <v>3855.29</v>
      </c>
      <c r="E1010" s="4" t="s">
        <v>11</v>
      </c>
    </row>
    <row r="1011" spans="1:5" x14ac:dyDescent="0.2">
      <c r="A1011" s="1">
        <v>44701</v>
      </c>
      <c r="B1011" s="2">
        <v>1149</v>
      </c>
      <c r="C1011" s="2">
        <v>286</v>
      </c>
      <c r="D1011" s="3">
        <v>4587.0600000000004</v>
      </c>
      <c r="E1011" s="4" t="s">
        <v>12</v>
      </c>
    </row>
    <row r="1012" spans="1:5" hidden="1" x14ac:dyDescent="0.2">
      <c r="A1012" s="1">
        <v>44702</v>
      </c>
      <c r="B1012" s="2">
        <v>1245</v>
      </c>
      <c r="C1012" s="2">
        <v>217</v>
      </c>
      <c r="D1012" s="3">
        <v>2911.76</v>
      </c>
      <c r="E1012" s="4" t="s">
        <v>11</v>
      </c>
    </row>
    <row r="1013" spans="1:5" x14ac:dyDescent="0.2">
      <c r="A1013" s="1">
        <v>44702</v>
      </c>
      <c r="B1013" s="2">
        <v>1162</v>
      </c>
      <c r="C1013" s="2">
        <v>300</v>
      </c>
      <c r="D1013" s="3">
        <v>4820.3999999999996</v>
      </c>
      <c r="E1013" s="4" t="s">
        <v>12</v>
      </c>
    </row>
    <row r="1014" spans="1:5" hidden="1" x14ac:dyDescent="0.2">
      <c r="A1014" s="1">
        <v>44703</v>
      </c>
      <c r="B1014" s="2">
        <v>1196</v>
      </c>
      <c r="C1014" s="2">
        <v>218</v>
      </c>
      <c r="D1014" s="3">
        <v>2891.44</v>
      </c>
      <c r="E1014" s="4" t="s">
        <v>11</v>
      </c>
    </row>
    <row r="1015" spans="1:5" x14ac:dyDescent="0.2">
      <c r="A1015" s="1">
        <v>44703</v>
      </c>
      <c r="B1015" s="2">
        <v>1142</v>
      </c>
      <c r="C1015" s="2">
        <v>275</v>
      </c>
      <c r="D1015" s="3">
        <v>4453.8</v>
      </c>
      <c r="E1015" s="4" t="s">
        <v>12</v>
      </c>
    </row>
    <row r="1016" spans="1:5" hidden="1" x14ac:dyDescent="0.2">
      <c r="A1016" s="1">
        <v>44704</v>
      </c>
      <c r="B1016" s="2">
        <v>1144</v>
      </c>
      <c r="C1016" s="2">
        <v>234</v>
      </c>
      <c r="D1016" s="3">
        <v>3259.73</v>
      </c>
      <c r="E1016" s="4" t="s">
        <v>11</v>
      </c>
    </row>
    <row r="1017" spans="1:5" x14ac:dyDescent="0.2">
      <c r="A1017" s="1">
        <v>44704</v>
      </c>
      <c r="B1017" s="2">
        <v>1162</v>
      </c>
      <c r="C1017" s="2">
        <v>287</v>
      </c>
      <c r="D1017" s="3">
        <v>4761.3100000000004</v>
      </c>
      <c r="E1017" s="4" t="s">
        <v>12</v>
      </c>
    </row>
    <row r="1018" spans="1:5" hidden="1" x14ac:dyDescent="0.2">
      <c r="A1018" s="1">
        <v>44705</v>
      </c>
      <c r="B1018" s="2">
        <v>1222</v>
      </c>
      <c r="C1018" s="2">
        <v>214</v>
      </c>
      <c r="D1018" s="3">
        <v>2784.38</v>
      </c>
      <c r="E1018" s="4" t="s">
        <v>11</v>
      </c>
    </row>
    <row r="1019" spans="1:5" x14ac:dyDescent="0.2">
      <c r="A1019" s="1">
        <v>44705</v>
      </c>
      <c r="B1019" s="2">
        <v>1143</v>
      </c>
      <c r="C1019" s="2">
        <v>254</v>
      </c>
      <c r="D1019" s="3">
        <v>4190.7700000000004</v>
      </c>
      <c r="E1019" s="4" t="s">
        <v>12</v>
      </c>
    </row>
    <row r="1020" spans="1:5" hidden="1" x14ac:dyDescent="0.2">
      <c r="A1020" s="1">
        <v>44706</v>
      </c>
      <c r="B1020" s="2">
        <v>1201</v>
      </c>
      <c r="C1020" s="2">
        <v>240</v>
      </c>
      <c r="D1020" s="3">
        <v>3588.37</v>
      </c>
      <c r="E1020" s="4" t="s">
        <v>11</v>
      </c>
    </row>
    <row r="1021" spans="1:5" x14ac:dyDescent="0.2">
      <c r="A1021" s="1">
        <v>44706</v>
      </c>
      <c r="B1021" s="2">
        <v>1147</v>
      </c>
      <c r="C1021" s="2">
        <v>272</v>
      </c>
      <c r="D1021" s="3">
        <v>5006.13</v>
      </c>
      <c r="E1021" s="4" t="s">
        <v>12</v>
      </c>
    </row>
    <row r="1022" spans="1:5" hidden="1" x14ac:dyDescent="0.2">
      <c r="A1022" s="1">
        <v>44707</v>
      </c>
      <c r="B1022" s="2">
        <v>1199</v>
      </c>
      <c r="C1022" s="2">
        <v>217</v>
      </c>
      <c r="D1022" s="3">
        <v>2347.81</v>
      </c>
      <c r="E1022" s="4" t="s">
        <v>11</v>
      </c>
    </row>
    <row r="1023" spans="1:5" x14ac:dyDescent="0.2">
      <c r="A1023" s="1">
        <v>44707</v>
      </c>
      <c r="B1023" s="2">
        <v>1100</v>
      </c>
      <c r="C1023" s="2">
        <v>247</v>
      </c>
      <c r="D1023" s="3">
        <v>3867.89</v>
      </c>
      <c r="E1023" s="4" t="s">
        <v>12</v>
      </c>
    </row>
    <row r="1024" spans="1:5" hidden="1" x14ac:dyDescent="0.2">
      <c r="A1024" s="1">
        <v>44708</v>
      </c>
      <c r="B1024" s="2">
        <v>1180</v>
      </c>
      <c r="C1024" s="2">
        <v>223</v>
      </c>
      <c r="D1024" s="3">
        <v>2430.54</v>
      </c>
      <c r="E1024" s="4" t="s">
        <v>11</v>
      </c>
    </row>
    <row r="1025" spans="1:5" x14ac:dyDescent="0.2">
      <c r="A1025" s="1">
        <v>44708</v>
      </c>
      <c r="B1025" s="2">
        <v>1145</v>
      </c>
      <c r="C1025" s="2">
        <v>272</v>
      </c>
      <c r="D1025" s="3">
        <v>4754.1099999999997</v>
      </c>
      <c r="E1025" s="4" t="s">
        <v>12</v>
      </c>
    </row>
    <row r="1026" spans="1:5" hidden="1" x14ac:dyDescent="0.2">
      <c r="A1026" s="1">
        <v>44709</v>
      </c>
      <c r="B1026" s="2">
        <v>1173</v>
      </c>
      <c r="C1026" s="2">
        <v>219</v>
      </c>
      <c r="D1026" s="3">
        <v>3910.16</v>
      </c>
      <c r="E1026" s="4" t="s">
        <v>11</v>
      </c>
    </row>
    <row r="1027" spans="1:5" x14ac:dyDescent="0.2">
      <c r="A1027" s="1">
        <v>44709</v>
      </c>
      <c r="B1027" s="2">
        <v>1134</v>
      </c>
      <c r="C1027" s="2">
        <v>249</v>
      </c>
      <c r="D1027" s="3">
        <v>3775.12</v>
      </c>
      <c r="E1027" s="4" t="s">
        <v>12</v>
      </c>
    </row>
    <row r="1028" spans="1:5" hidden="1" x14ac:dyDescent="0.2">
      <c r="A1028" s="1">
        <v>44710</v>
      </c>
      <c r="B1028" s="2">
        <v>1167</v>
      </c>
      <c r="C1028" s="2">
        <v>217</v>
      </c>
      <c r="D1028" s="3">
        <v>3527.38</v>
      </c>
      <c r="E1028" s="4" t="s">
        <v>11</v>
      </c>
    </row>
    <row r="1029" spans="1:5" x14ac:dyDescent="0.2">
      <c r="A1029" s="1">
        <v>44710</v>
      </c>
      <c r="B1029" s="2">
        <v>1105</v>
      </c>
      <c r="C1029" s="2">
        <v>272</v>
      </c>
      <c r="D1029" s="3">
        <v>4199.95</v>
      </c>
      <c r="E1029" s="4" t="s">
        <v>12</v>
      </c>
    </row>
    <row r="1030" spans="1:5" hidden="1" x14ac:dyDescent="0.2">
      <c r="A1030" s="1">
        <v>44711</v>
      </c>
      <c r="B1030" s="2">
        <v>1261</v>
      </c>
      <c r="C1030" s="2">
        <v>231</v>
      </c>
      <c r="D1030" s="3">
        <v>3866.37</v>
      </c>
      <c r="E1030" s="4" t="s">
        <v>11</v>
      </c>
    </row>
    <row r="1031" spans="1:5" x14ac:dyDescent="0.2">
      <c r="A1031" s="1">
        <v>44711</v>
      </c>
      <c r="B1031" s="2">
        <v>1075</v>
      </c>
      <c r="C1031" s="2">
        <v>221</v>
      </c>
      <c r="D1031" s="3">
        <v>3011.64</v>
      </c>
      <c r="E1031" s="4" t="s">
        <v>12</v>
      </c>
    </row>
    <row r="1032" spans="1:5" hidden="1" x14ac:dyDescent="0.2">
      <c r="A1032" s="1">
        <v>44712</v>
      </c>
      <c r="B1032" s="2">
        <v>1233</v>
      </c>
      <c r="C1032" s="2">
        <v>247</v>
      </c>
      <c r="D1032" s="3">
        <v>3473.56</v>
      </c>
      <c r="E1032" s="4" t="s">
        <v>11</v>
      </c>
    </row>
    <row r="1033" spans="1:5" x14ac:dyDescent="0.2">
      <c r="A1033" s="1">
        <v>44712</v>
      </c>
      <c r="B1033" s="2">
        <v>1138</v>
      </c>
      <c r="C1033" s="2">
        <v>282</v>
      </c>
      <c r="D1033" s="3">
        <v>4084.06</v>
      </c>
      <c r="E1033" s="4" t="s">
        <v>12</v>
      </c>
    </row>
    <row r="1034" spans="1:5" hidden="1" x14ac:dyDescent="0.2">
      <c r="A1034" s="1">
        <v>44713</v>
      </c>
      <c r="B1034" s="2">
        <v>1191</v>
      </c>
      <c r="C1034" s="2">
        <v>231</v>
      </c>
      <c r="D1034" s="3">
        <v>2458.67</v>
      </c>
      <c r="E1034" s="4" t="s">
        <v>11</v>
      </c>
    </row>
    <row r="1035" spans="1:5" x14ac:dyDescent="0.2">
      <c r="A1035" s="1">
        <v>44713</v>
      </c>
      <c r="B1035" s="2">
        <v>1101</v>
      </c>
      <c r="C1035" s="2">
        <v>251</v>
      </c>
      <c r="D1035" s="3">
        <v>3750.21</v>
      </c>
      <c r="E1035" s="4" t="s">
        <v>12</v>
      </c>
    </row>
    <row r="1036" spans="1:5" hidden="1" x14ac:dyDescent="0.2">
      <c r="A1036" s="1">
        <v>44714</v>
      </c>
      <c r="B1036" s="2">
        <v>1201</v>
      </c>
      <c r="C1036" s="2">
        <v>229</v>
      </c>
      <c r="D1036" s="3">
        <v>3976.16</v>
      </c>
      <c r="E1036" s="4" t="s">
        <v>11</v>
      </c>
    </row>
    <row r="1037" spans="1:5" x14ac:dyDescent="0.2">
      <c r="A1037" s="1">
        <v>44714</v>
      </c>
      <c r="B1037" s="2">
        <v>1073</v>
      </c>
      <c r="C1037" s="2">
        <v>254</v>
      </c>
      <c r="D1037" s="3">
        <v>5254.58</v>
      </c>
      <c r="E1037" s="4" t="s">
        <v>12</v>
      </c>
    </row>
    <row r="1038" spans="1:5" hidden="1" x14ac:dyDescent="0.2">
      <c r="A1038" s="1">
        <v>44715</v>
      </c>
      <c r="B1038" s="2">
        <v>1226</v>
      </c>
      <c r="C1038" s="2">
        <v>216</v>
      </c>
      <c r="D1038" s="3">
        <v>3034.46</v>
      </c>
      <c r="E1038" s="4" t="s">
        <v>11</v>
      </c>
    </row>
    <row r="1039" spans="1:5" x14ac:dyDescent="0.2">
      <c r="A1039" s="1">
        <v>44715</v>
      </c>
      <c r="B1039" s="2">
        <v>1124</v>
      </c>
      <c r="C1039" s="2">
        <v>255</v>
      </c>
      <c r="D1039" s="3">
        <v>3658.68</v>
      </c>
      <c r="E1039" s="4" t="s">
        <v>12</v>
      </c>
    </row>
    <row r="1040" spans="1:5" hidden="1" x14ac:dyDescent="0.2">
      <c r="A1040" s="1">
        <v>44716</v>
      </c>
      <c r="B1040" s="2">
        <v>1191</v>
      </c>
      <c r="C1040" s="2">
        <v>225</v>
      </c>
      <c r="D1040" s="3">
        <v>3441.12</v>
      </c>
      <c r="E1040" s="4" t="s">
        <v>11</v>
      </c>
    </row>
    <row r="1041" spans="1:5" x14ac:dyDescent="0.2">
      <c r="A1041" s="1">
        <v>44716</v>
      </c>
      <c r="B1041" s="2">
        <v>1151</v>
      </c>
      <c r="C1041" s="2">
        <v>283</v>
      </c>
      <c r="D1041" s="3">
        <v>4232.47</v>
      </c>
      <c r="E1041" s="4" t="s">
        <v>12</v>
      </c>
    </row>
    <row r="1042" spans="1:5" hidden="1" x14ac:dyDescent="0.2">
      <c r="A1042" s="1">
        <v>44717</v>
      </c>
      <c r="B1042" s="2">
        <v>1167</v>
      </c>
      <c r="C1042" s="2">
        <v>239</v>
      </c>
      <c r="D1042" s="3">
        <v>3259.3</v>
      </c>
      <c r="E1042" s="4" t="s">
        <v>11</v>
      </c>
    </row>
    <row r="1043" spans="1:5" x14ac:dyDescent="0.2">
      <c r="A1043" s="1">
        <v>44717</v>
      </c>
      <c r="B1043" s="2">
        <v>1107</v>
      </c>
      <c r="C1043" s="2">
        <v>234</v>
      </c>
      <c r="D1043" s="3">
        <v>4196.9399999999996</v>
      </c>
      <c r="E1043" s="4" t="s">
        <v>12</v>
      </c>
    </row>
    <row r="1044" spans="1:5" hidden="1" x14ac:dyDescent="0.2">
      <c r="A1044" s="1">
        <v>44718</v>
      </c>
      <c r="B1044" s="2">
        <v>1173</v>
      </c>
      <c r="C1044" s="2">
        <v>229</v>
      </c>
      <c r="D1044" s="3">
        <v>3081.53</v>
      </c>
      <c r="E1044" s="4" t="s">
        <v>11</v>
      </c>
    </row>
    <row r="1045" spans="1:5" x14ac:dyDescent="0.2">
      <c r="A1045" s="1">
        <v>44718</v>
      </c>
      <c r="B1045" s="2">
        <v>1208</v>
      </c>
      <c r="C1045" s="2">
        <v>255</v>
      </c>
      <c r="D1045" s="3">
        <v>4900.8599999999997</v>
      </c>
      <c r="E1045" s="4" t="s">
        <v>12</v>
      </c>
    </row>
    <row r="1046" spans="1:5" hidden="1" x14ac:dyDescent="0.2">
      <c r="A1046" s="1">
        <v>44719</v>
      </c>
      <c r="B1046" s="2">
        <v>1175</v>
      </c>
      <c r="C1046" s="2">
        <v>238</v>
      </c>
      <c r="D1046" s="3">
        <v>3063.43</v>
      </c>
      <c r="E1046" s="4" t="s">
        <v>11</v>
      </c>
    </row>
    <row r="1047" spans="1:5" x14ac:dyDescent="0.2">
      <c r="A1047" s="1">
        <v>44719</v>
      </c>
      <c r="B1047" s="2">
        <v>1140</v>
      </c>
      <c r="C1047" s="2">
        <v>258</v>
      </c>
      <c r="D1047" s="3">
        <v>4122.92</v>
      </c>
      <c r="E1047" s="4" t="s">
        <v>12</v>
      </c>
    </row>
    <row r="1048" spans="1:5" hidden="1" x14ac:dyDescent="0.2">
      <c r="A1048" s="1">
        <v>44720</v>
      </c>
      <c r="B1048" s="2">
        <v>1187</v>
      </c>
      <c r="C1048" s="2">
        <v>223</v>
      </c>
      <c r="D1048" s="3">
        <v>3464.46</v>
      </c>
      <c r="E1048" s="4" t="s">
        <v>11</v>
      </c>
    </row>
    <row r="1049" spans="1:5" x14ac:dyDescent="0.2">
      <c r="A1049" s="1">
        <v>44720</v>
      </c>
      <c r="B1049" s="2">
        <v>1180</v>
      </c>
      <c r="C1049" s="2">
        <v>270</v>
      </c>
      <c r="D1049" s="3">
        <v>3875.29</v>
      </c>
      <c r="E1049" s="4" t="s">
        <v>12</v>
      </c>
    </row>
    <row r="1050" spans="1:5" hidden="1" x14ac:dyDescent="0.2">
      <c r="A1050" s="1">
        <v>44721</v>
      </c>
      <c r="B1050" s="2">
        <v>1205</v>
      </c>
      <c r="C1050" s="2">
        <v>222</v>
      </c>
      <c r="D1050" s="3">
        <v>3929.89</v>
      </c>
      <c r="E1050" s="4" t="s">
        <v>11</v>
      </c>
    </row>
    <row r="1051" spans="1:5" x14ac:dyDescent="0.2">
      <c r="A1051" s="1">
        <v>44721</v>
      </c>
      <c r="B1051" s="2">
        <v>1193</v>
      </c>
      <c r="C1051" s="2">
        <v>300</v>
      </c>
      <c r="D1051" s="3">
        <v>5575.65</v>
      </c>
      <c r="E1051" s="4" t="s">
        <v>12</v>
      </c>
    </row>
    <row r="1052" spans="1:5" hidden="1" x14ac:dyDescent="0.2">
      <c r="A1052" s="1">
        <v>44722</v>
      </c>
      <c r="B1052" s="2">
        <v>1204</v>
      </c>
      <c r="C1052" s="2">
        <v>214</v>
      </c>
      <c r="D1052" s="3">
        <v>3018.02</v>
      </c>
      <c r="E1052" s="4" t="s">
        <v>11</v>
      </c>
    </row>
    <row r="1053" spans="1:5" x14ac:dyDescent="0.2">
      <c r="A1053" s="1">
        <v>44722</v>
      </c>
      <c r="B1053" s="2">
        <v>1146</v>
      </c>
      <c r="C1053" s="2">
        <v>277</v>
      </c>
      <c r="D1053" s="3">
        <v>4564.16</v>
      </c>
      <c r="E1053" s="4" t="s">
        <v>12</v>
      </c>
    </row>
    <row r="1054" spans="1:5" hidden="1" x14ac:dyDescent="0.2">
      <c r="A1054" s="1">
        <v>44723</v>
      </c>
      <c r="B1054" s="2">
        <v>1190</v>
      </c>
      <c r="C1054" s="2">
        <v>234</v>
      </c>
      <c r="D1054" s="3">
        <v>3294.83</v>
      </c>
      <c r="E1054" s="4" t="s">
        <v>11</v>
      </c>
    </row>
    <row r="1055" spans="1:5" x14ac:dyDescent="0.2">
      <c r="A1055" s="1">
        <v>44723</v>
      </c>
      <c r="B1055" s="2">
        <v>1104</v>
      </c>
      <c r="C1055" s="2">
        <v>234</v>
      </c>
      <c r="D1055" s="3">
        <v>3998.31</v>
      </c>
      <c r="E1055" s="4" t="s">
        <v>12</v>
      </c>
    </row>
    <row r="1056" spans="1:5" hidden="1" x14ac:dyDescent="0.2">
      <c r="A1056" s="1">
        <v>44724</v>
      </c>
      <c r="B1056" s="2">
        <v>1240</v>
      </c>
      <c r="C1056" s="2">
        <v>231</v>
      </c>
      <c r="D1056" s="3">
        <v>3736.32</v>
      </c>
      <c r="E1056" s="4" t="s">
        <v>11</v>
      </c>
    </row>
    <row r="1057" spans="1:5" x14ac:dyDescent="0.2">
      <c r="A1057" s="1">
        <v>44724</v>
      </c>
      <c r="B1057" s="2">
        <v>1085</v>
      </c>
      <c r="C1057" s="2">
        <v>256</v>
      </c>
      <c r="D1057" s="3">
        <v>3990.72</v>
      </c>
      <c r="E1057" s="4" t="s">
        <v>12</v>
      </c>
    </row>
    <row r="1058" spans="1:5" hidden="1" x14ac:dyDescent="0.2">
      <c r="A1058" s="1">
        <v>44725</v>
      </c>
      <c r="B1058" s="2">
        <v>1174</v>
      </c>
      <c r="C1058" s="2">
        <v>234</v>
      </c>
      <c r="D1058" s="3">
        <v>3622.42</v>
      </c>
      <c r="E1058" s="4" t="s">
        <v>11</v>
      </c>
    </row>
    <row r="1059" spans="1:5" x14ac:dyDescent="0.2">
      <c r="A1059" s="1">
        <v>44725</v>
      </c>
      <c r="B1059" s="2">
        <v>1177</v>
      </c>
      <c r="C1059" s="2">
        <v>263</v>
      </c>
      <c r="D1059" s="3">
        <v>4867.1499999999996</v>
      </c>
      <c r="E1059" s="4" t="s">
        <v>12</v>
      </c>
    </row>
    <row r="1060" spans="1:5" hidden="1" x14ac:dyDescent="0.2">
      <c r="A1060" s="1">
        <v>44726</v>
      </c>
      <c r="B1060" s="2">
        <v>1244</v>
      </c>
      <c r="C1060" s="2">
        <v>269</v>
      </c>
      <c r="D1060" s="3">
        <v>3863.51</v>
      </c>
      <c r="E1060" s="4" t="s">
        <v>11</v>
      </c>
    </row>
    <row r="1061" spans="1:5" x14ac:dyDescent="0.2">
      <c r="A1061" s="1">
        <v>44726</v>
      </c>
      <c r="B1061" s="2">
        <v>1228</v>
      </c>
      <c r="C1061" s="2">
        <v>295</v>
      </c>
      <c r="D1061" s="3">
        <v>4112.41</v>
      </c>
      <c r="E1061" s="4" t="s">
        <v>12</v>
      </c>
    </row>
    <row r="1062" spans="1:5" hidden="1" x14ac:dyDescent="0.2">
      <c r="A1062" s="1">
        <v>44727</v>
      </c>
      <c r="B1062" s="2">
        <v>1223</v>
      </c>
      <c r="C1062" s="2">
        <v>231</v>
      </c>
      <c r="D1062" s="3">
        <v>2999.1</v>
      </c>
      <c r="E1062" s="4" t="s">
        <v>11</v>
      </c>
    </row>
    <row r="1063" spans="1:5" x14ac:dyDescent="0.2">
      <c r="A1063" s="1">
        <v>44727</v>
      </c>
      <c r="B1063" s="2">
        <v>1138</v>
      </c>
      <c r="C1063" s="2">
        <v>261</v>
      </c>
      <c r="D1063" s="3">
        <v>3087.16</v>
      </c>
      <c r="E1063" s="4" t="s">
        <v>12</v>
      </c>
    </row>
    <row r="1064" spans="1:5" hidden="1" x14ac:dyDescent="0.2">
      <c r="A1064" s="1">
        <v>44728</v>
      </c>
      <c r="B1064" s="2">
        <v>1186</v>
      </c>
      <c r="C1064" s="2">
        <v>205</v>
      </c>
      <c r="D1064" s="3">
        <v>3192.58</v>
      </c>
      <c r="E1064" s="4" t="s">
        <v>11</v>
      </c>
    </row>
    <row r="1065" spans="1:5" x14ac:dyDescent="0.2">
      <c r="A1065" s="1">
        <v>44728</v>
      </c>
      <c r="B1065" s="2">
        <v>1173</v>
      </c>
      <c r="C1065" s="2">
        <v>297</v>
      </c>
      <c r="D1065" s="3">
        <v>4664.5600000000004</v>
      </c>
      <c r="E1065" s="4" t="s">
        <v>12</v>
      </c>
    </row>
    <row r="1066" spans="1:5" hidden="1" x14ac:dyDescent="0.2">
      <c r="A1066" s="1">
        <v>44729</v>
      </c>
      <c r="B1066" s="2">
        <v>1212</v>
      </c>
      <c r="C1066" s="2">
        <v>243</v>
      </c>
      <c r="D1066" s="3">
        <v>3589.21</v>
      </c>
      <c r="E1066" s="4" t="s">
        <v>11</v>
      </c>
    </row>
    <row r="1067" spans="1:5" x14ac:dyDescent="0.2">
      <c r="A1067" s="1">
        <v>44729</v>
      </c>
      <c r="B1067" s="2">
        <v>1147</v>
      </c>
      <c r="C1067" s="2">
        <v>246</v>
      </c>
      <c r="D1067" s="3">
        <v>4214.8500000000004</v>
      </c>
      <c r="E1067" s="4" t="s">
        <v>12</v>
      </c>
    </row>
    <row r="1068" spans="1:5" hidden="1" x14ac:dyDescent="0.2">
      <c r="A1068" s="1">
        <v>44730</v>
      </c>
      <c r="B1068" s="2">
        <v>1204</v>
      </c>
      <c r="C1068" s="2">
        <v>218</v>
      </c>
      <c r="D1068" s="3">
        <v>3085.24</v>
      </c>
      <c r="E1068" s="4" t="s">
        <v>11</v>
      </c>
    </row>
    <row r="1069" spans="1:5" x14ac:dyDescent="0.2">
      <c r="A1069" s="1">
        <v>44730</v>
      </c>
      <c r="B1069" s="2">
        <v>1146</v>
      </c>
      <c r="C1069" s="2">
        <v>256</v>
      </c>
      <c r="D1069" s="3">
        <v>3863.85</v>
      </c>
      <c r="E1069" s="4" t="s">
        <v>12</v>
      </c>
    </row>
    <row r="1070" spans="1:5" hidden="1" x14ac:dyDescent="0.2">
      <c r="A1070" s="1">
        <v>44731</v>
      </c>
      <c r="B1070" s="2">
        <v>1215</v>
      </c>
      <c r="C1070" s="2">
        <v>246</v>
      </c>
      <c r="D1070" s="3">
        <v>4476.37</v>
      </c>
      <c r="E1070" s="4" t="s">
        <v>11</v>
      </c>
    </row>
    <row r="1071" spans="1:5" x14ac:dyDescent="0.2">
      <c r="A1071" s="1">
        <v>44731</v>
      </c>
      <c r="B1071" s="2">
        <v>1154</v>
      </c>
      <c r="C1071" s="2">
        <v>235</v>
      </c>
      <c r="D1071" s="3">
        <v>4104.7700000000004</v>
      </c>
      <c r="E1071" s="4" t="s">
        <v>12</v>
      </c>
    </row>
    <row r="1072" spans="1:5" hidden="1" x14ac:dyDescent="0.2">
      <c r="A1072" s="1">
        <v>44732</v>
      </c>
      <c r="B1072" s="2">
        <v>1133</v>
      </c>
      <c r="C1072" s="2">
        <v>213</v>
      </c>
      <c r="D1072" s="3">
        <v>4165.04</v>
      </c>
      <c r="E1072" s="4" t="s">
        <v>11</v>
      </c>
    </row>
    <row r="1073" spans="1:5" x14ac:dyDescent="0.2">
      <c r="A1073" s="1">
        <v>44732</v>
      </c>
      <c r="B1073" s="2">
        <v>1136</v>
      </c>
      <c r="C1073" s="2">
        <v>259</v>
      </c>
      <c r="D1073" s="3">
        <v>3504.52</v>
      </c>
      <c r="E1073" s="4" t="s">
        <v>12</v>
      </c>
    </row>
    <row r="1074" spans="1:5" hidden="1" x14ac:dyDescent="0.2">
      <c r="A1074" s="1">
        <v>44733</v>
      </c>
      <c r="B1074" s="2">
        <v>1217</v>
      </c>
      <c r="C1074" s="2">
        <v>204</v>
      </c>
      <c r="D1074" s="3">
        <v>3358.25</v>
      </c>
      <c r="E1074" s="4" t="s">
        <v>11</v>
      </c>
    </row>
    <row r="1075" spans="1:5" x14ac:dyDescent="0.2">
      <c r="A1075" s="1">
        <v>44733</v>
      </c>
      <c r="B1075" s="2">
        <v>1160</v>
      </c>
      <c r="C1075" s="2">
        <v>261</v>
      </c>
      <c r="D1075" s="3">
        <v>4457.0600000000004</v>
      </c>
      <c r="E1075" s="4" t="s">
        <v>12</v>
      </c>
    </row>
    <row r="1076" spans="1:5" hidden="1" x14ac:dyDescent="0.2">
      <c r="A1076" s="1">
        <v>44734</v>
      </c>
      <c r="B1076" s="2">
        <v>1196</v>
      </c>
      <c r="C1076" s="2">
        <v>230</v>
      </c>
      <c r="D1076" s="3">
        <v>3679.58</v>
      </c>
      <c r="E1076" s="4" t="s">
        <v>11</v>
      </c>
    </row>
    <row r="1077" spans="1:5" x14ac:dyDescent="0.2">
      <c r="A1077" s="1">
        <v>44734</v>
      </c>
      <c r="B1077" s="2">
        <v>1095</v>
      </c>
      <c r="C1077" s="2">
        <v>244</v>
      </c>
      <c r="D1077" s="3">
        <v>3078.17</v>
      </c>
      <c r="E1077" s="4" t="s">
        <v>12</v>
      </c>
    </row>
    <row r="1078" spans="1:5" hidden="1" x14ac:dyDescent="0.2">
      <c r="A1078" s="1">
        <v>44735</v>
      </c>
      <c r="B1078" s="2">
        <v>1200</v>
      </c>
      <c r="C1078" s="2">
        <v>223</v>
      </c>
      <c r="D1078" s="3">
        <v>3670.16</v>
      </c>
      <c r="E1078" s="4" t="s">
        <v>11</v>
      </c>
    </row>
    <row r="1079" spans="1:5" x14ac:dyDescent="0.2">
      <c r="A1079" s="1">
        <v>44735</v>
      </c>
      <c r="B1079" s="2">
        <v>1118</v>
      </c>
      <c r="C1079" s="2">
        <v>235</v>
      </c>
      <c r="D1079" s="3">
        <v>3925.05</v>
      </c>
      <c r="E1079" s="4" t="s">
        <v>12</v>
      </c>
    </row>
    <row r="1080" spans="1:5" hidden="1" x14ac:dyDescent="0.2">
      <c r="A1080" s="1">
        <v>44736</v>
      </c>
      <c r="B1080" s="2">
        <v>1183</v>
      </c>
      <c r="C1080" s="2">
        <v>220</v>
      </c>
      <c r="D1080" s="3">
        <v>3239.05</v>
      </c>
      <c r="E1080" s="4" t="s">
        <v>11</v>
      </c>
    </row>
    <row r="1081" spans="1:5" x14ac:dyDescent="0.2">
      <c r="A1081" s="1">
        <v>44736</v>
      </c>
      <c r="B1081" s="2">
        <v>1191</v>
      </c>
      <c r="C1081" s="2">
        <v>271</v>
      </c>
      <c r="D1081" s="3">
        <v>4106.25</v>
      </c>
      <c r="E1081" s="4" t="s">
        <v>12</v>
      </c>
    </row>
    <row r="1082" spans="1:5" hidden="1" x14ac:dyDescent="0.2">
      <c r="A1082" s="1">
        <v>44737</v>
      </c>
      <c r="B1082" s="2">
        <v>1189</v>
      </c>
      <c r="C1082" s="2">
        <v>223</v>
      </c>
      <c r="D1082" s="3">
        <v>3335.83</v>
      </c>
      <c r="E1082" s="4" t="s">
        <v>11</v>
      </c>
    </row>
    <row r="1083" spans="1:5" x14ac:dyDescent="0.2">
      <c r="A1083" s="1">
        <v>44737</v>
      </c>
      <c r="B1083" s="2">
        <v>1080</v>
      </c>
      <c r="C1083" s="2">
        <v>262</v>
      </c>
      <c r="D1083" s="3">
        <v>4343.53</v>
      </c>
      <c r="E1083" s="4" t="s">
        <v>12</v>
      </c>
    </row>
    <row r="1084" spans="1:5" hidden="1" x14ac:dyDescent="0.2">
      <c r="A1084" s="1">
        <v>44738</v>
      </c>
      <c r="B1084" s="2">
        <v>1276</v>
      </c>
      <c r="C1084" s="2">
        <v>237</v>
      </c>
      <c r="D1084" s="3">
        <v>3650.2</v>
      </c>
      <c r="E1084" s="4" t="s">
        <v>11</v>
      </c>
    </row>
    <row r="1085" spans="1:5" x14ac:dyDescent="0.2">
      <c r="A1085" s="1">
        <v>44738</v>
      </c>
      <c r="B1085" s="2">
        <v>1197</v>
      </c>
      <c r="C1085" s="2">
        <v>296</v>
      </c>
      <c r="D1085" s="3">
        <v>4795.67</v>
      </c>
      <c r="E1085" s="4" t="s">
        <v>12</v>
      </c>
    </row>
    <row r="1086" spans="1:5" hidden="1" x14ac:dyDescent="0.2">
      <c r="A1086" s="1">
        <v>44739</v>
      </c>
      <c r="B1086" s="2">
        <v>1154</v>
      </c>
      <c r="C1086" s="2">
        <v>229</v>
      </c>
      <c r="D1086" s="3">
        <v>3872.98</v>
      </c>
      <c r="E1086" s="4" t="s">
        <v>11</v>
      </c>
    </row>
    <row r="1087" spans="1:5" x14ac:dyDescent="0.2">
      <c r="A1087" s="1">
        <v>44739</v>
      </c>
      <c r="B1087" s="2">
        <v>1083</v>
      </c>
      <c r="C1087" s="2">
        <v>258</v>
      </c>
      <c r="D1087" s="3">
        <v>5327.53</v>
      </c>
      <c r="E1087" s="4" t="s">
        <v>12</v>
      </c>
    </row>
    <row r="1088" spans="1:5" hidden="1" x14ac:dyDescent="0.2">
      <c r="A1088" s="1">
        <v>44740</v>
      </c>
      <c r="B1088" s="2">
        <v>1255</v>
      </c>
      <c r="C1088" s="2">
        <v>253</v>
      </c>
      <c r="D1088" s="3">
        <v>3736.75</v>
      </c>
      <c r="E1088" s="4" t="s">
        <v>11</v>
      </c>
    </row>
    <row r="1089" spans="1:5" x14ac:dyDescent="0.2">
      <c r="A1089" s="1">
        <v>44740</v>
      </c>
      <c r="B1089" s="2">
        <v>1126</v>
      </c>
      <c r="C1089" s="2">
        <v>263</v>
      </c>
      <c r="D1089" s="3">
        <v>4026.05</v>
      </c>
      <c r="E1089" s="4" t="s">
        <v>12</v>
      </c>
    </row>
    <row r="1090" spans="1:5" hidden="1" x14ac:dyDescent="0.2">
      <c r="A1090" s="1">
        <v>44741</v>
      </c>
      <c r="B1090" s="2">
        <v>1204</v>
      </c>
      <c r="C1090" s="2">
        <v>200</v>
      </c>
      <c r="D1090" s="3">
        <v>3411.51</v>
      </c>
      <c r="E1090" s="4" t="s">
        <v>11</v>
      </c>
    </row>
    <row r="1091" spans="1:5" x14ac:dyDescent="0.2">
      <c r="A1091" s="1">
        <v>44741</v>
      </c>
      <c r="B1091" s="2">
        <v>1164</v>
      </c>
      <c r="C1091" s="2">
        <v>285</v>
      </c>
      <c r="D1091" s="3">
        <v>4845.96</v>
      </c>
      <c r="E1091" s="4" t="s">
        <v>12</v>
      </c>
    </row>
    <row r="1092" spans="1:5" hidden="1" x14ac:dyDescent="0.2">
      <c r="A1092" s="1">
        <v>44742</v>
      </c>
      <c r="B1092" s="2">
        <v>1203</v>
      </c>
      <c r="C1092" s="2">
        <v>240</v>
      </c>
      <c r="D1092" s="3">
        <v>3580.85</v>
      </c>
      <c r="E1092" s="4" t="s">
        <v>11</v>
      </c>
    </row>
    <row r="1093" spans="1:5" x14ac:dyDescent="0.2">
      <c r="A1093" s="1">
        <v>44742</v>
      </c>
      <c r="B1093" s="2">
        <v>1227</v>
      </c>
      <c r="C1093" s="2">
        <v>280</v>
      </c>
      <c r="D1093" s="3">
        <v>3693.63</v>
      </c>
      <c r="E1093" s="4" t="s">
        <v>12</v>
      </c>
    </row>
    <row r="1094" spans="1:5" hidden="1" x14ac:dyDescent="0.2">
      <c r="A1094" s="1">
        <v>44743</v>
      </c>
      <c r="B1094" s="2">
        <v>1210</v>
      </c>
      <c r="C1094" s="2">
        <v>241</v>
      </c>
      <c r="D1094" s="3">
        <v>3490.83</v>
      </c>
      <c r="E1094" s="4" t="s">
        <v>11</v>
      </c>
    </row>
    <row r="1095" spans="1:5" x14ac:dyDescent="0.2">
      <c r="A1095" s="1">
        <v>44743</v>
      </c>
      <c r="B1095" s="2">
        <v>1121</v>
      </c>
      <c r="C1095" s="2">
        <v>264</v>
      </c>
      <c r="D1095" s="3">
        <v>4187.2299999999996</v>
      </c>
      <c r="E1095" s="4" t="s">
        <v>12</v>
      </c>
    </row>
    <row r="1096" spans="1:5" hidden="1" x14ac:dyDescent="0.2">
      <c r="A1096" s="1">
        <v>44744</v>
      </c>
      <c r="B1096" s="2">
        <v>1197</v>
      </c>
      <c r="C1096" s="2">
        <v>209</v>
      </c>
      <c r="D1096" s="3">
        <v>3197.53</v>
      </c>
      <c r="E1096" s="4" t="s">
        <v>11</v>
      </c>
    </row>
    <row r="1097" spans="1:5" x14ac:dyDescent="0.2">
      <c r="A1097" s="1">
        <v>44744</v>
      </c>
      <c r="B1097" s="2">
        <v>1191</v>
      </c>
      <c r="C1097" s="2">
        <v>254</v>
      </c>
      <c r="D1097" s="3">
        <v>4113.7</v>
      </c>
      <c r="E1097" s="4" t="s">
        <v>12</v>
      </c>
    </row>
    <row r="1098" spans="1:5" hidden="1" x14ac:dyDescent="0.2">
      <c r="A1098" s="1">
        <v>44745</v>
      </c>
      <c r="B1098" s="2">
        <v>1240</v>
      </c>
      <c r="C1098" s="2">
        <v>250</v>
      </c>
      <c r="D1098" s="3">
        <v>3989.75</v>
      </c>
      <c r="E1098" s="4" t="s">
        <v>11</v>
      </c>
    </row>
    <row r="1099" spans="1:5" x14ac:dyDescent="0.2">
      <c r="A1099" s="1">
        <v>44745</v>
      </c>
      <c r="B1099" s="2">
        <v>1121</v>
      </c>
      <c r="C1099" s="2">
        <v>233</v>
      </c>
      <c r="D1099" s="3">
        <v>4067.69</v>
      </c>
      <c r="E1099" s="4" t="s">
        <v>12</v>
      </c>
    </row>
    <row r="1100" spans="1:5" hidden="1" x14ac:dyDescent="0.2">
      <c r="A1100" s="1">
        <v>44746</v>
      </c>
      <c r="B1100" s="2">
        <v>1186</v>
      </c>
      <c r="C1100" s="2">
        <v>224</v>
      </c>
      <c r="D1100" s="3">
        <v>3304.32</v>
      </c>
      <c r="E1100" s="4" t="s">
        <v>11</v>
      </c>
    </row>
    <row r="1101" spans="1:5" x14ac:dyDescent="0.2">
      <c r="A1101" s="1">
        <v>44746</v>
      </c>
      <c r="B1101" s="2">
        <v>1167</v>
      </c>
      <c r="C1101" s="2">
        <v>271</v>
      </c>
      <c r="D1101" s="3">
        <v>4221.43</v>
      </c>
      <c r="E1101" s="4" t="s">
        <v>12</v>
      </c>
    </row>
    <row r="1102" spans="1:5" hidden="1" x14ac:dyDescent="0.2">
      <c r="A1102" s="1">
        <v>44747</v>
      </c>
      <c r="B1102" s="2">
        <v>1165</v>
      </c>
      <c r="C1102" s="2">
        <v>256</v>
      </c>
      <c r="D1102" s="3">
        <v>3394.93</v>
      </c>
      <c r="E1102" s="4" t="s">
        <v>11</v>
      </c>
    </row>
    <row r="1103" spans="1:5" x14ac:dyDescent="0.2">
      <c r="A1103" s="1">
        <v>44747</v>
      </c>
      <c r="B1103" s="2">
        <v>1156</v>
      </c>
      <c r="C1103" s="2">
        <v>260</v>
      </c>
      <c r="D1103" s="3">
        <v>4154.3500000000004</v>
      </c>
      <c r="E1103" s="4" t="s">
        <v>12</v>
      </c>
    </row>
    <row r="1104" spans="1:5" hidden="1" x14ac:dyDescent="0.2">
      <c r="A1104" s="1">
        <v>44748</v>
      </c>
      <c r="B1104" s="2">
        <v>1183</v>
      </c>
      <c r="C1104" s="2">
        <v>247</v>
      </c>
      <c r="D1104" s="3">
        <v>4097.53</v>
      </c>
      <c r="E1104" s="4" t="s">
        <v>11</v>
      </c>
    </row>
    <row r="1105" spans="1:5" x14ac:dyDescent="0.2">
      <c r="A1105" s="1">
        <v>44748</v>
      </c>
      <c r="B1105" s="2">
        <v>1137</v>
      </c>
      <c r="C1105" s="2">
        <v>262</v>
      </c>
      <c r="D1105" s="3">
        <v>4702.18</v>
      </c>
      <c r="E1105" s="4" t="s">
        <v>12</v>
      </c>
    </row>
    <row r="1106" spans="1:5" hidden="1" x14ac:dyDescent="0.2">
      <c r="A1106" s="1">
        <v>44749</v>
      </c>
      <c r="B1106" s="2">
        <v>1165</v>
      </c>
      <c r="C1106" s="2">
        <v>218</v>
      </c>
      <c r="D1106" s="3">
        <v>3509.66</v>
      </c>
      <c r="E1106" s="4" t="s">
        <v>11</v>
      </c>
    </row>
    <row r="1107" spans="1:5" x14ac:dyDescent="0.2">
      <c r="A1107" s="1">
        <v>44749</v>
      </c>
      <c r="B1107" s="2">
        <v>1139</v>
      </c>
      <c r="C1107" s="2">
        <v>285</v>
      </c>
      <c r="D1107" s="3">
        <v>5586.82</v>
      </c>
      <c r="E1107" s="4" t="s">
        <v>12</v>
      </c>
    </row>
    <row r="1108" spans="1:5" hidden="1" x14ac:dyDescent="0.2">
      <c r="A1108" s="1">
        <v>44750</v>
      </c>
      <c r="B1108" s="2">
        <v>1140</v>
      </c>
      <c r="C1108" s="2">
        <v>201</v>
      </c>
      <c r="D1108" s="3">
        <v>2934.34</v>
      </c>
      <c r="E1108" s="4" t="s">
        <v>11</v>
      </c>
    </row>
    <row r="1109" spans="1:5" x14ac:dyDescent="0.2">
      <c r="A1109" s="1">
        <v>44750</v>
      </c>
      <c r="B1109" s="2">
        <v>1137</v>
      </c>
      <c r="C1109" s="2">
        <v>251</v>
      </c>
      <c r="D1109" s="3">
        <v>4200.49</v>
      </c>
      <c r="E1109" s="4" t="s">
        <v>12</v>
      </c>
    </row>
    <row r="1110" spans="1:5" hidden="1" x14ac:dyDescent="0.2">
      <c r="A1110" s="1">
        <v>44751</v>
      </c>
      <c r="B1110" s="2">
        <v>1217</v>
      </c>
      <c r="C1110" s="2">
        <v>249</v>
      </c>
      <c r="D1110" s="3">
        <v>4011.9</v>
      </c>
      <c r="E1110" s="4" t="s">
        <v>11</v>
      </c>
    </row>
    <row r="1111" spans="1:5" x14ac:dyDescent="0.2">
      <c r="A1111" s="1">
        <v>44751</v>
      </c>
      <c r="B1111" s="2">
        <v>1146</v>
      </c>
      <c r="C1111" s="2">
        <v>256</v>
      </c>
      <c r="D1111" s="3">
        <v>3793.26</v>
      </c>
      <c r="E1111" s="4" t="s">
        <v>12</v>
      </c>
    </row>
    <row r="1112" spans="1:5" hidden="1" x14ac:dyDescent="0.2">
      <c r="A1112" s="1">
        <v>44752</v>
      </c>
      <c r="B1112" s="2">
        <v>1226</v>
      </c>
      <c r="C1112" s="2">
        <v>231</v>
      </c>
      <c r="D1112" s="3">
        <v>3534.05</v>
      </c>
      <c r="E1112" s="4" t="s">
        <v>11</v>
      </c>
    </row>
    <row r="1113" spans="1:5" x14ac:dyDescent="0.2">
      <c r="A1113" s="1">
        <v>44752</v>
      </c>
      <c r="B1113" s="2">
        <v>1153</v>
      </c>
      <c r="C1113" s="2">
        <v>258</v>
      </c>
      <c r="D1113" s="3">
        <v>4525.71</v>
      </c>
      <c r="E1113" s="4" t="s">
        <v>12</v>
      </c>
    </row>
    <row r="1114" spans="1:5" hidden="1" x14ac:dyDescent="0.2">
      <c r="A1114" s="1">
        <v>44753</v>
      </c>
      <c r="B1114" s="2">
        <v>1202</v>
      </c>
      <c r="C1114" s="2">
        <v>219</v>
      </c>
      <c r="D1114" s="3">
        <v>3208.22</v>
      </c>
      <c r="E1114" s="4" t="s">
        <v>11</v>
      </c>
    </row>
    <row r="1115" spans="1:5" x14ac:dyDescent="0.2">
      <c r="A1115" s="1">
        <v>44753</v>
      </c>
      <c r="B1115" s="2">
        <v>1194</v>
      </c>
      <c r="C1115" s="2">
        <v>284</v>
      </c>
      <c r="D1115" s="3">
        <v>4770.8100000000004</v>
      </c>
      <c r="E1115" s="4" t="s">
        <v>12</v>
      </c>
    </row>
    <row r="1116" spans="1:5" hidden="1" x14ac:dyDescent="0.2">
      <c r="A1116" s="1">
        <v>44754</v>
      </c>
      <c r="B1116" s="2">
        <v>1148</v>
      </c>
      <c r="C1116" s="2">
        <v>217</v>
      </c>
      <c r="D1116" s="3">
        <v>4029.59</v>
      </c>
      <c r="E1116" s="4" t="s">
        <v>11</v>
      </c>
    </row>
    <row r="1117" spans="1:5" x14ac:dyDescent="0.2">
      <c r="A1117" s="1">
        <v>44754</v>
      </c>
      <c r="B1117" s="2">
        <v>1102</v>
      </c>
      <c r="C1117" s="2">
        <v>259</v>
      </c>
      <c r="D1117" s="3">
        <v>4150.97</v>
      </c>
      <c r="E1117" s="4" t="s">
        <v>12</v>
      </c>
    </row>
    <row r="1118" spans="1:5" hidden="1" x14ac:dyDescent="0.2">
      <c r="A1118" s="1">
        <v>44755</v>
      </c>
      <c r="B1118" s="2">
        <v>1236</v>
      </c>
      <c r="C1118" s="2">
        <v>239</v>
      </c>
      <c r="D1118" s="3">
        <v>3080.22</v>
      </c>
      <c r="E1118" s="4" t="s">
        <v>11</v>
      </c>
    </row>
    <row r="1119" spans="1:5" x14ac:dyDescent="0.2">
      <c r="A1119" s="1">
        <v>44755</v>
      </c>
      <c r="B1119" s="2">
        <v>1166</v>
      </c>
      <c r="C1119" s="2">
        <v>286</v>
      </c>
      <c r="D1119" s="3">
        <v>4429.03</v>
      </c>
      <c r="E1119" s="4" t="s">
        <v>12</v>
      </c>
    </row>
    <row r="1120" spans="1:5" hidden="1" x14ac:dyDescent="0.2">
      <c r="A1120" s="1">
        <v>44756</v>
      </c>
      <c r="B1120" s="2">
        <v>1255</v>
      </c>
      <c r="C1120" s="2">
        <v>230</v>
      </c>
      <c r="D1120" s="3">
        <v>3795.4</v>
      </c>
      <c r="E1120" s="4" t="s">
        <v>11</v>
      </c>
    </row>
    <row r="1121" spans="1:5" x14ac:dyDescent="0.2">
      <c r="A1121" s="1">
        <v>44756</v>
      </c>
      <c r="B1121" s="2">
        <v>1149</v>
      </c>
      <c r="C1121" s="2">
        <v>264</v>
      </c>
      <c r="D1121" s="3">
        <v>4569.54</v>
      </c>
      <c r="E1121" s="4" t="s">
        <v>12</v>
      </c>
    </row>
    <row r="1122" spans="1:5" hidden="1" x14ac:dyDescent="0.2">
      <c r="A1122" s="1">
        <v>44757</v>
      </c>
      <c r="B1122" s="2">
        <v>1252</v>
      </c>
      <c r="C1122" s="2">
        <v>219</v>
      </c>
      <c r="D1122" s="3">
        <v>2861.99</v>
      </c>
      <c r="E1122" s="4" t="s">
        <v>11</v>
      </c>
    </row>
    <row r="1123" spans="1:5" x14ac:dyDescent="0.2">
      <c r="A1123" s="1">
        <v>44757</v>
      </c>
      <c r="B1123" s="2">
        <v>1123</v>
      </c>
      <c r="C1123" s="2">
        <v>260</v>
      </c>
      <c r="D1123" s="3">
        <v>3879.94</v>
      </c>
      <c r="E1123" s="4" t="s">
        <v>12</v>
      </c>
    </row>
    <row r="1124" spans="1:5" hidden="1" x14ac:dyDescent="0.2">
      <c r="A1124" s="1">
        <v>44758</v>
      </c>
      <c r="B1124" s="2">
        <v>1156</v>
      </c>
      <c r="C1124" s="2">
        <v>231</v>
      </c>
      <c r="D1124" s="3">
        <v>4043.67</v>
      </c>
      <c r="E1124" s="4" t="s">
        <v>11</v>
      </c>
    </row>
    <row r="1125" spans="1:5" x14ac:dyDescent="0.2">
      <c r="A1125" s="1">
        <v>44758</v>
      </c>
      <c r="B1125" s="2">
        <v>1200</v>
      </c>
      <c r="C1125" s="2">
        <v>269</v>
      </c>
      <c r="D1125" s="3">
        <v>3884.89</v>
      </c>
      <c r="E1125" s="4" t="s">
        <v>12</v>
      </c>
    </row>
    <row r="1126" spans="1:5" hidden="1" x14ac:dyDescent="0.2">
      <c r="A1126" s="1">
        <v>44759</v>
      </c>
      <c r="B1126" s="2">
        <v>1159</v>
      </c>
      <c r="C1126" s="2">
        <v>213</v>
      </c>
      <c r="D1126" s="3">
        <v>2625.92</v>
      </c>
      <c r="E1126" s="4" t="s">
        <v>11</v>
      </c>
    </row>
    <row r="1127" spans="1:5" x14ac:dyDescent="0.2">
      <c r="A1127" s="1">
        <v>44759</v>
      </c>
      <c r="B1127" s="2">
        <v>1155</v>
      </c>
      <c r="C1127" s="2">
        <v>238</v>
      </c>
      <c r="D1127" s="3">
        <v>4152.6899999999996</v>
      </c>
      <c r="E1127" s="4" t="s">
        <v>12</v>
      </c>
    </row>
    <row r="1128" spans="1:5" hidden="1" x14ac:dyDescent="0.2">
      <c r="A1128" s="1">
        <v>44760</v>
      </c>
      <c r="B1128" s="2">
        <v>1244</v>
      </c>
      <c r="C1128" s="2">
        <v>219</v>
      </c>
      <c r="D1128" s="3">
        <v>2640.93</v>
      </c>
      <c r="E1128" s="4" t="s">
        <v>11</v>
      </c>
    </row>
    <row r="1129" spans="1:5" x14ac:dyDescent="0.2">
      <c r="A1129" s="1">
        <v>44760</v>
      </c>
      <c r="B1129" s="2">
        <v>1154</v>
      </c>
      <c r="C1129" s="2">
        <v>268</v>
      </c>
      <c r="D1129" s="3">
        <v>3611.16</v>
      </c>
      <c r="E1129" s="4" t="s">
        <v>12</v>
      </c>
    </row>
    <row r="1130" spans="1:5" hidden="1" x14ac:dyDescent="0.2">
      <c r="A1130" s="1">
        <v>44761</v>
      </c>
      <c r="B1130" s="2">
        <v>1216</v>
      </c>
      <c r="C1130" s="2">
        <v>236</v>
      </c>
      <c r="D1130" s="3">
        <v>4282.8</v>
      </c>
      <c r="E1130" s="4" t="s">
        <v>11</v>
      </c>
    </row>
    <row r="1131" spans="1:5" x14ac:dyDescent="0.2">
      <c r="A1131" s="1">
        <v>44761</v>
      </c>
      <c r="B1131" s="2">
        <v>1138</v>
      </c>
      <c r="C1131" s="2">
        <v>258</v>
      </c>
      <c r="D1131" s="3">
        <v>4363.6499999999996</v>
      </c>
      <c r="E1131" s="4" t="s">
        <v>12</v>
      </c>
    </row>
    <row r="1132" spans="1:5" hidden="1" x14ac:dyDescent="0.2">
      <c r="A1132" s="1">
        <v>44762</v>
      </c>
      <c r="B1132" s="2">
        <v>1264</v>
      </c>
      <c r="C1132" s="2">
        <v>238</v>
      </c>
      <c r="D1132" s="3">
        <v>3978.36</v>
      </c>
      <c r="E1132" s="4" t="s">
        <v>11</v>
      </c>
    </row>
    <row r="1133" spans="1:5" x14ac:dyDescent="0.2">
      <c r="A1133" s="1">
        <v>44762</v>
      </c>
      <c r="B1133" s="2">
        <v>1191</v>
      </c>
      <c r="C1133" s="2">
        <v>265</v>
      </c>
      <c r="D1133" s="3">
        <v>4533.3900000000003</v>
      </c>
      <c r="E1133" s="4" t="s">
        <v>12</v>
      </c>
    </row>
    <row r="1134" spans="1:5" hidden="1" x14ac:dyDescent="0.2">
      <c r="A1134" s="1">
        <v>44763</v>
      </c>
      <c r="B1134" s="2">
        <v>1171</v>
      </c>
      <c r="C1134" s="2">
        <v>221</v>
      </c>
      <c r="D1134" s="3">
        <v>3194.59</v>
      </c>
      <c r="E1134" s="4" t="s">
        <v>11</v>
      </c>
    </row>
    <row r="1135" spans="1:5" x14ac:dyDescent="0.2">
      <c r="A1135" s="1">
        <v>44763</v>
      </c>
      <c r="B1135" s="2">
        <v>1159</v>
      </c>
      <c r="C1135" s="2">
        <v>278</v>
      </c>
      <c r="D1135" s="3">
        <v>5133.95</v>
      </c>
      <c r="E1135" s="4" t="s">
        <v>12</v>
      </c>
    </row>
    <row r="1136" spans="1:5" hidden="1" x14ac:dyDescent="0.2">
      <c r="A1136" s="1">
        <v>44764</v>
      </c>
      <c r="B1136" s="2">
        <v>1196</v>
      </c>
      <c r="C1136" s="2">
        <v>193</v>
      </c>
      <c r="D1136" s="3">
        <v>2981.19</v>
      </c>
      <c r="E1136" s="4" t="s">
        <v>11</v>
      </c>
    </row>
    <row r="1137" spans="1:5" x14ac:dyDescent="0.2">
      <c r="A1137" s="1">
        <v>44764</v>
      </c>
      <c r="B1137" s="2">
        <v>1221</v>
      </c>
      <c r="C1137" s="2">
        <v>265</v>
      </c>
      <c r="D1137" s="3">
        <v>3604.85</v>
      </c>
      <c r="E1137" s="4" t="s">
        <v>12</v>
      </c>
    </row>
    <row r="1138" spans="1:5" hidden="1" x14ac:dyDescent="0.2">
      <c r="A1138" s="1">
        <v>44765</v>
      </c>
      <c r="B1138" s="2">
        <v>1163</v>
      </c>
      <c r="C1138" s="2">
        <v>222</v>
      </c>
      <c r="D1138" s="3">
        <v>3418.09</v>
      </c>
      <c r="E1138" s="4" t="s">
        <v>11</v>
      </c>
    </row>
    <row r="1139" spans="1:5" x14ac:dyDescent="0.2">
      <c r="A1139" s="1">
        <v>44765</v>
      </c>
      <c r="B1139" s="2">
        <v>1168</v>
      </c>
      <c r="C1139" s="2">
        <v>265</v>
      </c>
      <c r="D1139" s="3">
        <v>4235.13</v>
      </c>
      <c r="E1139" s="4" t="s">
        <v>12</v>
      </c>
    </row>
    <row r="1140" spans="1:5" hidden="1" x14ac:dyDescent="0.2">
      <c r="A1140" s="1">
        <v>44766</v>
      </c>
      <c r="B1140" s="2">
        <v>1180</v>
      </c>
      <c r="C1140" s="2">
        <v>213</v>
      </c>
      <c r="D1140" s="3">
        <v>3304.13</v>
      </c>
      <c r="E1140" s="4" t="s">
        <v>11</v>
      </c>
    </row>
    <row r="1141" spans="1:5" x14ac:dyDescent="0.2">
      <c r="A1141" s="1">
        <v>44766</v>
      </c>
      <c r="B1141" s="2">
        <v>1128</v>
      </c>
      <c r="C1141" s="2">
        <v>258</v>
      </c>
      <c r="D1141" s="3">
        <v>4743.75</v>
      </c>
      <c r="E1141" s="4" t="s">
        <v>12</v>
      </c>
    </row>
    <row r="1142" spans="1:5" hidden="1" x14ac:dyDescent="0.2">
      <c r="A1142" s="1">
        <v>44767</v>
      </c>
      <c r="B1142" s="2">
        <v>1232</v>
      </c>
      <c r="C1142" s="2">
        <v>271</v>
      </c>
      <c r="D1142" s="3">
        <v>3876.82</v>
      </c>
      <c r="E1142" s="4" t="s">
        <v>11</v>
      </c>
    </row>
    <row r="1143" spans="1:5" x14ac:dyDescent="0.2">
      <c r="A1143" s="1">
        <v>44767</v>
      </c>
      <c r="B1143" s="2">
        <v>1102</v>
      </c>
      <c r="C1143" s="2">
        <v>275</v>
      </c>
      <c r="D1143" s="3">
        <v>4823.9399999999996</v>
      </c>
      <c r="E1143" s="4" t="s">
        <v>12</v>
      </c>
    </row>
    <row r="1144" spans="1:5" hidden="1" x14ac:dyDescent="0.2">
      <c r="A1144" s="1">
        <v>44768</v>
      </c>
      <c r="B1144" s="2">
        <v>1193</v>
      </c>
      <c r="C1144" s="2">
        <v>217</v>
      </c>
      <c r="D1144" s="3">
        <v>3135.74</v>
      </c>
      <c r="E1144" s="4" t="s">
        <v>11</v>
      </c>
    </row>
    <row r="1145" spans="1:5" x14ac:dyDescent="0.2">
      <c r="A1145" s="1">
        <v>44768</v>
      </c>
      <c r="B1145" s="2">
        <v>1150</v>
      </c>
      <c r="C1145" s="2">
        <v>235</v>
      </c>
      <c r="D1145" s="3">
        <v>2725.42</v>
      </c>
      <c r="E1145" s="4" t="s">
        <v>12</v>
      </c>
    </row>
    <row r="1146" spans="1:5" hidden="1" x14ac:dyDescent="0.2">
      <c r="A1146" s="1">
        <v>44769</v>
      </c>
      <c r="B1146" s="2">
        <v>1241</v>
      </c>
      <c r="C1146" s="2">
        <v>243</v>
      </c>
      <c r="D1146" s="3">
        <v>2851.84</v>
      </c>
      <c r="E1146" s="4" t="s">
        <v>11</v>
      </c>
    </row>
    <row r="1147" spans="1:5" x14ac:dyDescent="0.2">
      <c r="A1147" s="1">
        <v>44769</v>
      </c>
      <c r="B1147" s="2">
        <v>1147</v>
      </c>
      <c r="C1147" s="2">
        <v>254</v>
      </c>
      <c r="D1147" s="3">
        <v>3604.29</v>
      </c>
      <c r="E1147" s="4" t="s">
        <v>12</v>
      </c>
    </row>
    <row r="1148" spans="1:5" hidden="1" x14ac:dyDescent="0.2">
      <c r="A1148" s="1">
        <v>44770</v>
      </c>
      <c r="B1148" s="2">
        <v>1127</v>
      </c>
      <c r="C1148" s="2">
        <v>211</v>
      </c>
      <c r="D1148" s="3">
        <v>3740.28</v>
      </c>
      <c r="E1148" s="4" t="s">
        <v>11</v>
      </c>
    </row>
    <row r="1149" spans="1:5" x14ac:dyDescent="0.2">
      <c r="A1149" s="1">
        <v>44770</v>
      </c>
      <c r="B1149" s="2">
        <v>1175</v>
      </c>
      <c r="C1149" s="2">
        <v>275</v>
      </c>
      <c r="D1149" s="3">
        <v>4233.01</v>
      </c>
      <c r="E1149" s="4" t="s">
        <v>12</v>
      </c>
    </row>
    <row r="1150" spans="1:5" hidden="1" x14ac:dyDescent="0.2">
      <c r="A1150" s="1">
        <v>44771</v>
      </c>
      <c r="B1150" s="2">
        <v>1229</v>
      </c>
      <c r="C1150" s="2">
        <v>212</v>
      </c>
      <c r="D1150" s="3">
        <v>2715.2</v>
      </c>
      <c r="E1150" s="4" t="s">
        <v>11</v>
      </c>
    </row>
    <row r="1151" spans="1:5" x14ac:dyDescent="0.2">
      <c r="A1151" s="1">
        <v>44771</v>
      </c>
      <c r="B1151" s="2">
        <v>1192</v>
      </c>
      <c r="C1151" s="2">
        <v>280</v>
      </c>
      <c r="D1151" s="3">
        <v>4441.99</v>
      </c>
      <c r="E1151" s="4" t="s">
        <v>12</v>
      </c>
    </row>
    <row r="1152" spans="1:5" hidden="1" x14ac:dyDescent="0.2">
      <c r="A1152" s="1">
        <v>44772</v>
      </c>
      <c r="B1152" s="2">
        <v>1169</v>
      </c>
      <c r="C1152" s="2">
        <v>224</v>
      </c>
      <c r="D1152" s="3">
        <v>2952.87</v>
      </c>
      <c r="E1152" s="4" t="s">
        <v>11</v>
      </c>
    </row>
    <row r="1153" spans="1:5" x14ac:dyDescent="0.2">
      <c r="A1153" s="1">
        <v>44772</v>
      </c>
      <c r="B1153" s="2">
        <v>1214</v>
      </c>
      <c r="C1153" s="2">
        <v>275</v>
      </c>
      <c r="D1153" s="3">
        <v>5326.49</v>
      </c>
      <c r="E1153" s="4" t="s">
        <v>12</v>
      </c>
    </row>
    <row r="1154" spans="1:5" hidden="1" x14ac:dyDescent="0.2">
      <c r="A1154" s="1">
        <v>44773</v>
      </c>
      <c r="B1154" s="2">
        <v>1254</v>
      </c>
      <c r="C1154" s="2">
        <v>237</v>
      </c>
      <c r="D1154" s="3">
        <v>2924.25</v>
      </c>
      <c r="E1154" s="4" t="s">
        <v>11</v>
      </c>
    </row>
    <row r="1155" spans="1:5" x14ac:dyDescent="0.2">
      <c r="A1155" s="1">
        <v>44773</v>
      </c>
      <c r="B1155" s="2">
        <v>1160</v>
      </c>
      <c r="C1155" s="2">
        <v>251</v>
      </c>
      <c r="D1155" s="3">
        <v>2922.66</v>
      </c>
      <c r="E1155" s="4" t="s">
        <v>12</v>
      </c>
    </row>
    <row r="1156" spans="1:5" hidden="1" x14ac:dyDescent="0.2">
      <c r="A1156" s="1">
        <v>44774</v>
      </c>
      <c r="B1156" s="2">
        <v>1255</v>
      </c>
      <c r="C1156" s="2">
        <v>230</v>
      </c>
      <c r="D1156" s="3">
        <v>2800.91</v>
      </c>
      <c r="E1156" s="4" t="s">
        <v>11</v>
      </c>
    </row>
    <row r="1157" spans="1:5" x14ac:dyDescent="0.2">
      <c r="A1157" s="1">
        <v>44774</v>
      </c>
      <c r="B1157" s="2">
        <v>1204</v>
      </c>
      <c r="C1157" s="2">
        <v>254</v>
      </c>
      <c r="D1157" s="3">
        <v>4472</v>
      </c>
      <c r="E1157" s="4" t="s">
        <v>12</v>
      </c>
    </row>
    <row r="1158" spans="1:5" hidden="1" x14ac:dyDescent="0.2">
      <c r="A1158" s="1">
        <v>44775</v>
      </c>
      <c r="B1158" s="2">
        <v>1287</v>
      </c>
      <c r="C1158" s="2">
        <v>258</v>
      </c>
      <c r="D1158" s="3">
        <v>3257.11</v>
      </c>
      <c r="E1158" s="4" t="s">
        <v>11</v>
      </c>
    </row>
    <row r="1159" spans="1:5" x14ac:dyDescent="0.2">
      <c r="A1159" s="1">
        <v>44775</v>
      </c>
      <c r="B1159" s="2">
        <v>1157</v>
      </c>
      <c r="C1159" s="2">
        <v>285</v>
      </c>
      <c r="D1159" s="3">
        <v>4333.53</v>
      </c>
      <c r="E1159" s="4" t="s">
        <v>12</v>
      </c>
    </row>
    <row r="1160" spans="1:5" hidden="1" x14ac:dyDescent="0.2">
      <c r="A1160" s="1">
        <v>44776</v>
      </c>
      <c r="B1160" s="2">
        <v>1212</v>
      </c>
      <c r="C1160" s="2">
        <v>243</v>
      </c>
      <c r="D1160" s="3">
        <v>3389.11</v>
      </c>
      <c r="E1160" s="4" t="s">
        <v>11</v>
      </c>
    </row>
    <row r="1161" spans="1:5" x14ac:dyDescent="0.2">
      <c r="A1161" s="1">
        <v>44776</v>
      </c>
      <c r="B1161" s="2">
        <v>1178</v>
      </c>
      <c r="C1161" s="2">
        <v>265</v>
      </c>
      <c r="D1161" s="3">
        <v>3962.5</v>
      </c>
      <c r="E1161" s="4" t="s">
        <v>12</v>
      </c>
    </row>
    <row r="1162" spans="1:5" hidden="1" x14ac:dyDescent="0.2">
      <c r="A1162" s="1">
        <v>44777</v>
      </c>
      <c r="B1162" s="2">
        <v>1182</v>
      </c>
      <c r="C1162" s="2">
        <v>198</v>
      </c>
      <c r="D1162" s="3">
        <v>2744.16</v>
      </c>
      <c r="E1162" s="4" t="s">
        <v>11</v>
      </c>
    </row>
    <row r="1163" spans="1:5" x14ac:dyDescent="0.2">
      <c r="A1163" s="1">
        <v>44777</v>
      </c>
      <c r="B1163" s="2">
        <v>1110</v>
      </c>
      <c r="C1163" s="2">
        <v>250</v>
      </c>
      <c r="D1163" s="3">
        <v>3410.45</v>
      </c>
      <c r="E1163" s="4" t="s">
        <v>12</v>
      </c>
    </row>
    <row r="1164" spans="1:5" hidden="1" x14ac:dyDescent="0.2">
      <c r="A1164" s="1">
        <v>44778</v>
      </c>
      <c r="B1164" s="2">
        <v>1264</v>
      </c>
      <c r="C1164" s="2">
        <v>236</v>
      </c>
      <c r="D1164" s="3">
        <v>3175.99</v>
      </c>
      <c r="E1164" s="4" t="s">
        <v>11</v>
      </c>
    </row>
    <row r="1165" spans="1:5" x14ac:dyDescent="0.2">
      <c r="A1165" s="1">
        <v>44778</v>
      </c>
      <c r="B1165" s="2">
        <v>1122</v>
      </c>
      <c r="C1165" s="2">
        <v>242</v>
      </c>
      <c r="D1165" s="3">
        <v>3013.4</v>
      </c>
      <c r="E1165" s="4" t="s">
        <v>12</v>
      </c>
    </row>
    <row r="1166" spans="1:5" hidden="1" x14ac:dyDescent="0.2">
      <c r="A1166" s="1">
        <v>44779</v>
      </c>
      <c r="B1166" s="2">
        <v>1175</v>
      </c>
      <c r="C1166" s="2">
        <v>212</v>
      </c>
      <c r="D1166" s="3">
        <v>3155.81</v>
      </c>
      <c r="E1166" s="4" t="s">
        <v>11</v>
      </c>
    </row>
    <row r="1167" spans="1:5" x14ac:dyDescent="0.2">
      <c r="A1167" s="1">
        <v>44779</v>
      </c>
      <c r="B1167" s="2">
        <v>1142</v>
      </c>
      <c r="C1167" s="2">
        <v>265</v>
      </c>
      <c r="D1167" s="3">
        <v>4867.51</v>
      </c>
      <c r="E1167" s="4" t="s">
        <v>12</v>
      </c>
    </row>
    <row r="1168" spans="1:5" hidden="1" x14ac:dyDescent="0.2">
      <c r="A1168" s="1">
        <v>44780</v>
      </c>
      <c r="B1168" s="2">
        <v>1178</v>
      </c>
      <c r="C1168" s="2">
        <v>216</v>
      </c>
      <c r="D1168" s="3">
        <v>2656.9</v>
      </c>
      <c r="E1168" s="4" t="s">
        <v>11</v>
      </c>
    </row>
    <row r="1169" spans="1:5" x14ac:dyDescent="0.2">
      <c r="A1169" s="1">
        <v>44780</v>
      </c>
      <c r="B1169" s="2">
        <v>1215</v>
      </c>
      <c r="C1169" s="2">
        <v>272</v>
      </c>
      <c r="D1169" s="3">
        <v>5313.88</v>
      </c>
      <c r="E1169" s="4" t="s">
        <v>12</v>
      </c>
    </row>
    <row r="1170" spans="1:5" hidden="1" x14ac:dyDescent="0.2">
      <c r="A1170" s="1">
        <v>44781</v>
      </c>
      <c r="B1170" s="2">
        <v>1211</v>
      </c>
      <c r="C1170" s="2">
        <v>229</v>
      </c>
      <c r="D1170" s="3">
        <v>3882.03</v>
      </c>
      <c r="E1170" s="4" t="s">
        <v>11</v>
      </c>
    </row>
    <row r="1171" spans="1:5" x14ac:dyDescent="0.2">
      <c r="A1171" s="1">
        <v>44781</v>
      </c>
      <c r="B1171" s="2">
        <v>1132</v>
      </c>
      <c r="C1171" s="2">
        <v>274</v>
      </c>
      <c r="D1171" s="3">
        <v>5150.92</v>
      </c>
      <c r="E1171" s="4" t="s">
        <v>12</v>
      </c>
    </row>
    <row r="1172" spans="1:5" hidden="1" x14ac:dyDescent="0.2">
      <c r="A1172" s="1">
        <v>44782</v>
      </c>
      <c r="B1172" s="2">
        <v>1276</v>
      </c>
      <c r="C1172" s="2">
        <v>234</v>
      </c>
      <c r="D1172" s="3">
        <v>2589.29</v>
      </c>
      <c r="E1172" s="4" t="s">
        <v>11</v>
      </c>
    </row>
    <row r="1173" spans="1:5" x14ac:dyDescent="0.2">
      <c r="A1173" s="1">
        <v>44782</v>
      </c>
      <c r="B1173" s="2">
        <v>1184</v>
      </c>
      <c r="C1173" s="2">
        <v>246</v>
      </c>
      <c r="D1173" s="3">
        <v>3925.55</v>
      </c>
      <c r="E1173" s="4" t="s">
        <v>12</v>
      </c>
    </row>
    <row r="1174" spans="1:5" hidden="1" x14ac:dyDescent="0.2">
      <c r="A1174" s="1">
        <v>44783</v>
      </c>
      <c r="B1174" s="2">
        <v>1206</v>
      </c>
      <c r="C1174" s="2">
        <v>229</v>
      </c>
      <c r="D1174" s="3">
        <v>3357.21</v>
      </c>
      <c r="E1174" s="4" t="s">
        <v>11</v>
      </c>
    </row>
    <row r="1175" spans="1:5" x14ac:dyDescent="0.2">
      <c r="A1175" s="1">
        <v>44783</v>
      </c>
      <c r="B1175" s="2">
        <v>1145</v>
      </c>
      <c r="C1175" s="2">
        <v>269</v>
      </c>
      <c r="D1175" s="3">
        <v>5184.57</v>
      </c>
      <c r="E1175" s="4" t="s">
        <v>12</v>
      </c>
    </row>
    <row r="1176" spans="1:5" hidden="1" x14ac:dyDescent="0.2">
      <c r="A1176" s="1">
        <v>44784</v>
      </c>
      <c r="B1176" s="2">
        <v>1204</v>
      </c>
      <c r="C1176" s="2">
        <v>239</v>
      </c>
      <c r="D1176" s="3">
        <v>3649.13</v>
      </c>
      <c r="E1176" s="4" t="s">
        <v>11</v>
      </c>
    </row>
    <row r="1177" spans="1:5" x14ac:dyDescent="0.2">
      <c r="A1177" s="1">
        <v>44784</v>
      </c>
      <c r="B1177" s="2">
        <v>1130</v>
      </c>
      <c r="C1177" s="2">
        <v>270</v>
      </c>
      <c r="D1177" s="3">
        <v>4551.3</v>
      </c>
      <c r="E1177" s="4" t="s">
        <v>12</v>
      </c>
    </row>
    <row r="1178" spans="1:5" hidden="1" x14ac:dyDescent="0.2">
      <c r="A1178" s="1">
        <v>44785</v>
      </c>
      <c r="B1178" s="2">
        <v>1216</v>
      </c>
      <c r="C1178" s="2">
        <v>223</v>
      </c>
      <c r="D1178" s="3">
        <v>3287.67</v>
      </c>
      <c r="E1178" s="4" t="s">
        <v>11</v>
      </c>
    </row>
    <row r="1179" spans="1:5" x14ac:dyDescent="0.2">
      <c r="A1179" s="1">
        <v>44785</v>
      </c>
      <c r="B1179" s="2">
        <v>1154</v>
      </c>
      <c r="C1179" s="2">
        <v>261</v>
      </c>
      <c r="D1179" s="3">
        <v>3835.83</v>
      </c>
      <c r="E1179" s="4" t="s">
        <v>12</v>
      </c>
    </row>
    <row r="1180" spans="1:5" hidden="1" x14ac:dyDescent="0.2">
      <c r="A1180" s="1">
        <v>44786</v>
      </c>
      <c r="B1180" s="2">
        <v>1166</v>
      </c>
      <c r="C1180" s="2">
        <v>194</v>
      </c>
      <c r="D1180" s="3">
        <v>2722.36</v>
      </c>
      <c r="E1180" s="4" t="s">
        <v>11</v>
      </c>
    </row>
    <row r="1181" spans="1:5" x14ac:dyDescent="0.2">
      <c r="A1181" s="1">
        <v>44786</v>
      </c>
      <c r="B1181" s="2">
        <v>1143</v>
      </c>
      <c r="C1181" s="2">
        <v>269</v>
      </c>
      <c r="D1181" s="3">
        <v>4756.88</v>
      </c>
      <c r="E1181" s="4" t="s">
        <v>12</v>
      </c>
    </row>
    <row r="1182" spans="1:5" hidden="1" x14ac:dyDescent="0.2">
      <c r="A1182" s="1">
        <v>44787</v>
      </c>
      <c r="B1182" s="2">
        <v>1276</v>
      </c>
      <c r="C1182" s="2">
        <v>250</v>
      </c>
      <c r="D1182" s="3">
        <v>3817.78</v>
      </c>
      <c r="E1182" s="4" t="s">
        <v>11</v>
      </c>
    </row>
    <row r="1183" spans="1:5" x14ac:dyDescent="0.2">
      <c r="A1183" s="1">
        <v>44787</v>
      </c>
      <c r="B1183" s="2">
        <v>1167</v>
      </c>
      <c r="C1183" s="2">
        <v>265</v>
      </c>
      <c r="D1183" s="3">
        <v>4626.1099999999997</v>
      </c>
      <c r="E1183" s="4" t="s">
        <v>12</v>
      </c>
    </row>
    <row r="1184" spans="1:5" hidden="1" x14ac:dyDescent="0.2">
      <c r="A1184" s="1">
        <v>44788</v>
      </c>
      <c r="B1184" s="2">
        <v>1108</v>
      </c>
      <c r="C1184" s="2">
        <v>219</v>
      </c>
      <c r="D1184" s="3">
        <v>2742.07</v>
      </c>
      <c r="E1184" s="4" t="s">
        <v>11</v>
      </c>
    </row>
    <row r="1185" spans="1:5" x14ac:dyDescent="0.2">
      <c r="A1185" s="1">
        <v>44788</v>
      </c>
      <c r="B1185" s="2">
        <v>1153</v>
      </c>
      <c r="C1185" s="2">
        <v>269</v>
      </c>
      <c r="D1185" s="3">
        <v>3495.46</v>
      </c>
      <c r="E1185" s="4" t="s">
        <v>12</v>
      </c>
    </row>
    <row r="1186" spans="1:5" hidden="1" x14ac:dyDescent="0.2">
      <c r="A1186" s="1">
        <v>44789</v>
      </c>
      <c r="B1186" s="2">
        <v>1174</v>
      </c>
      <c r="C1186" s="2">
        <v>229</v>
      </c>
      <c r="D1186" s="3">
        <v>3947.33</v>
      </c>
      <c r="E1186" s="4" t="s">
        <v>11</v>
      </c>
    </row>
    <row r="1187" spans="1:5" x14ac:dyDescent="0.2">
      <c r="A1187" s="1">
        <v>44789</v>
      </c>
      <c r="B1187" s="2">
        <v>1123</v>
      </c>
      <c r="C1187" s="2">
        <v>252</v>
      </c>
      <c r="D1187" s="3">
        <v>4038.57</v>
      </c>
      <c r="E1187" s="4" t="s">
        <v>12</v>
      </c>
    </row>
    <row r="1188" spans="1:5" hidden="1" x14ac:dyDescent="0.2">
      <c r="A1188" s="1">
        <v>44790</v>
      </c>
      <c r="B1188" s="2">
        <v>1205</v>
      </c>
      <c r="C1188" s="2">
        <v>241</v>
      </c>
      <c r="D1188" s="3">
        <v>3106.18</v>
      </c>
      <c r="E1188" s="4" t="s">
        <v>11</v>
      </c>
    </row>
    <row r="1189" spans="1:5" x14ac:dyDescent="0.2">
      <c r="A1189" s="1">
        <v>44790</v>
      </c>
      <c r="B1189" s="2">
        <v>1166</v>
      </c>
      <c r="C1189" s="2">
        <v>277</v>
      </c>
      <c r="D1189" s="3">
        <v>4236.0600000000004</v>
      </c>
      <c r="E1189" s="4" t="s">
        <v>12</v>
      </c>
    </row>
    <row r="1190" spans="1:5" hidden="1" x14ac:dyDescent="0.2">
      <c r="A1190" s="1">
        <v>44791</v>
      </c>
      <c r="B1190" s="2">
        <v>1195</v>
      </c>
      <c r="C1190" s="2">
        <v>226</v>
      </c>
      <c r="D1190" s="3">
        <v>4310.21</v>
      </c>
      <c r="E1190" s="4" t="s">
        <v>11</v>
      </c>
    </row>
    <row r="1191" spans="1:5" x14ac:dyDescent="0.2">
      <c r="A1191" s="1">
        <v>44791</v>
      </c>
      <c r="B1191" s="2">
        <v>1180</v>
      </c>
      <c r="C1191" s="2">
        <v>295</v>
      </c>
      <c r="D1191" s="3">
        <v>4996.7</v>
      </c>
      <c r="E1191" s="4" t="s">
        <v>12</v>
      </c>
    </row>
    <row r="1192" spans="1:5" hidden="1" x14ac:dyDescent="0.2">
      <c r="A1192" s="1">
        <v>44792</v>
      </c>
      <c r="B1192" s="2">
        <v>1266</v>
      </c>
      <c r="C1192" s="2">
        <v>229</v>
      </c>
      <c r="D1192" s="3">
        <v>3405.88</v>
      </c>
      <c r="E1192" s="4" t="s">
        <v>11</v>
      </c>
    </row>
    <row r="1193" spans="1:5" x14ac:dyDescent="0.2">
      <c r="A1193" s="1">
        <v>44792</v>
      </c>
      <c r="B1193" s="2">
        <v>1196</v>
      </c>
      <c r="C1193" s="2">
        <v>241</v>
      </c>
      <c r="D1193" s="3">
        <v>3156.65</v>
      </c>
      <c r="E1193" s="4" t="s">
        <v>12</v>
      </c>
    </row>
    <row r="1194" spans="1:5" hidden="1" x14ac:dyDescent="0.2">
      <c r="A1194" s="1">
        <v>44793</v>
      </c>
      <c r="B1194" s="2">
        <v>1199</v>
      </c>
      <c r="C1194" s="2">
        <v>231</v>
      </c>
      <c r="D1194" s="3">
        <v>3479.55</v>
      </c>
      <c r="E1194" s="4" t="s">
        <v>11</v>
      </c>
    </row>
    <row r="1195" spans="1:5" x14ac:dyDescent="0.2">
      <c r="A1195" s="1">
        <v>44793</v>
      </c>
      <c r="B1195" s="2">
        <v>1168</v>
      </c>
      <c r="C1195" s="2">
        <v>257</v>
      </c>
      <c r="D1195" s="3">
        <v>4466.7</v>
      </c>
      <c r="E1195" s="4" t="s">
        <v>12</v>
      </c>
    </row>
    <row r="1196" spans="1:5" hidden="1" x14ac:dyDescent="0.2">
      <c r="A1196" s="1">
        <v>44794</v>
      </c>
      <c r="B1196" s="2">
        <v>1160</v>
      </c>
      <c r="C1196" s="2">
        <v>224</v>
      </c>
      <c r="D1196" s="3">
        <v>3060.67</v>
      </c>
      <c r="E1196" s="4" t="s">
        <v>11</v>
      </c>
    </row>
    <row r="1197" spans="1:5" x14ac:dyDescent="0.2">
      <c r="A1197" s="1">
        <v>44794</v>
      </c>
      <c r="B1197" s="2">
        <v>1150</v>
      </c>
      <c r="C1197" s="2">
        <v>271</v>
      </c>
      <c r="D1197" s="3">
        <v>4440.8100000000004</v>
      </c>
      <c r="E1197" s="4" t="s">
        <v>12</v>
      </c>
    </row>
    <row r="1198" spans="1:5" hidden="1" x14ac:dyDescent="0.2">
      <c r="A1198" s="1">
        <v>44795</v>
      </c>
      <c r="B1198" s="2">
        <v>1206</v>
      </c>
      <c r="C1198" s="2">
        <v>223</v>
      </c>
      <c r="D1198" s="3">
        <v>3057.62</v>
      </c>
      <c r="E1198" s="4" t="s">
        <v>11</v>
      </c>
    </row>
    <row r="1199" spans="1:5" x14ac:dyDescent="0.2">
      <c r="A1199" s="1">
        <v>44795</v>
      </c>
      <c r="B1199" s="2">
        <v>1165</v>
      </c>
      <c r="C1199" s="2">
        <v>278</v>
      </c>
      <c r="D1199" s="3">
        <v>2925.04</v>
      </c>
      <c r="E1199" s="4" t="s">
        <v>12</v>
      </c>
    </row>
    <row r="1200" spans="1:5" hidden="1" x14ac:dyDescent="0.2">
      <c r="A1200" s="1">
        <v>44796</v>
      </c>
      <c r="B1200" s="2">
        <v>1180</v>
      </c>
      <c r="C1200" s="2">
        <v>204</v>
      </c>
      <c r="D1200" s="3">
        <v>2752.42</v>
      </c>
      <c r="E1200" s="4" t="s">
        <v>11</v>
      </c>
    </row>
    <row r="1201" spans="1:5" x14ac:dyDescent="0.2">
      <c r="A1201" s="1">
        <v>44796</v>
      </c>
      <c r="B1201" s="2">
        <v>1136</v>
      </c>
      <c r="C1201" s="2">
        <v>270</v>
      </c>
      <c r="D1201" s="3">
        <v>4526.63</v>
      </c>
      <c r="E1201" s="4" t="s">
        <v>12</v>
      </c>
    </row>
    <row r="1202" spans="1:5" hidden="1" x14ac:dyDescent="0.2">
      <c r="A1202" s="1">
        <v>44797</v>
      </c>
      <c r="B1202" s="2">
        <v>1172</v>
      </c>
      <c r="C1202" s="2">
        <v>217</v>
      </c>
      <c r="D1202" s="3">
        <v>3304.21</v>
      </c>
      <c r="E1202" s="4" t="s">
        <v>11</v>
      </c>
    </row>
    <row r="1203" spans="1:5" x14ac:dyDescent="0.2">
      <c r="A1203" s="1">
        <v>44797</v>
      </c>
      <c r="B1203" s="2">
        <v>1125</v>
      </c>
      <c r="C1203" s="2">
        <v>252</v>
      </c>
      <c r="D1203" s="3">
        <v>4263.33</v>
      </c>
      <c r="E1203" s="4" t="s">
        <v>12</v>
      </c>
    </row>
    <row r="1204" spans="1:5" hidden="1" x14ac:dyDescent="0.2">
      <c r="A1204" s="1">
        <v>44798</v>
      </c>
      <c r="B1204" s="2">
        <v>1247</v>
      </c>
      <c r="C1204" s="2">
        <v>249</v>
      </c>
      <c r="D1204" s="3">
        <v>4182.54</v>
      </c>
      <c r="E1204" s="4" t="s">
        <v>11</v>
      </c>
    </row>
    <row r="1205" spans="1:5" x14ac:dyDescent="0.2">
      <c r="A1205" s="1">
        <v>44798</v>
      </c>
      <c r="B1205" s="2">
        <v>1183</v>
      </c>
      <c r="C1205" s="2">
        <v>296</v>
      </c>
      <c r="D1205" s="3">
        <v>4758.32</v>
      </c>
      <c r="E1205" s="4" t="s">
        <v>12</v>
      </c>
    </row>
    <row r="1206" spans="1:5" hidden="1" x14ac:dyDescent="0.2">
      <c r="A1206" s="1">
        <v>44799</v>
      </c>
      <c r="B1206" s="2">
        <v>1203</v>
      </c>
      <c r="C1206" s="2">
        <v>232</v>
      </c>
      <c r="D1206" s="3">
        <v>3401.87</v>
      </c>
      <c r="E1206" s="4" t="s">
        <v>11</v>
      </c>
    </row>
    <row r="1207" spans="1:5" x14ac:dyDescent="0.2">
      <c r="A1207" s="1">
        <v>44799</v>
      </c>
      <c r="B1207" s="2">
        <v>1132</v>
      </c>
      <c r="C1207" s="2">
        <v>259</v>
      </c>
      <c r="D1207" s="3">
        <v>3975.13</v>
      </c>
      <c r="E1207" s="4" t="s">
        <v>12</v>
      </c>
    </row>
    <row r="1208" spans="1:5" hidden="1" x14ac:dyDescent="0.2">
      <c r="A1208" s="1">
        <v>44800</v>
      </c>
      <c r="B1208" s="2">
        <v>1217</v>
      </c>
      <c r="C1208" s="2">
        <v>231</v>
      </c>
      <c r="D1208" s="3">
        <v>3616.45</v>
      </c>
      <c r="E1208" s="4" t="s">
        <v>11</v>
      </c>
    </row>
    <row r="1209" spans="1:5" x14ac:dyDescent="0.2">
      <c r="A1209" s="1">
        <v>44800</v>
      </c>
      <c r="B1209" s="2">
        <v>1167</v>
      </c>
      <c r="C1209" s="2">
        <v>264</v>
      </c>
      <c r="D1209" s="3">
        <v>4726.91</v>
      </c>
      <c r="E1209" s="4" t="s">
        <v>12</v>
      </c>
    </row>
    <row r="1210" spans="1:5" hidden="1" x14ac:dyDescent="0.2">
      <c r="A1210" s="1">
        <v>44801</v>
      </c>
      <c r="B1210" s="2">
        <v>1266</v>
      </c>
      <c r="C1210" s="2">
        <v>234</v>
      </c>
      <c r="D1210" s="3">
        <v>4485.6499999999996</v>
      </c>
      <c r="E1210" s="4" t="s">
        <v>11</v>
      </c>
    </row>
    <row r="1211" spans="1:5" x14ac:dyDescent="0.2">
      <c r="A1211" s="1">
        <v>44801</v>
      </c>
      <c r="B1211" s="2">
        <v>1178</v>
      </c>
      <c r="C1211" s="2">
        <v>259</v>
      </c>
      <c r="D1211" s="3">
        <v>3621.9</v>
      </c>
      <c r="E1211" s="4" t="s">
        <v>12</v>
      </c>
    </row>
    <row r="1212" spans="1:5" hidden="1" x14ac:dyDescent="0.2">
      <c r="A1212" s="1">
        <v>44802</v>
      </c>
      <c r="B1212" s="2">
        <v>1202</v>
      </c>
      <c r="C1212" s="2">
        <v>226</v>
      </c>
      <c r="D1212" s="3">
        <v>3115.38</v>
      </c>
      <c r="E1212" s="4" t="s">
        <v>11</v>
      </c>
    </row>
    <row r="1213" spans="1:5" x14ac:dyDescent="0.2">
      <c r="A1213" s="1">
        <v>44802</v>
      </c>
      <c r="B1213" s="2">
        <v>1163</v>
      </c>
      <c r="C1213" s="2">
        <v>251</v>
      </c>
      <c r="D1213" s="3">
        <v>4803.2299999999996</v>
      </c>
      <c r="E1213" s="4" t="s">
        <v>12</v>
      </c>
    </row>
    <row r="1214" spans="1:5" hidden="1" x14ac:dyDescent="0.2">
      <c r="A1214" s="1">
        <v>44803</v>
      </c>
      <c r="B1214" s="2">
        <v>1243</v>
      </c>
      <c r="C1214" s="2">
        <v>240</v>
      </c>
      <c r="D1214" s="3">
        <v>4084.93</v>
      </c>
      <c r="E1214" s="4" t="s">
        <v>11</v>
      </c>
    </row>
    <row r="1215" spans="1:5" x14ac:dyDescent="0.2">
      <c r="A1215" s="1">
        <v>44803</v>
      </c>
      <c r="B1215" s="2">
        <v>1138</v>
      </c>
      <c r="C1215" s="2">
        <v>252</v>
      </c>
      <c r="D1215" s="3">
        <v>4009.64</v>
      </c>
      <c r="E1215" s="4" t="s">
        <v>12</v>
      </c>
    </row>
    <row r="1216" spans="1:5" hidden="1" x14ac:dyDescent="0.2">
      <c r="A1216" s="1">
        <v>44804</v>
      </c>
      <c r="B1216" s="2">
        <v>1168</v>
      </c>
      <c r="C1216" s="2">
        <v>221</v>
      </c>
      <c r="D1216" s="3">
        <v>3621.71</v>
      </c>
      <c r="E1216" s="4" t="s">
        <v>11</v>
      </c>
    </row>
    <row r="1217" spans="1:5" x14ac:dyDescent="0.2">
      <c r="A1217" s="1">
        <v>44804</v>
      </c>
      <c r="B1217" s="2">
        <v>1159</v>
      </c>
      <c r="C1217" s="2">
        <v>270</v>
      </c>
      <c r="D1217" s="3">
        <v>4706.96</v>
      </c>
      <c r="E1217" s="4" t="s">
        <v>12</v>
      </c>
    </row>
    <row r="1218" spans="1:5" hidden="1" x14ac:dyDescent="0.2">
      <c r="A1218" s="1">
        <v>44805</v>
      </c>
      <c r="B1218" s="2">
        <v>1206</v>
      </c>
      <c r="C1218" s="2">
        <v>245</v>
      </c>
      <c r="D1218" s="3">
        <v>3763.01</v>
      </c>
      <c r="E1218" s="4" t="s">
        <v>11</v>
      </c>
    </row>
    <row r="1219" spans="1:5" x14ac:dyDescent="0.2">
      <c r="A1219" s="1">
        <v>44805</v>
      </c>
      <c r="B1219" s="2">
        <v>1106</v>
      </c>
      <c r="C1219" s="2">
        <v>226</v>
      </c>
      <c r="D1219" s="3">
        <v>4224.01</v>
      </c>
      <c r="E1219" s="4" t="s">
        <v>12</v>
      </c>
    </row>
    <row r="1220" spans="1:5" hidden="1" x14ac:dyDescent="0.2">
      <c r="A1220" s="1">
        <v>44806</v>
      </c>
      <c r="B1220" s="2">
        <v>1187</v>
      </c>
      <c r="C1220" s="2">
        <v>243</v>
      </c>
      <c r="D1220" s="3">
        <v>3370.8</v>
      </c>
      <c r="E1220" s="4" t="s">
        <v>11</v>
      </c>
    </row>
    <row r="1221" spans="1:5" x14ac:dyDescent="0.2">
      <c r="A1221" s="1">
        <v>44806</v>
      </c>
      <c r="B1221" s="2">
        <v>1139</v>
      </c>
      <c r="C1221" s="2">
        <v>276</v>
      </c>
      <c r="D1221" s="3">
        <v>3591.29</v>
      </c>
      <c r="E1221" s="4" t="s">
        <v>12</v>
      </c>
    </row>
    <row r="1222" spans="1:5" hidden="1" x14ac:dyDescent="0.2">
      <c r="A1222" s="1">
        <v>44807</v>
      </c>
      <c r="B1222" s="2">
        <v>1176</v>
      </c>
      <c r="C1222" s="2">
        <v>213</v>
      </c>
      <c r="D1222" s="3">
        <v>3923.9</v>
      </c>
      <c r="E1222" s="4" t="s">
        <v>11</v>
      </c>
    </row>
    <row r="1223" spans="1:5" x14ac:dyDescent="0.2">
      <c r="A1223" s="1">
        <v>44807</v>
      </c>
      <c r="B1223" s="2">
        <v>1217</v>
      </c>
      <c r="C1223" s="2">
        <v>241</v>
      </c>
      <c r="D1223" s="3">
        <v>4108.55</v>
      </c>
      <c r="E1223" s="4" t="s">
        <v>12</v>
      </c>
    </row>
    <row r="1224" spans="1:5" hidden="1" x14ac:dyDescent="0.2">
      <c r="A1224" s="1">
        <v>44808</v>
      </c>
      <c r="B1224" s="2">
        <v>1155</v>
      </c>
      <c r="C1224" s="2">
        <v>233</v>
      </c>
      <c r="D1224" s="3">
        <v>3446.09</v>
      </c>
      <c r="E1224" s="4" t="s">
        <v>11</v>
      </c>
    </row>
    <row r="1225" spans="1:5" x14ac:dyDescent="0.2">
      <c r="A1225" s="1">
        <v>44808</v>
      </c>
      <c r="B1225" s="2">
        <v>1069</v>
      </c>
      <c r="C1225" s="2">
        <v>247</v>
      </c>
      <c r="D1225" s="3">
        <v>4254.72</v>
      </c>
      <c r="E1225" s="4" t="s">
        <v>12</v>
      </c>
    </row>
    <row r="1226" spans="1:5" hidden="1" x14ac:dyDescent="0.2">
      <c r="A1226" s="1">
        <v>44809</v>
      </c>
      <c r="B1226" s="2">
        <v>1211</v>
      </c>
      <c r="C1226" s="2">
        <v>207</v>
      </c>
      <c r="D1226" s="3">
        <v>3141.02</v>
      </c>
      <c r="E1226" s="4" t="s">
        <v>11</v>
      </c>
    </row>
    <row r="1227" spans="1:5" x14ac:dyDescent="0.2">
      <c r="A1227" s="1">
        <v>44809</v>
      </c>
      <c r="B1227" s="2">
        <v>1128</v>
      </c>
      <c r="C1227" s="2">
        <v>244</v>
      </c>
      <c r="D1227" s="3">
        <v>3398.36</v>
      </c>
      <c r="E1227" s="4" t="s">
        <v>12</v>
      </c>
    </row>
    <row r="1228" spans="1:5" hidden="1" x14ac:dyDescent="0.2">
      <c r="A1228" s="1">
        <v>44810</v>
      </c>
      <c r="B1228" s="2">
        <v>1175</v>
      </c>
      <c r="C1228" s="2">
        <v>222</v>
      </c>
      <c r="D1228" s="3">
        <v>3137.36</v>
      </c>
      <c r="E1228" s="4" t="s">
        <v>11</v>
      </c>
    </row>
    <row r="1229" spans="1:5" x14ac:dyDescent="0.2">
      <c r="A1229" s="1">
        <v>44810</v>
      </c>
      <c r="B1229" s="2">
        <v>1125</v>
      </c>
      <c r="C1229" s="2">
        <v>234</v>
      </c>
      <c r="D1229" s="3">
        <v>4549.97</v>
      </c>
      <c r="E1229" s="4" t="s">
        <v>12</v>
      </c>
    </row>
    <row r="1230" spans="1:5" hidden="1" x14ac:dyDescent="0.2">
      <c r="A1230" s="1">
        <v>44811</v>
      </c>
      <c r="B1230" s="2">
        <v>1234</v>
      </c>
      <c r="C1230" s="2">
        <v>232</v>
      </c>
      <c r="D1230" s="3">
        <v>2455.36</v>
      </c>
      <c r="E1230" s="4" t="s">
        <v>11</v>
      </c>
    </row>
    <row r="1231" spans="1:5" x14ac:dyDescent="0.2">
      <c r="A1231" s="1">
        <v>44811</v>
      </c>
      <c r="B1231" s="2">
        <v>1132</v>
      </c>
      <c r="C1231" s="2">
        <v>286</v>
      </c>
      <c r="D1231" s="3">
        <v>4444.1000000000004</v>
      </c>
      <c r="E1231" s="4" t="s">
        <v>12</v>
      </c>
    </row>
    <row r="1232" spans="1:5" hidden="1" x14ac:dyDescent="0.2">
      <c r="A1232" s="1">
        <v>44812</v>
      </c>
      <c r="B1232" s="2">
        <v>1193</v>
      </c>
      <c r="C1232" s="2">
        <v>236</v>
      </c>
      <c r="D1232" s="3">
        <v>3813.45</v>
      </c>
      <c r="E1232" s="4" t="s">
        <v>11</v>
      </c>
    </row>
    <row r="1233" spans="1:5" x14ac:dyDescent="0.2">
      <c r="A1233" s="1">
        <v>44812</v>
      </c>
      <c r="B1233" s="2">
        <v>1157</v>
      </c>
      <c r="C1233" s="2">
        <v>255</v>
      </c>
      <c r="D1233" s="3">
        <v>4800.13</v>
      </c>
      <c r="E1233" s="4" t="s">
        <v>12</v>
      </c>
    </row>
    <row r="1234" spans="1:5" hidden="1" x14ac:dyDescent="0.2">
      <c r="A1234" s="1">
        <v>44813</v>
      </c>
      <c r="B1234" s="2">
        <v>1168</v>
      </c>
      <c r="C1234" s="2">
        <v>236</v>
      </c>
      <c r="D1234" s="3">
        <v>3358.81</v>
      </c>
      <c r="E1234" s="4" t="s">
        <v>11</v>
      </c>
    </row>
    <row r="1235" spans="1:5" x14ac:dyDescent="0.2">
      <c r="A1235" s="1">
        <v>44813</v>
      </c>
      <c r="B1235" s="2">
        <v>1100</v>
      </c>
      <c r="C1235" s="2">
        <v>233</v>
      </c>
      <c r="D1235" s="3">
        <v>3822.26</v>
      </c>
      <c r="E1235" s="4" t="s">
        <v>12</v>
      </c>
    </row>
    <row r="1236" spans="1:5" hidden="1" x14ac:dyDescent="0.2">
      <c r="A1236" s="1">
        <v>44814</v>
      </c>
      <c r="B1236" s="2">
        <v>1160</v>
      </c>
      <c r="C1236" s="2">
        <v>218</v>
      </c>
      <c r="D1236" s="3">
        <v>3184.64</v>
      </c>
      <c r="E1236" s="4" t="s">
        <v>11</v>
      </c>
    </row>
    <row r="1237" spans="1:5" x14ac:dyDescent="0.2">
      <c r="A1237" s="1">
        <v>44814</v>
      </c>
      <c r="B1237" s="2">
        <v>1127</v>
      </c>
      <c r="C1237" s="2">
        <v>236</v>
      </c>
      <c r="D1237" s="3">
        <v>3284.05</v>
      </c>
      <c r="E1237" s="4" t="s">
        <v>12</v>
      </c>
    </row>
    <row r="1238" spans="1:5" hidden="1" x14ac:dyDescent="0.2">
      <c r="A1238" s="1">
        <v>44815</v>
      </c>
      <c r="B1238" s="2">
        <v>1238</v>
      </c>
      <c r="C1238" s="2">
        <v>236</v>
      </c>
      <c r="D1238" s="3">
        <v>3553.89</v>
      </c>
      <c r="E1238" s="4" t="s">
        <v>11</v>
      </c>
    </row>
    <row r="1239" spans="1:5" x14ac:dyDescent="0.2">
      <c r="A1239" s="1">
        <v>44815</v>
      </c>
      <c r="B1239" s="2">
        <v>1130</v>
      </c>
      <c r="C1239" s="2">
        <v>236</v>
      </c>
      <c r="D1239" s="3">
        <v>4019.86</v>
      </c>
      <c r="E1239" s="4" t="s">
        <v>12</v>
      </c>
    </row>
    <row r="1240" spans="1:5" hidden="1" x14ac:dyDescent="0.2">
      <c r="A1240" s="1">
        <v>44816</v>
      </c>
      <c r="B1240" s="2">
        <v>1194</v>
      </c>
      <c r="C1240" s="2">
        <v>223</v>
      </c>
      <c r="D1240" s="3">
        <v>4187.24</v>
      </c>
      <c r="E1240" s="4" t="s">
        <v>11</v>
      </c>
    </row>
    <row r="1241" spans="1:5" x14ac:dyDescent="0.2">
      <c r="A1241" s="1">
        <v>44816</v>
      </c>
      <c r="B1241" s="2">
        <v>1086</v>
      </c>
      <c r="C1241" s="2">
        <v>239</v>
      </c>
      <c r="D1241" s="3">
        <v>3745.49</v>
      </c>
      <c r="E1241" s="4" t="s">
        <v>12</v>
      </c>
    </row>
    <row r="1242" spans="1:5" hidden="1" x14ac:dyDescent="0.2">
      <c r="A1242" s="1">
        <v>44817</v>
      </c>
      <c r="B1242" s="2">
        <v>1165</v>
      </c>
      <c r="C1242" s="2">
        <v>208</v>
      </c>
      <c r="D1242" s="3">
        <v>3132.14</v>
      </c>
      <c r="E1242" s="4" t="s">
        <v>11</v>
      </c>
    </row>
    <row r="1243" spans="1:5" x14ac:dyDescent="0.2">
      <c r="A1243" s="1">
        <v>44817</v>
      </c>
      <c r="B1243" s="2">
        <v>1135</v>
      </c>
      <c r="C1243" s="2">
        <v>256</v>
      </c>
      <c r="D1243" s="3">
        <v>4453.3599999999997</v>
      </c>
      <c r="E1243" s="4" t="s">
        <v>12</v>
      </c>
    </row>
    <row r="1244" spans="1:5" hidden="1" x14ac:dyDescent="0.2">
      <c r="A1244" s="1">
        <v>44818</v>
      </c>
      <c r="B1244" s="2">
        <v>1216</v>
      </c>
      <c r="C1244" s="2">
        <v>198</v>
      </c>
      <c r="D1244" s="3">
        <v>2927.64</v>
      </c>
      <c r="E1244" s="4" t="s">
        <v>11</v>
      </c>
    </row>
    <row r="1245" spans="1:5" x14ac:dyDescent="0.2">
      <c r="A1245" s="1">
        <v>44818</v>
      </c>
      <c r="B1245" s="2">
        <v>1151</v>
      </c>
      <c r="C1245" s="2">
        <v>270</v>
      </c>
      <c r="D1245" s="3">
        <v>5368.81</v>
      </c>
      <c r="E1245" s="4" t="s">
        <v>12</v>
      </c>
    </row>
    <row r="1246" spans="1:5" hidden="1" x14ac:dyDescent="0.2">
      <c r="A1246" s="1">
        <v>44819</v>
      </c>
      <c r="B1246" s="2">
        <v>1221</v>
      </c>
      <c r="C1246" s="2">
        <v>244</v>
      </c>
      <c r="D1246" s="3">
        <v>5171.97</v>
      </c>
      <c r="E1246" s="4" t="s">
        <v>11</v>
      </c>
    </row>
    <row r="1247" spans="1:5" x14ac:dyDescent="0.2">
      <c r="A1247" s="1">
        <v>44819</v>
      </c>
      <c r="B1247" s="2">
        <v>1113</v>
      </c>
      <c r="C1247" s="2">
        <v>284</v>
      </c>
      <c r="D1247" s="3">
        <v>4397.3599999999997</v>
      </c>
      <c r="E1247" s="4" t="s">
        <v>12</v>
      </c>
    </row>
    <row r="1248" spans="1:5" hidden="1" x14ac:dyDescent="0.2">
      <c r="A1248" s="1">
        <v>44820</v>
      </c>
      <c r="B1248" s="2">
        <v>1167</v>
      </c>
      <c r="C1248" s="2">
        <v>221</v>
      </c>
      <c r="D1248" s="3">
        <v>2296.54</v>
      </c>
      <c r="E1248" s="4" t="s">
        <v>11</v>
      </c>
    </row>
    <row r="1249" spans="1:5" x14ac:dyDescent="0.2">
      <c r="A1249" s="1">
        <v>44820</v>
      </c>
      <c r="B1249" s="2">
        <v>1149</v>
      </c>
      <c r="C1249" s="2">
        <v>247</v>
      </c>
      <c r="D1249" s="3">
        <v>3773.66</v>
      </c>
      <c r="E1249" s="4" t="s">
        <v>12</v>
      </c>
    </row>
    <row r="1250" spans="1:5" hidden="1" x14ac:dyDescent="0.2">
      <c r="A1250" s="1">
        <v>44821</v>
      </c>
      <c r="B1250" s="2">
        <v>1218</v>
      </c>
      <c r="C1250" s="2">
        <v>219</v>
      </c>
      <c r="D1250" s="3">
        <v>2218.33</v>
      </c>
      <c r="E1250" s="4" t="s">
        <v>11</v>
      </c>
    </row>
    <row r="1251" spans="1:5" x14ac:dyDescent="0.2">
      <c r="A1251" s="1">
        <v>44821</v>
      </c>
      <c r="B1251" s="2">
        <v>1159</v>
      </c>
      <c r="C1251" s="2">
        <v>279</v>
      </c>
      <c r="D1251" s="3">
        <v>4845.76</v>
      </c>
      <c r="E1251" s="4" t="s">
        <v>12</v>
      </c>
    </row>
    <row r="1252" spans="1:5" hidden="1" x14ac:dyDescent="0.2">
      <c r="A1252" s="1">
        <v>44822</v>
      </c>
      <c r="B1252" s="2">
        <v>1219</v>
      </c>
      <c r="C1252" s="2">
        <v>209</v>
      </c>
      <c r="D1252" s="3">
        <v>2885.5</v>
      </c>
      <c r="E1252" s="4" t="s">
        <v>11</v>
      </c>
    </row>
    <row r="1253" spans="1:5" x14ac:dyDescent="0.2">
      <c r="A1253" s="1">
        <v>44822</v>
      </c>
      <c r="B1253" s="2">
        <v>1165</v>
      </c>
      <c r="C1253" s="2">
        <v>278</v>
      </c>
      <c r="D1253" s="3">
        <v>3516.99</v>
      </c>
      <c r="E1253" s="4" t="s">
        <v>12</v>
      </c>
    </row>
    <row r="1254" spans="1:5" hidden="1" x14ac:dyDescent="0.2">
      <c r="A1254" s="1">
        <v>44823</v>
      </c>
      <c r="B1254" s="2">
        <v>1161</v>
      </c>
      <c r="C1254" s="2">
        <v>203</v>
      </c>
      <c r="D1254" s="3">
        <v>3119.83</v>
      </c>
      <c r="E1254" s="4" t="s">
        <v>11</v>
      </c>
    </row>
    <row r="1255" spans="1:5" x14ac:dyDescent="0.2">
      <c r="A1255" s="1">
        <v>44823</v>
      </c>
      <c r="B1255" s="2">
        <v>1157</v>
      </c>
      <c r="C1255" s="2">
        <v>275</v>
      </c>
      <c r="D1255" s="3">
        <v>4168.9799999999996</v>
      </c>
      <c r="E1255" s="4" t="s">
        <v>12</v>
      </c>
    </row>
    <row r="1256" spans="1:5" hidden="1" x14ac:dyDescent="0.2">
      <c r="A1256" s="1">
        <v>44824</v>
      </c>
      <c r="B1256" s="2">
        <v>1163</v>
      </c>
      <c r="C1256" s="2">
        <v>227</v>
      </c>
      <c r="D1256" s="3">
        <v>3732.33</v>
      </c>
      <c r="E1256" s="4" t="s">
        <v>11</v>
      </c>
    </row>
    <row r="1257" spans="1:5" x14ac:dyDescent="0.2">
      <c r="A1257" s="1">
        <v>44824</v>
      </c>
      <c r="B1257" s="2">
        <v>1149</v>
      </c>
      <c r="C1257" s="2">
        <v>272</v>
      </c>
      <c r="D1257" s="3">
        <v>4055.42</v>
      </c>
      <c r="E1257" s="4" t="s">
        <v>12</v>
      </c>
    </row>
    <row r="1258" spans="1:5" hidden="1" x14ac:dyDescent="0.2">
      <c r="A1258" s="1">
        <v>44825</v>
      </c>
      <c r="B1258" s="2">
        <v>1143</v>
      </c>
      <c r="C1258" s="2">
        <v>207</v>
      </c>
      <c r="D1258" s="3">
        <v>2533.02</v>
      </c>
      <c r="E1258" s="4" t="s">
        <v>11</v>
      </c>
    </row>
    <row r="1259" spans="1:5" x14ac:dyDescent="0.2">
      <c r="A1259" s="1">
        <v>44825</v>
      </c>
      <c r="B1259" s="2">
        <v>1147</v>
      </c>
      <c r="C1259" s="2">
        <v>260</v>
      </c>
      <c r="D1259" s="3">
        <v>3224.93</v>
      </c>
      <c r="E1259" s="4" t="s">
        <v>12</v>
      </c>
    </row>
    <row r="1260" spans="1:5" hidden="1" x14ac:dyDescent="0.2">
      <c r="A1260" s="1">
        <v>44826</v>
      </c>
      <c r="B1260" s="2">
        <v>1217</v>
      </c>
      <c r="C1260" s="2">
        <v>231</v>
      </c>
      <c r="D1260" s="3">
        <v>3203.18</v>
      </c>
      <c r="E1260" s="4" t="s">
        <v>11</v>
      </c>
    </row>
    <row r="1261" spans="1:5" x14ac:dyDescent="0.2">
      <c r="A1261" s="1">
        <v>44826</v>
      </c>
      <c r="B1261" s="2">
        <v>1119</v>
      </c>
      <c r="C1261" s="2">
        <v>265</v>
      </c>
      <c r="D1261" s="3">
        <v>3922.09</v>
      </c>
      <c r="E1261" s="4" t="s">
        <v>12</v>
      </c>
    </row>
    <row r="1262" spans="1:5" hidden="1" x14ac:dyDescent="0.2">
      <c r="A1262" s="1">
        <v>44827</v>
      </c>
      <c r="B1262" s="2">
        <v>1214</v>
      </c>
      <c r="C1262" s="2">
        <v>218</v>
      </c>
      <c r="D1262" s="3">
        <v>3824.18</v>
      </c>
      <c r="E1262" s="4" t="s">
        <v>11</v>
      </c>
    </row>
    <row r="1263" spans="1:5" x14ac:dyDescent="0.2">
      <c r="A1263" s="1">
        <v>44827</v>
      </c>
      <c r="B1263" s="2">
        <v>1155</v>
      </c>
      <c r="C1263" s="2">
        <v>289</v>
      </c>
      <c r="D1263" s="3">
        <v>4057.52</v>
      </c>
      <c r="E1263" s="4" t="s">
        <v>12</v>
      </c>
    </row>
    <row r="1264" spans="1:5" hidden="1" x14ac:dyDescent="0.2">
      <c r="A1264" s="1">
        <v>44828</v>
      </c>
      <c r="B1264" s="2">
        <v>1203</v>
      </c>
      <c r="C1264" s="2">
        <v>223</v>
      </c>
      <c r="D1264" s="3">
        <v>2685.47</v>
      </c>
      <c r="E1264" s="4" t="s">
        <v>11</v>
      </c>
    </row>
    <row r="1265" spans="1:5" x14ac:dyDescent="0.2">
      <c r="A1265" s="1">
        <v>44828</v>
      </c>
      <c r="B1265" s="2">
        <v>1121</v>
      </c>
      <c r="C1265" s="2">
        <v>268</v>
      </c>
      <c r="D1265" s="3">
        <v>5184.33</v>
      </c>
      <c r="E1265" s="4" t="s">
        <v>12</v>
      </c>
    </row>
    <row r="1266" spans="1:5" hidden="1" x14ac:dyDescent="0.2">
      <c r="A1266" s="1">
        <v>44829</v>
      </c>
      <c r="B1266" s="2">
        <v>1257</v>
      </c>
      <c r="C1266" s="2">
        <v>244</v>
      </c>
      <c r="D1266" s="3">
        <v>3880.07</v>
      </c>
      <c r="E1266" s="4" t="s">
        <v>11</v>
      </c>
    </row>
    <row r="1267" spans="1:5" x14ac:dyDescent="0.2">
      <c r="A1267" s="1">
        <v>44829</v>
      </c>
      <c r="B1267" s="2">
        <v>1161</v>
      </c>
      <c r="C1267" s="2">
        <v>273</v>
      </c>
      <c r="D1267" s="3">
        <v>4917.67</v>
      </c>
      <c r="E1267" s="4" t="s">
        <v>12</v>
      </c>
    </row>
    <row r="1268" spans="1:5" hidden="1" x14ac:dyDescent="0.2">
      <c r="A1268" s="1">
        <v>44830</v>
      </c>
      <c r="B1268" s="2">
        <v>1245</v>
      </c>
      <c r="C1268" s="2">
        <v>239</v>
      </c>
      <c r="D1268" s="3">
        <v>3512.36</v>
      </c>
      <c r="E1268" s="4" t="s">
        <v>11</v>
      </c>
    </row>
    <row r="1269" spans="1:5" x14ac:dyDescent="0.2">
      <c r="A1269" s="1">
        <v>44830</v>
      </c>
      <c r="B1269" s="2">
        <v>1134</v>
      </c>
      <c r="C1269" s="2">
        <v>266</v>
      </c>
      <c r="D1269" s="3">
        <v>4820</v>
      </c>
      <c r="E1269" s="4" t="s">
        <v>12</v>
      </c>
    </row>
    <row r="1270" spans="1:5" hidden="1" x14ac:dyDescent="0.2">
      <c r="A1270" s="1">
        <v>44831</v>
      </c>
      <c r="B1270" s="2">
        <v>1190</v>
      </c>
      <c r="C1270" s="2">
        <v>218</v>
      </c>
      <c r="D1270" s="3">
        <v>3818.32</v>
      </c>
      <c r="E1270" s="4" t="s">
        <v>11</v>
      </c>
    </row>
    <row r="1271" spans="1:5" x14ac:dyDescent="0.2">
      <c r="A1271" s="1">
        <v>44831</v>
      </c>
      <c r="B1271" s="2">
        <v>1101</v>
      </c>
      <c r="C1271" s="2">
        <v>252</v>
      </c>
      <c r="D1271" s="3">
        <v>4236.6499999999996</v>
      </c>
      <c r="E1271" s="4" t="s">
        <v>12</v>
      </c>
    </row>
    <row r="1272" spans="1:5" hidden="1" x14ac:dyDescent="0.2">
      <c r="A1272" s="1">
        <v>44832</v>
      </c>
      <c r="B1272" s="2">
        <v>1243</v>
      </c>
      <c r="C1272" s="2">
        <v>216</v>
      </c>
      <c r="D1272" s="3">
        <v>3519.02</v>
      </c>
      <c r="E1272" s="4" t="s">
        <v>11</v>
      </c>
    </row>
    <row r="1273" spans="1:5" x14ac:dyDescent="0.2">
      <c r="A1273" s="1">
        <v>44832</v>
      </c>
      <c r="B1273" s="2">
        <v>1154</v>
      </c>
      <c r="C1273" s="2">
        <v>267</v>
      </c>
      <c r="D1273" s="3">
        <v>3685.11</v>
      </c>
      <c r="E1273" s="4" t="s">
        <v>12</v>
      </c>
    </row>
    <row r="1274" spans="1:5" hidden="1" x14ac:dyDescent="0.2">
      <c r="A1274" s="1">
        <v>44833</v>
      </c>
      <c r="B1274" s="2">
        <v>1206</v>
      </c>
      <c r="C1274" s="2">
        <v>237</v>
      </c>
      <c r="D1274" s="3">
        <v>3873.71</v>
      </c>
      <c r="E1274" s="4" t="s">
        <v>11</v>
      </c>
    </row>
    <row r="1275" spans="1:5" x14ac:dyDescent="0.2">
      <c r="A1275" s="1">
        <v>44833</v>
      </c>
      <c r="B1275" s="2">
        <v>1161</v>
      </c>
      <c r="C1275" s="2">
        <v>272</v>
      </c>
      <c r="D1275" s="3">
        <v>4442.66</v>
      </c>
      <c r="E1275" s="4" t="s">
        <v>12</v>
      </c>
    </row>
    <row r="1276" spans="1:5" hidden="1" x14ac:dyDescent="0.2">
      <c r="A1276" s="1">
        <v>44834</v>
      </c>
      <c r="B1276" s="2">
        <v>1231</v>
      </c>
      <c r="C1276" s="2">
        <v>236</v>
      </c>
      <c r="D1276" s="3">
        <v>4329.8599999999997</v>
      </c>
      <c r="E1276" s="4" t="s">
        <v>11</v>
      </c>
    </row>
    <row r="1277" spans="1:5" x14ac:dyDescent="0.2">
      <c r="A1277" s="1">
        <v>44834</v>
      </c>
      <c r="B1277" s="2">
        <v>1136</v>
      </c>
      <c r="C1277" s="2">
        <v>271</v>
      </c>
      <c r="D1277" s="3">
        <v>4575.43</v>
      </c>
      <c r="E1277" s="4" t="s">
        <v>12</v>
      </c>
    </row>
    <row r="1278" spans="1:5" hidden="1" x14ac:dyDescent="0.2">
      <c r="A1278" s="1">
        <v>44835</v>
      </c>
      <c r="B1278" s="2">
        <v>1214</v>
      </c>
      <c r="C1278" s="2">
        <v>230</v>
      </c>
      <c r="D1278" s="3">
        <v>3450.51</v>
      </c>
      <c r="E1278" s="4" t="s">
        <v>11</v>
      </c>
    </row>
    <row r="1279" spans="1:5" x14ac:dyDescent="0.2">
      <c r="A1279" s="1">
        <v>44835</v>
      </c>
      <c r="B1279" s="2">
        <v>1188</v>
      </c>
      <c r="C1279" s="2">
        <v>279</v>
      </c>
      <c r="D1279" s="3">
        <v>3602.21</v>
      </c>
      <c r="E1279" s="4" t="s">
        <v>12</v>
      </c>
    </row>
    <row r="1280" spans="1:5" hidden="1" x14ac:dyDescent="0.2">
      <c r="A1280" s="1">
        <v>44836</v>
      </c>
      <c r="B1280" s="2">
        <v>1166</v>
      </c>
      <c r="C1280" s="2">
        <v>219</v>
      </c>
      <c r="D1280" s="3">
        <v>2971.14</v>
      </c>
      <c r="E1280" s="4" t="s">
        <v>11</v>
      </c>
    </row>
    <row r="1281" spans="1:5" x14ac:dyDescent="0.2">
      <c r="A1281" s="1">
        <v>44836</v>
      </c>
      <c r="B1281" s="2">
        <v>1187</v>
      </c>
      <c r="C1281" s="2">
        <v>238</v>
      </c>
      <c r="D1281" s="3">
        <v>4193.37</v>
      </c>
      <c r="E1281" s="4" t="s">
        <v>12</v>
      </c>
    </row>
    <row r="1282" spans="1:5" hidden="1" x14ac:dyDescent="0.2">
      <c r="A1282" s="1">
        <v>44837</v>
      </c>
      <c r="B1282" s="2">
        <v>1216</v>
      </c>
      <c r="C1282" s="2">
        <v>245</v>
      </c>
      <c r="D1282" s="3">
        <v>3692.1</v>
      </c>
      <c r="E1282" s="4" t="s">
        <v>11</v>
      </c>
    </row>
    <row r="1283" spans="1:5" x14ac:dyDescent="0.2">
      <c r="A1283" s="1">
        <v>44837</v>
      </c>
      <c r="B1283" s="2">
        <v>1153</v>
      </c>
      <c r="C1283" s="2">
        <v>254</v>
      </c>
      <c r="D1283" s="3">
        <v>3365.24</v>
      </c>
      <c r="E1283" s="4" t="s">
        <v>12</v>
      </c>
    </row>
    <row r="1284" spans="1:5" hidden="1" x14ac:dyDescent="0.2">
      <c r="A1284" s="1">
        <v>44838</v>
      </c>
      <c r="B1284" s="2">
        <v>1151</v>
      </c>
      <c r="C1284" s="2">
        <v>215</v>
      </c>
      <c r="D1284" s="3">
        <v>3519.92</v>
      </c>
      <c r="E1284" s="4" t="s">
        <v>11</v>
      </c>
    </row>
    <row r="1285" spans="1:5" x14ac:dyDescent="0.2">
      <c r="A1285" s="1">
        <v>44838</v>
      </c>
      <c r="B1285" s="2">
        <v>1109</v>
      </c>
      <c r="C1285" s="2">
        <v>251</v>
      </c>
      <c r="D1285" s="3">
        <v>2934.83</v>
      </c>
      <c r="E1285" s="4" t="s">
        <v>12</v>
      </c>
    </row>
    <row r="1286" spans="1:5" hidden="1" x14ac:dyDescent="0.2">
      <c r="A1286" s="1">
        <v>44839</v>
      </c>
      <c r="B1286" s="2">
        <v>1208</v>
      </c>
      <c r="C1286" s="2">
        <v>208</v>
      </c>
      <c r="D1286" s="3">
        <v>3948.41</v>
      </c>
      <c r="E1286" s="4" t="s">
        <v>11</v>
      </c>
    </row>
    <row r="1287" spans="1:5" x14ac:dyDescent="0.2">
      <c r="A1287" s="1">
        <v>44839</v>
      </c>
      <c r="B1287" s="2">
        <v>1142</v>
      </c>
      <c r="C1287" s="2">
        <v>282</v>
      </c>
      <c r="D1287" s="3">
        <v>4733.6000000000004</v>
      </c>
      <c r="E1287" s="4" t="s">
        <v>12</v>
      </c>
    </row>
    <row r="1288" spans="1:5" hidden="1" x14ac:dyDescent="0.2">
      <c r="A1288" s="1">
        <v>44840</v>
      </c>
      <c r="B1288" s="2">
        <v>1166</v>
      </c>
      <c r="C1288" s="2">
        <v>200</v>
      </c>
      <c r="D1288" s="3">
        <v>2600.6799999999998</v>
      </c>
      <c r="E1288" s="4" t="s">
        <v>11</v>
      </c>
    </row>
    <row r="1289" spans="1:5" x14ac:dyDescent="0.2">
      <c r="A1289" s="1">
        <v>44840</v>
      </c>
      <c r="B1289" s="2">
        <v>1158</v>
      </c>
      <c r="C1289" s="2">
        <v>261</v>
      </c>
      <c r="D1289" s="3">
        <v>4446.8100000000004</v>
      </c>
      <c r="E1289" s="4" t="s">
        <v>12</v>
      </c>
    </row>
    <row r="1290" spans="1:5" hidden="1" x14ac:dyDescent="0.2">
      <c r="A1290" s="1">
        <v>44841</v>
      </c>
      <c r="B1290" s="2">
        <v>1165</v>
      </c>
      <c r="C1290" s="2">
        <v>229</v>
      </c>
      <c r="D1290" s="3">
        <v>3003.54</v>
      </c>
      <c r="E1290" s="4" t="s">
        <v>11</v>
      </c>
    </row>
    <row r="1291" spans="1:5" x14ac:dyDescent="0.2">
      <c r="A1291" s="1">
        <v>44841</v>
      </c>
      <c r="B1291" s="2">
        <v>1202</v>
      </c>
      <c r="C1291" s="2">
        <v>274</v>
      </c>
      <c r="D1291" s="3">
        <v>4083.7</v>
      </c>
      <c r="E1291" s="4" t="s">
        <v>12</v>
      </c>
    </row>
    <row r="1292" spans="1:5" hidden="1" x14ac:dyDescent="0.2">
      <c r="A1292" s="1">
        <v>44842</v>
      </c>
      <c r="B1292" s="2">
        <v>1182</v>
      </c>
      <c r="C1292" s="2">
        <v>256</v>
      </c>
      <c r="D1292" s="3">
        <v>3942.2</v>
      </c>
      <c r="E1292" s="4" t="s">
        <v>11</v>
      </c>
    </row>
    <row r="1293" spans="1:5" x14ac:dyDescent="0.2">
      <c r="A1293" s="1">
        <v>44842</v>
      </c>
      <c r="B1293" s="2">
        <v>1111</v>
      </c>
      <c r="C1293" s="2">
        <v>259</v>
      </c>
      <c r="D1293" s="3">
        <v>4710.79</v>
      </c>
      <c r="E1293" s="4" t="s">
        <v>12</v>
      </c>
    </row>
    <row r="1294" spans="1:5" hidden="1" x14ac:dyDescent="0.2">
      <c r="A1294" s="1">
        <v>44843</v>
      </c>
      <c r="B1294" s="2">
        <v>1250</v>
      </c>
      <c r="C1294" s="2">
        <v>241</v>
      </c>
      <c r="D1294" s="3">
        <v>3461.84</v>
      </c>
      <c r="E1294" s="4" t="s">
        <v>11</v>
      </c>
    </row>
    <row r="1295" spans="1:5" x14ac:dyDescent="0.2">
      <c r="A1295" s="1">
        <v>44843</v>
      </c>
      <c r="B1295" s="2">
        <v>1133</v>
      </c>
      <c r="C1295" s="2">
        <v>262</v>
      </c>
      <c r="D1295" s="3">
        <v>4253.09</v>
      </c>
      <c r="E1295" s="4" t="s">
        <v>12</v>
      </c>
    </row>
    <row r="1296" spans="1:5" hidden="1" x14ac:dyDescent="0.2">
      <c r="A1296" s="1">
        <v>44844</v>
      </c>
      <c r="B1296" s="2">
        <v>1195</v>
      </c>
      <c r="C1296" s="2">
        <v>238</v>
      </c>
      <c r="D1296" s="3">
        <v>3809.19</v>
      </c>
      <c r="E1296" s="4" t="s">
        <v>11</v>
      </c>
    </row>
    <row r="1297" spans="1:5" x14ac:dyDescent="0.2">
      <c r="A1297" s="1">
        <v>44844</v>
      </c>
      <c r="B1297" s="2">
        <v>1151</v>
      </c>
      <c r="C1297" s="2">
        <v>261</v>
      </c>
      <c r="D1297" s="3">
        <v>3711.03</v>
      </c>
      <c r="E1297" s="4" t="s">
        <v>12</v>
      </c>
    </row>
    <row r="1298" spans="1:5" hidden="1" x14ac:dyDescent="0.2">
      <c r="A1298" s="1">
        <v>44845</v>
      </c>
      <c r="B1298" s="2">
        <v>1137</v>
      </c>
      <c r="C1298" s="2">
        <v>198</v>
      </c>
      <c r="D1298" s="3">
        <v>3294.81</v>
      </c>
      <c r="E1298" s="4" t="s">
        <v>11</v>
      </c>
    </row>
    <row r="1299" spans="1:5" x14ac:dyDescent="0.2">
      <c r="A1299" s="1">
        <v>44845</v>
      </c>
      <c r="B1299" s="2">
        <v>1172</v>
      </c>
      <c r="C1299" s="2">
        <v>271</v>
      </c>
      <c r="D1299" s="3">
        <v>4778.9799999999996</v>
      </c>
      <c r="E1299" s="4" t="s">
        <v>12</v>
      </c>
    </row>
    <row r="1300" spans="1:5" hidden="1" x14ac:dyDescent="0.2">
      <c r="A1300" s="1">
        <v>44846</v>
      </c>
      <c r="B1300" s="2">
        <v>1230</v>
      </c>
      <c r="C1300" s="2">
        <v>240</v>
      </c>
      <c r="D1300" s="3">
        <v>4261.05</v>
      </c>
      <c r="E1300" s="4" t="s">
        <v>11</v>
      </c>
    </row>
    <row r="1301" spans="1:5" x14ac:dyDescent="0.2">
      <c r="A1301" s="1">
        <v>44846</v>
      </c>
      <c r="B1301" s="2">
        <v>1194</v>
      </c>
      <c r="C1301" s="2">
        <v>269</v>
      </c>
      <c r="D1301" s="3">
        <v>4852.78</v>
      </c>
      <c r="E1301" s="4" t="s">
        <v>12</v>
      </c>
    </row>
    <row r="1302" spans="1:5" hidden="1" x14ac:dyDescent="0.2">
      <c r="A1302" s="1">
        <v>44847</v>
      </c>
      <c r="B1302" s="2">
        <v>1248</v>
      </c>
      <c r="C1302" s="2">
        <v>243</v>
      </c>
      <c r="D1302" s="3">
        <v>3668.97</v>
      </c>
      <c r="E1302" s="4" t="s">
        <v>11</v>
      </c>
    </row>
    <row r="1303" spans="1:5" x14ac:dyDescent="0.2">
      <c r="A1303" s="1">
        <v>44847</v>
      </c>
      <c r="B1303" s="2">
        <v>1161</v>
      </c>
      <c r="C1303" s="2">
        <v>250</v>
      </c>
      <c r="D1303" s="3">
        <v>4361.22</v>
      </c>
      <c r="E1303" s="4" t="s">
        <v>12</v>
      </c>
    </row>
    <row r="1304" spans="1:5" hidden="1" x14ac:dyDescent="0.2">
      <c r="A1304" s="1">
        <v>44848</v>
      </c>
      <c r="B1304" s="2">
        <v>1226</v>
      </c>
      <c r="C1304" s="2">
        <v>223</v>
      </c>
      <c r="D1304" s="3">
        <v>3602.1</v>
      </c>
      <c r="E1304" s="4" t="s">
        <v>11</v>
      </c>
    </row>
    <row r="1305" spans="1:5" x14ac:dyDescent="0.2">
      <c r="A1305" s="1">
        <v>44848</v>
      </c>
      <c r="B1305" s="2">
        <v>1216</v>
      </c>
      <c r="C1305" s="2">
        <v>277</v>
      </c>
      <c r="D1305" s="3">
        <v>3596.26</v>
      </c>
      <c r="E1305" s="4" t="s">
        <v>12</v>
      </c>
    </row>
    <row r="1306" spans="1:5" hidden="1" x14ac:dyDescent="0.2">
      <c r="A1306" s="1">
        <v>44849</v>
      </c>
      <c r="B1306" s="2">
        <v>1184</v>
      </c>
      <c r="C1306" s="2">
        <v>200</v>
      </c>
      <c r="D1306" s="3">
        <v>3619.46</v>
      </c>
      <c r="E1306" s="4" t="s">
        <v>11</v>
      </c>
    </row>
    <row r="1307" spans="1:5" x14ac:dyDescent="0.2">
      <c r="A1307" s="1">
        <v>44849</v>
      </c>
      <c r="B1307" s="2">
        <v>1154</v>
      </c>
      <c r="C1307" s="2">
        <v>256</v>
      </c>
      <c r="D1307" s="3">
        <v>4259.95</v>
      </c>
      <c r="E1307" s="4" t="s">
        <v>12</v>
      </c>
    </row>
    <row r="1308" spans="1:5" hidden="1" x14ac:dyDescent="0.2">
      <c r="A1308" s="1">
        <v>44850</v>
      </c>
      <c r="B1308" s="2">
        <v>1172</v>
      </c>
      <c r="C1308" s="2">
        <v>201</v>
      </c>
      <c r="D1308" s="3">
        <v>3121.23</v>
      </c>
      <c r="E1308" s="4" t="s">
        <v>11</v>
      </c>
    </row>
    <row r="1309" spans="1:5" x14ac:dyDescent="0.2">
      <c r="A1309" s="1">
        <v>44850</v>
      </c>
      <c r="B1309" s="2">
        <v>1155</v>
      </c>
      <c r="C1309" s="2">
        <v>245</v>
      </c>
      <c r="D1309" s="3">
        <v>3900.24</v>
      </c>
      <c r="E1309" s="4" t="s">
        <v>12</v>
      </c>
    </row>
    <row r="1310" spans="1:5" hidden="1" x14ac:dyDescent="0.2">
      <c r="A1310" s="1">
        <v>44851</v>
      </c>
      <c r="B1310" s="2">
        <v>1253</v>
      </c>
      <c r="C1310" s="2">
        <v>231</v>
      </c>
      <c r="D1310" s="3">
        <v>3498.33</v>
      </c>
      <c r="E1310" s="4" t="s">
        <v>11</v>
      </c>
    </row>
    <row r="1311" spans="1:5" x14ac:dyDescent="0.2">
      <c r="A1311" s="1">
        <v>44851</v>
      </c>
      <c r="B1311" s="2">
        <v>1153</v>
      </c>
      <c r="C1311" s="2">
        <v>243</v>
      </c>
      <c r="D1311" s="3">
        <v>4246.78</v>
      </c>
      <c r="E1311" s="4" t="s">
        <v>12</v>
      </c>
    </row>
    <row r="1312" spans="1:5" hidden="1" x14ac:dyDescent="0.2">
      <c r="A1312" s="1">
        <v>44852</v>
      </c>
      <c r="B1312" s="2">
        <v>1143</v>
      </c>
      <c r="C1312" s="2">
        <v>241</v>
      </c>
      <c r="D1312" s="3">
        <v>3331.65</v>
      </c>
      <c r="E1312" s="4" t="s">
        <v>11</v>
      </c>
    </row>
    <row r="1313" spans="1:5" x14ac:dyDescent="0.2">
      <c r="A1313" s="1">
        <v>44852</v>
      </c>
      <c r="B1313" s="2">
        <v>1160</v>
      </c>
      <c r="C1313" s="2">
        <v>256</v>
      </c>
      <c r="D1313" s="3">
        <v>4214.07</v>
      </c>
      <c r="E1313" s="4" t="s">
        <v>12</v>
      </c>
    </row>
    <row r="1314" spans="1:5" hidden="1" x14ac:dyDescent="0.2">
      <c r="A1314" s="1">
        <v>44853</v>
      </c>
      <c r="B1314" s="2">
        <v>1196</v>
      </c>
      <c r="C1314" s="2">
        <v>214</v>
      </c>
      <c r="D1314" s="3">
        <v>3655.53</v>
      </c>
      <c r="E1314" s="4" t="s">
        <v>11</v>
      </c>
    </row>
    <row r="1315" spans="1:5" x14ac:dyDescent="0.2">
      <c r="A1315" s="1">
        <v>44853</v>
      </c>
      <c r="B1315" s="2">
        <v>1111</v>
      </c>
      <c r="C1315" s="2">
        <v>249</v>
      </c>
      <c r="D1315" s="3">
        <v>3353.9</v>
      </c>
      <c r="E1315" s="4" t="s">
        <v>12</v>
      </c>
    </row>
    <row r="1316" spans="1:5" hidden="1" x14ac:dyDescent="0.2">
      <c r="A1316" s="1">
        <v>44854</v>
      </c>
      <c r="B1316" s="2">
        <v>1173</v>
      </c>
      <c r="C1316" s="2">
        <v>211</v>
      </c>
      <c r="D1316" s="3">
        <v>3116.69</v>
      </c>
      <c r="E1316" s="4" t="s">
        <v>11</v>
      </c>
    </row>
    <row r="1317" spans="1:5" x14ac:dyDescent="0.2">
      <c r="A1317" s="1">
        <v>44854</v>
      </c>
      <c r="B1317" s="2">
        <v>1161</v>
      </c>
      <c r="C1317" s="2">
        <v>264</v>
      </c>
      <c r="D1317" s="3">
        <v>4302.0200000000004</v>
      </c>
      <c r="E1317" s="4" t="s">
        <v>12</v>
      </c>
    </row>
    <row r="1318" spans="1:5" hidden="1" x14ac:dyDescent="0.2">
      <c r="A1318" s="1">
        <v>44855</v>
      </c>
      <c r="B1318" s="2">
        <v>1216</v>
      </c>
      <c r="C1318" s="2">
        <v>233</v>
      </c>
      <c r="D1318" s="3">
        <v>3635.71</v>
      </c>
      <c r="E1318" s="4" t="s">
        <v>11</v>
      </c>
    </row>
    <row r="1319" spans="1:5" x14ac:dyDescent="0.2">
      <c r="A1319" s="1">
        <v>44855</v>
      </c>
      <c r="B1319" s="2">
        <v>1150</v>
      </c>
      <c r="C1319" s="2">
        <v>266</v>
      </c>
      <c r="D1319" s="3">
        <v>3964.78</v>
      </c>
      <c r="E1319" s="4" t="s">
        <v>12</v>
      </c>
    </row>
    <row r="1320" spans="1:5" hidden="1" x14ac:dyDescent="0.2">
      <c r="A1320" s="1">
        <v>44856</v>
      </c>
      <c r="B1320" s="2">
        <v>1183</v>
      </c>
      <c r="C1320" s="2">
        <v>217</v>
      </c>
      <c r="D1320" s="3">
        <v>3274.02</v>
      </c>
      <c r="E1320" s="4" t="s">
        <v>11</v>
      </c>
    </row>
    <row r="1321" spans="1:5" x14ac:dyDescent="0.2">
      <c r="A1321" s="1">
        <v>44856</v>
      </c>
      <c r="B1321" s="2">
        <v>1146</v>
      </c>
      <c r="C1321" s="2">
        <v>281</v>
      </c>
      <c r="D1321" s="3">
        <v>5033.16</v>
      </c>
      <c r="E1321" s="4" t="s">
        <v>12</v>
      </c>
    </row>
    <row r="1322" spans="1:5" hidden="1" x14ac:dyDescent="0.2">
      <c r="A1322" s="1">
        <v>44857</v>
      </c>
      <c r="B1322" s="2">
        <v>1274</v>
      </c>
      <c r="C1322" s="2">
        <v>231</v>
      </c>
      <c r="D1322" s="3">
        <v>3494.41</v>
      </c>
      <c r="E1322" s="4" t="s">
        <v>11</v>
      </c>
    </row>
    <row r="1323" spans="1:5" x14ac:dyDescent="0.2">
      <c r="A1323" s="1">
        <v>44857</v>
      </c>
      <c r="B1323" s="2">
        <v>1155</v>
      </c>
      <c r="C1323" s="2">
        <v>265</v>
      </c>
      <c r="D1323" s="3">
        <v>4042.96</v>
      </c>
      <c r="E1323" s="4" t="s">
        <v>12</v>
      </c>
    </row>
    <row r="1324" spans="1:5" hidden="1" x14ac:dyDescent="0.2">
      <c r="A1324" s="1">
        <v>44858</v>
      </c>
      <c r="B1324" s="2">
        <v>1224</v>
      </c>
      <c r="C1324" s="2">
        <v>193</v>
      </c>
      <c r="D1324" s="3">
        <v>2596.61</v>
      </c>
      <c r="E1324" s="4" t="s">
        <v>11</v>
      </c>
    </row>
    <row r="1325" spans="1:5" x14ac:dyDescent="0.2">
      <c r="A1325" s="1">
        <v>44858</v>
      </c>
      <c r="B1325" s="2">
        <v>1059</v>
      </c>
      <c r="C1325" s="2">
        <v>278</v>
      </c>
      <c r="D1325" s="3">
        <v>3963.88</v>
      </c>
      <c r="E1325" s="4" t="s">
        <v>12</v>
      </c>
    </row>
    <row r="1326" spans="1:5" hidden="1" x14ac:dyDescent="0.2">
      <c r="A1326" s="1">
        <v>44859</v>
      </c>
      <c r="B1326" s="2">
        <v>1152</v>
      </c>
      <c r="C1326" s="2">
        <v>229</v>
      </c>
      <c r="D1326" s="3">
        <v>3362.39</v>
      </c>
      <c r="E1326" s="4" t="s">
        <v>11</v>
      </c>
    </row>
    <row r="1327" spans="1:5" x14ac:dyDescent="0.2">
      <c r="A1327" s="1">
        <v>44859</v>
      </c>
      <c r="B1327" s="2">
        <v>1122</v>
      </c>
      <c r="C1327" s="2">
        <v>243</v>
      </c>
      <c r="D1327" s="3">
        <v>3441.84</v>
      </c>
      <c r="E1327" s="4" t="s">
        <v>12</v>
      </c>
    </row>
    <row r="1328" spans="1:5" hidden="1" x14ac:dyDescent="0.2">
      <c r="A1328" s="1">
        <v>44860</v>
      </c>
      <c r="B1328" s="2">
        <v>1254</v>
      </c>
      <c r="C1328" s="2">
        <v>242</v>
      </c>
      <c r="D1328" s="3">
        <v>4394.45</v>
      </c>
      <c r="E1328" s="4" t="s">
        <v>11</v>
      </c>
    </row>
    <row r="1329" spans="1:5" x14ac:dyDescent="0.2">
      <c r="A1329" s="1">
        <v>44860</v>
      </c>
      <c r="B1329" s="2">
        <v>1145</v>
      </c>
      <c r="C1329" s="2">
        <v>228</v>
      </c>
      <c r="D1329" s="3">
        <v>3369.04</v>
      </c>
      <c r="E1329" s="4" t="s">
        <v>12</v>
      </c>
    </row>
    <row r="1330" spans="1:5" hidden="1" x14ac:dyDescent="0.2">
      <c r="A1330" s="1">
        <v>44861</v>
      </c>
      <c r="B1330" s="2">
        <v>1206</v>
      </c>
      <c r="C1330" s="2">
        <v>226</v>
      </c>
      <c r="D1330" s="3">
        <v>3542.54</v>
      </c>
      <c r="E1330" s="4" t="s">
        <v>11</v>
      </c>
    </row>
    <row r="1331" spans="1:5" x14ac:dyDescent="0.2">
      <c r="A1331" s="1">
        <v>44861</v>
      </c>
      <c r="B1331" s="2">
        <v>1111</v>
      </c>
      <c r="C1331" s="2">
        <v>261</v>
      </c>
      <c r="D1331" s="3">
        <v>4038.55</v>
      </c>
      <c r="E1331" s="4" t="s">
        <v>12</v>
      </c>
    </row>
    <row r="1332" spans="1:5" hidden="1" x14ac:dyDescent="0.2">
      <c r="A1332" s="1">
        <v>44862</v>
      </c>
      <c r="B1332" s="2">
        <v>1188</v>
      </c>
      <c r="C1332" s="2">
        <v>236</v>
      </c>
      <c r="D1332" s="3">
        <v>3511.16</v>
      </c>
      <c r="E1332" s="4" t="s">
        <v>11</v>
      </c>
    </row>
    <row r="1333" spans="1:5" x14ac:dyDescent="0.2">
      <c r="A1333" s="1">
        <v>44862</v>
      </c>
      <c r="B1333" s="2">
        <v>1185</v>
      </c>
      <c r="C1333" s="2">
        <v>280</v>
      </c>
      <c r="D1333" s="3">
        <v>4060.67</v>
      </c>
      <c r="E1333" s="4" t="s">
        <v>12</v>
      </c>
    </row>
    <row r="1334" spans="1:5" hidden="1" x14ac:dyDescent="0.2">
      <c r="A1334" s="1">
        <v>44863</v>
      </c>
      <c r="B1334" s="2">
        <v>1152</v>
      </c>
      <c r="C1334" s="2">
        <v>213</v>
      </c>
      <c r="D1334" s="3">
        <v>2907.97</v>
      </c>
      <c r="E1334" s="4" t="s">
        <v>11</v>
      </c>
    </row>
    <row r="1335" spans="1:5" x14ac:dyDescent="0.2">
      <c r="A1335" s="1">
        <v>44863</v>
      </c>
      <c r="B1335" s="2">
        <v>1150</v>
      </c>
      <c r="C1335" s="2">
        <v>275</v>
      </c>
      <c r="D1335" s="3">
        <v>4926.6499999999996</v>
      </c>
      <c r="E1335" s="4" t="s">
        <v>12</v>
      </c>
    </row>
    <row r="1336" spans="1:5" hidden="1" x14ac:dyDescent="0.2">
      <c r="A1336" s="1">
        <v>44864</v>
      </c>
      <c r="B1336" s="2">
        <v>1156</v>
      </c>
      <c r="C1336" s="2">
        <v>216</v>
      </c>
      <c r="D1336" s="3">
        <v>3001.42</v>
      </c>
      <c r="E1336" s="4" t="s">
        <v>11</v>
      </c>
    </row>
    <row r="1337" spans="1:5" x14ac:dyDescent="0.2">
      <c r="A1337" s="1">
        <v>44864</v>
      </c>
      <c r="B1337" s="2">
        <v>1136</v>
      </c>
      <c r="C1337" s="2">
        <v>271</v>
      </c>
      <c r="D1337" s="3">
        <v>3741.35</v>
      </c>
      <c r="E1337" s="4" t="s">
        <v>12</v>
      </c>
    </row>
    <row r="1338" spans="1:5" hidden="1" x14ac:dyDescent="0.2">
      <c r="A1338" s="1">
        <v>44865</v>
      </c>
      <c r="B1338" s="2">
        <v>1270</v>
      </c>
      <c r="C1338" s="2">
        <v>249</v>
      </c>
      <c r="D1338" s="3">
        <v>3156.29</v>
      </c>
      <c r="E1338" s="4" t="s">
        <v>11</v>
      </c>
    </row>
    <row r="1339" spans="1:5" x14ac:dyDescent="0.2">
      <c r="A1339" s="1">
        <v>44865</v>
      </c>
      <c r="B1339" s="2">
        <v>1164</v>
      </c>
      <c r="C1339" s="2">
        <v>257</v>
      </c>
      <c r="D1339" s="3">
        <v>4925.21</v>
      </c>
      <c r="E1339" s="4" t="s">
        <v>12</v>
      </c>
    </row>
    <row r="1340" spans="1:5" hidden="1" x14ac:dyDescent="0.2">
      <c r="A1340" s="1">
        <v>44866</v>
      </c>
      <c r="B1340" s="2">
        <v>1205</v>
      </c>
      <c r="C1340" s="2">
        <v>212</v>
      </c>
      <c r="D1340" s="3">
        <v>2977.94</v>
      </c>
      <c r="E1340" s="4" t="s">
        <v>11</v>
      </c>
    </row>
    <row r="1341" spans="1:5" x14ac:dyDescent="0.2">
      <c r="A1341" s="1">
        <v>44866</v>
      </c>
      <c r="B1341" s="2">
        <v>1132</v>
      </c>
      <c r="C1341" s="2">
        <v>252</v>
      </c>
      <c r="D1341" s="3">
        <v>3374.49</v>
      </c>
      <c r="E1341" s="4" t="s">
        <v>12</v>
      </c>
    </row>
    <row r="1342" spans="1:5" hidden="1" x14ac:dyDescent="0.2">
      <c r="A1342" s="1">
        <v>44867</v>
      </c>
      <c r="B1342" s="2">
        <v>1233</v>
      </c>
      <c r="C1342" s="2">
        <v>232</v>
      </c>
      <c r="D1342" s="3">
        <v>3439.59</v>
      </c>
      <c r="E1342" s="4" t="s">
        <v>11</v>
      </c>
    </row>
    <row r="1343" spans="1:5" x14ac:dyDescent="0.2">
      <c r="A1343" s="1">
        <v>44867</v>
      </c>
      <c r="B1343" s="2">
        <v>1125</v>
      </c>
      <c r="C1343" s="2">
        <v>276</v>
      </c>
      <c r="D1343" s="3">
        <v>5453.69</v>
      </c>
      <c r="E1343" s="4" t="s">
        <v>12</v>
      </c>
    </row>
    <row r="1344" spans="1:5" hidden="1" x14ac:dyDescent="0.2">
      <c r="A1344" s="1">
        <v>44868</v>
      </c>
      <c r="B1344" s="2">
        <v>1176</v>
      </c>
      <c r="C1344" s="2">
        <v>199</v>
      </c>
      <c r="D1344" s="3">
        <v>3100.9</v>
      </c>
      <c r="E1344" s="4" t="s">
        <v>11</v>
      </c>
    </row>
    <row r="1345" spans="1:5" x14ac:dyDescent="0.2">
      <c r="A1345" s="1">
        <v>44868</v>
      </c>
      <c r="B1345" s="2">
        <v>1140</v>
      </c>
      <c r="C1345" s="2">
        <v>280</v>
      </c>
      <c r="D1345" s="3">
        <v>4276.3999999999996</v>
      </c>
      <c r="E1345" s="4" t="s">
        <v>12</v>
      </c>
    </row>
    <row r="1346" spans="1:5" hidden="1" x14ac:dyDescent="0.2">
      <c r="A1346" s="1">
        <v>44869</v>
      </c>
      <c r="B1346" s="2">
        <v>1204</v>
      </c>
      <c r="C1346" s="2">
        <v>222</v>
      </c>
      <c r="D1346" s="3">
        <v>2994.36</v>
      </c>
      <c r="E1346" s="4" t="s">
        <v>11</v>
      </c>
    </row>
    <row r="1347" spans="1:5" x14ac:dyDescent="0.2">
      <c r="A1347" s="1">
        <v>44869</v>
      </c>
      <c r="B1347" s="2">
        <v>1102</v>
      </c>
      <c r="C1347" s="2">
        <v>261</v>
      </c>
      <c r="D1347" s="3">
        <v>4364.1499999999996</v>
      </c>
      <c r="E1347" s="4" t="s">
        <v>12</v>
      </c>
    </row>
    <row r="1348" spans="1:5" hidden="1" x14ac:dyDescent="0.2">
      <c r="A1348" s="1">
        <v>44870</v>
      </c>
      <c r="B1348" s="2">
        <v>1164</v>
      </c>
      <c r="C1348" s="2">
        <v>186</v>
      </c>
      <c r="D1348" s="3">
        <v>2564.9699999999998</v>
      </c>
      <c r="E1348" s="4" t="s">
        <v>11</v>
      </c>
    </row>
    <row r="1349" spans="1:5" x14ac:dyDescent="0.2">
      <c r="A1349" s="1">
        <v>44870</v>
      </c>
      <c r="B1349" s="2">
        <v>1185</v>
      </c>
      <c r="C1349" s="2">
        <v>288</v>
      </c>
      <c r="D1349" s="3">
        <v>4894.7299999999996</v>
      </c>
      <c r="E1349" s="4" t="s">
        <v>12</v>
      </c>
    </row>
    <row r="1350" spans="1:5" hidden="1" x14ac:dyDescent="0.2">
      <c r="A1350" s="1">
        <v>44871</v>
      </c>
      <c r="B1350" s="2">
        <v>1175</v>
      </c>
      <c r="C1350" s="2">
        <v>228</v>
      </c>
      <c r="D1350" s="3">
        <v>3243.84</v>
      </c>
      <c r="E1350" s="4" t="s">
        <v>11</v>
      </c>
    </row>
    <row r="1351" spans="1:5" x14ac:dyDescent="0.2">
      <c r="A1351" s="1">
        <v>44871</v>
      </c>
      <c r="B1351" s="2">
        <v>1137</v>
      </c>
      <c r="C1351" s="2">
        <v>283</v>
      </c>
      <c r="D1351" s="3">
        <v>3279.8</v>
      </c>
      <c r="E1351" s="4" t="s">
        <v>12</v>
      </c>
    </row>
    <row r="1352" spans="1:5" hidden="1" x14ac:dyDescent="0.2">
      <c r="A1352" s="1">
        <v>44872</v>
      </c>
      <c r="B1352" s="2">
        <v>1188</v>
      </c>
      <c r="C1352" s="2">
        <v>231</v>
      </c>
      <c r="D1352" s="3">
        <v>3392.08</v>
      </c>
      <c r="E1352" s="4" t="s">
        <v>11</v>
      </c>
    </row>
    <row r="1353" spans="1:5" x14ac:dyDescent="0.2">
      <c r="A1353" s="1">
        <v>44872</v>
      </c>
      <c r="B1353" s="2">
        <v>1227</v>
      </c>
      <c r="C1353" s="2">
        <v>306</v>
      </c>
      <c r="D1353" s="3">
        <v>5084.67</v>
      </c>
      <c r="E1353" s="4" t="s">
        <v>12</v>
      </c>
    </row>
    <row r="1354" spans="1:5" hidden="1" x14ac:dyDescent="0.2">
      <c r="A1354" s="1">
        <v>44873</v>
      </c>
      <c r="B1354" s="2">
        <v>1251</v>
      </c>
      <c r="C1354" s="2">
        <v>242</v>
      </c>
      <c r="D1354" s="3">
        <v>3454.62</v>
      </c>
      <c r="E1354" s="4" t="s">
        <v>11</v>
      </c>
    </row>
    <row r="1355" spans="1:5" x14ac:dyDescent="0.2">
      <c r="A1355" s="1">
        <v>44873</v>
      </c>
      <c r="B1355" s="2">
        <v>1106</v>
      </c>
      <c r="C1355" s="2">
        <v>278</v>
      </c>
      <c r="D1355" s="3">
        <v>4860.45</v>
      </c>
      <c r="E1355" s="4" t="s">
        <v>12</v>
      </c>
    </row>
    <row r="1356" spans="1:5" hidden="1" x14ac:dyDescent="0.2">
      <c r="A1356" s="1">
        <v>44874</v>
      </c>
      <c r="B1356" s="2">
        <v>1176</v>
      </c>
      <c r="C1356" s="2">
        <v>217</v>
      </c>
      <c r="D1356" s="3">
        <v>2730.21</v>
      </c>
      <c r="E1356" s="4" t="s">
        <v>11</v>
      </c>
    </row>
    <row r="1357" spans="1:5" x14ac:dyDescent="0.2">
      <c r="A1357" s="1">
        <v>44874</v>
      </c>
      <c r="B1357" s="2">
        <v>1209</v>
      </c>
      <c r="C1357" s="2">
        <v>281</v>
      </c>
      <c r="D1357" s="3">
        <v>4527.8900000000003</v>
      </c>
      <c r="E1357" s="4" t="s">
        <v>12</v>
      </c>
    </row>
    <row r="1358" spans="1:5" hidden="1" x14ac:dyDescent="0.2">
      <c r="A1358" s="1">
        <v>44875</v>
      </c>
      <c r="B1358" s="2">
        <v>1219</v>
      </c>
      <c r="C1358" s="2">
        <v>228</v>
      </c>
      <c r="D1358" s="3">
        <v>3309.91</v>
      </c>
      <c r="E1358" s="4" t="s">
        <v>11</v>
      </c>
    </row>
    <row r="1359" spans="1:5" x14ac:dyDescent="0.2">
      <c r="A1359" s="1">
        <v>44875</v>
      </c>
      <c r="B1359" s="2">
        <v>1181</v>
      </c>
      <c r="C1359" s="2">
        <v>293</v>
      </c>
      <c r="D1359" s="3">
        <v>5547.53</v>
      </c>
      <c r="E1359" s="4" t="s">
        <v>12</v>
      </c>
    </row>
    <row r="1360" spans="1:5" hidden="1" x14ac:dyDescent="0.2">
      <c r="A1360" s="1">
        <v>44876</v>
      </c>
      <c r="B1360" s="2">
        <v>1176</v>
      </c>
      <c r="C1360" s="2">
        <v>221</v>
      </c>
      <c r="D1360" s="3">
        <v>3217.05</v>
      </c>
      <c r="E1360" s="4" t="s">
        <v>11</v>
      </c>
    </row>
    <row r="1361" spans="1:5" x14ac:dyDescent="0.2">
      <c r="A1361" s="1">
        <v>44876</v>
      </c>
      <c r="B1361" s="2">
        <v>1204</v>
      </c>
      <c r="C1361" s="2">
        <v>255</v>
      </c>
      <c r="D1361" s="3">
        <v>3345.1</v>
      </c>
      <c r="E1361" s="4" t="s">
        <v>12</v>
      </c>
    </row>
    <row r="1362" spans="1:5" hidden="1" x14ac:dyDescent="0.2">
      <c r="A1362" s="1">
        <v>44877</v>
      </c>
      <c r="B1362" s="2">
        <v>1207</v>
      </c>
      <c r="C1362" s="2">
        <v>224</v>
      </c>
      <c r="D1362" s="3">
        <v>3329.34</v>
      </c>
      <c r="E1362" s="4" t="s">
        <v>11</v>
      </c>
    </row>
    <row r="1363" spans="1:5" x14ac:dyDescent="0.2">
      <c r="A1363" s="1">
        <v>44877</v>
      </c>
      <c r="B1363" s="2">
        <v>1188</v>
      </c>
      <c r="C1363" s="2">
        <v>294</v>
      </c>
      <c r="D1363" s="3">
        <v>4720.92</v>
      </c>
      <c r="E1363" s="4" t="s">
        <v>12</v>
      </c>
    </row>
    <row r="1364" spans="1:5" hidden="1" x14ac:dyDescent="0.2">
      <c r="A1364" s="1">
        <v>44878</v>
      </c>
      <c r="B1364" s="2">
        <v>1218</v>
      </c>
      <c r="C1364" s="2">
        <v>234</v>
      </c>
      <c r="D1364" s="3">
        <v>3958.02</v>
      </c>
      <c r="E1364" s="4" t="s">
        <v>11</v>
      </c>
    </row>
    <row r="1365" spans="1:5" x14ac:dyDescent="0.2">
      <c r="A1365" s="1">
        <v>44878</v>
      </c>
      <c r="B1365" s="2">
        <v>1150</v>
      </c>
      <c r="C1365" s="2">
        <v>262</v>
      </c>
      <c r="D1365" s="3">
        <v>4136.41</v>
      </c>
      <c r="E1365" s="4" t="s">
        <v>12</v>
      </c>
    </row>
    <row r="1366" spans="1:5" hidden="1" x14ac:dyDescent="0.2">
      <c r="A1366" s="1">
        <v>44879</v>
      </c>
      <c r="B1366" s="2">
        <v>1237</v>
      </c>
      <c r="C1366" s="2">
        <v>235</v>
      </c>
      <c r="D1366" s="3">
        <v>4144.55</v>
      </c>
      <c r="E1366" s="4" t="s">
        <v>11</v>
      </c>
    </row>
    <row r="1367" spans="1:5" x14ac:dyDescent="0.2">
      <c r="A1367" s="1">
        <v>44879</v>
      </c>
      <c r="B1367" s="2">
        <v>1124</v>
      </c>
      <c r="C1367" s="2">
        <v>259</v>
      </c>
      <c r="D1367" s="3">
        <v>3440.47</v>
      </c>
      <c r="E1367" s="4" t="s">
        <v>12</v>
      </c>
    </row>
    <row r="1368" spans="1:5" hidden="1" x14ac:dyDescent="0.2">
      <c r="A1368" s="1">
        <v>44880</v>
      </c>
      <c r="B1368" s="2">
        <v>1176</v>
      </c>
      <c r="C1368" s="2">
        <v>212</v>
      </c>
      <c r="D1368" s="3">
        <v>2787.42</v>
      </c>
      <c r="E1368" s="4" t="s">
        <v>11</v>
      </c>
    </row>
    <row r="1369" spans="1:5" x14ac:dyDescent="0.2">
      <c r="A1369" s="1">
        <v>44880</v>
      </c>
      <c r="B1369" s="2">
        <v>1171</v>
      </c>
      <c r="C1369" s="2">
        <v>285</v>
      </c>
      <c r="D1369" s="3">
        <v>4495.21</v>
      </c>
      <c r="E1369" s="4" t="s">
        <v>12</v>
      </c>
    </row>
    <row r="1370" spans="1:5" hidden="1" x14ac:dyDescent="0.2">
      <c r="A1370" s="1">
        <v>44881</v>
      </c>
      <c r="B1370" s="2">
        <v>1154</v>
      </c>
      <c r="C1370" s="2">
        <v>247</v>
      </c>
      <c r="D1370" s="3">
        <v>3491.45</v>
      </c>
      <c r="E1370" s="4" t="s">
        <v>11</v>
      </c>
    </row>
    <row r="1371" spans="1:5" x14ac:dyDescent="0.2">
      <c r="A1371" s="1">
        <v>44881</v>
      </c>
      <c r="B1371" s="2">
        <v>1134</v>
      </c>
      <c r="C1371" s="2">
        <v>266</v>
      </c>
      <c r="D1371" s="3">
        <v>4933.08</v>
      </c>
      <c r="E1371" s="4" t="s">
        <v>12</v>
      </c>
    </row>
    <row r="1372" spans="1:5" hidden="1" x14ac:dyDescent="0.2">
      <c r="A1372" s="1">
        <v>44882</v>
      </c>
      <c r="B1372" s="2">
        <v>1213</v>
      </c>
      <c r="C1372" s="2">
        <v>241</v>
      </c>
      <c r="D1372" s="3">
        <v>4649.29</v>
      </c>
      <c r="E1372" s="4" t="s">
        <v>11</v>
      </c>
    </row>
    <row r="1373" spans="1:5" x14ac:dyDescent="0.2">
      <c r="A1373" s="1">
        <v>44882</v>
      </c>
      <c r="B1373" s="2">
        <v>1144</v>
      </c>
      <c r="C1373" s="2">
        <v>272</v>
      </c>
      <c r="D1373" s="3">
        <v>3511.55</v>
      </c>
      <c r="E1373" s="4" t="s">
        <v>12</v>
      </c>
    </row>
    <row r="1374" spans="1:5" hidden="1" x14ac:dyDescent="0.2">
      <c r="A1374" s="1">
        <v>44883</v>
      </c>
      <c r="B1374" s="2">
        <v>1211</v>
      </c>
      <c r="C1374" s="2">
        <v>232</v>
      </c>
      <c r="D1374" s="3">
        <v>3099.11</v>
      </c>
      <c r="E1374" s="4" t="s">
        <v>11</v>
      </c>
    </row>
    <row r="1375" spans="1:5" x14ac:dyDescent="0.2">
      <c r="A1375" s="1">
        <v>44883</v>
      </c>
      <c r="B1375" s="2">
        <v>1120</v>
      </c>
      <c r="C1375" s="2">
        <v>235</v>
      </c>
      <c r="D1375" s="3">
        <v>3559.4</v>
      </c>
      <c r="E1375" s="4" t="s">
        <v>12</v>
      </c>
    </row>
    <row r="1376" spans="1:5" hidden="1" x14ac:dyDescent="0.2">
      <c r="A1376" s="1">
        <v>44884</v>
      </c>
      <c r="B1376" s="2">
        <v>1243</v>
      </c>
      <c r="C1376" s="2">
        <v>234</v>
      </c>
      <c r="D1376" s="3">
        <v>3934.26</v>
      </c>
      <c r="E1376" s="4" t="s">
        <v>11</v>
      </c>
    </row>
    <row r="1377" spans="1:5" x14ac:dyDescent="0.2">
      <c r="A1377" s="1">
        <v>44884</v>
      </c>
      <c r="B1377" s="2">
        <v>1093</v>
      </c>
      <c r="C1377" s="2">
        <v>253</v>
      </c>
      <c r="D1377" s="3">
        <v>4084.56</v>
      </c>
      <c r="E1377" s="4" t="s">
        <v>12</v>
      </c>
    </row>
    <row r="1378" spans="1:5" hidden="1" x14ac:dyDescent="0.2">
      <c r="A1378" s="1">
        <v>44885</v>
      </c>
      <c r="B1378" s="2">
        <v>1189</v>
      </c>
      <c r="C1378" s="2">
        <v>221</v>
      </c>
      <c r="D1378" s="3">
        <v>3687.39</v>
      </c>
      <c r="E1378" s="4" t="s">
        <v>11</v>
      </c>
    </row>
    <row r="1379" spans="1:5" x14ac:dyDescent="0.2">
      <c r="A1379" s="1">
        <v>44885</v>
      </c>
      <c r="B1379" s="2">
        <v>1150</v>
      </c>
      <c r="C1379" s="2">
        <v>295</v>
      </c>
      <c r="D1379" s="3">
        <v>5165.43</v>
      </c>
      <c r="E1379" s="4" t="s">
        <v>12</v>
      </c>
    </row>
    <row r="1380" spans="1:5" hidden="1" x14ac:dyDescent="0.2">
      <c r="A1380" s="1">
        <v>44886</v>
      </c>
      <c r="B1380" s="2">
        <v>1191</v>
      </c>
      <c r="C1380" s="2">
        <v>217</v>
      </c>
      <c r="D1380" s="3">
        <v>3305.7</v>
      </c>
      <c r="E1380" s="4" t="s">
        <v>11</v>
      </c>
    </row>
    <row r="1381" spans="1:5" x14ac:dyDescent="0.2">
      <c r="A1381" s="1">
        <v>44886</v>
      </c>
      <c r="B1381" s="2">
        <v>1129</v>
      </c>
      <c r="C1381" s="2">
        <v>246</v>
      </c>
      <c r="D1381" s="3">
        <v>3303.49</v>
      </c>
      <c r="E1381" s="4" t="s">
        <v>12</v>
      </c>
    </row>
    <row r="1382" spans="1:5" hidden="1" x14ac:dyDescent="0.2">
      <c r="A1382" s="1">
        <v>44887</v>
      </c>
      <c r="B1382" s="2">
        <v>1177</v>
      </c>
      <c r="C1382" s="2">
        <v>204</v>
      </c>
      <c r="D1382" s="3">
        <v>2910.8</v>
      </c>
      <c r="E1382" s="4" t="s">
        <v>11</v>
      </c>
    </row>
    <row r="1383" spans="1:5" x14ac:dyDescent="0.2">
      <c r="A1383" s="1">
        <v>44887</v>
      </c>
      <c r="B1383" s="2">
        <v>1179</v>
      </c>
      <c r="C1383" s="2">
        <v>307</v>
      </c>
      <c r="D1383" s="3">
        <v>5221.62</v>
      </c>
      <c r="E1383" s="4" t="s">
        <v>12</v>
      </c>
    </row>
    <row r="1384" spans="1:5" hidden="1" x14ac:dyDescent="0.2">
      <c r="A1384" s="1">
        <v>44888</v>
      </c>
      <c r="B1384" s="2">
        <v>1218</v>
      </c>
      <c r="C1384" s="2">
        <v>222</v>
      </c>
      <c r="D1384" s="3">
        <v>2529.13</v>
      </c>
      <c r="E1384" s="4" t="s">
        <v>11</v>
      </c>
    </row>
    <row r="1385" spans="1:5" x14ac:dyDescent="0.2">
      <c r="A1385" s="1">
        <v>44888</v>
      </c>
      <c r="B1385" s="2">
        <v>1104</v>
      </c>
      <c r="C1385" s="2">
        <v>271</v>
      </c>
      <c r="D1385" s="3">
        <v>4515.66</v>
      </c>
      <c r="E1385" s="4" t="s">
        <v>12</v>
      </c>
    </row>
    <row r="1386" spans="1:5" hidden="1" x14ac:dyDescent="0.2">
      <c r="A1386" s="1">
        <v>44889</v>
      </c>
      <c r="B1386" s="2">
        <v>1279</v>
      </c>
      <c r="C1386" s="2">
        <v>231</v>
      </c>
      <c r="D1386" s="3">
        <v>2939.69</v>
      </c>
      <c r="E1386" s="4" t="s">
        <v>11</v>
      </c>
    </row>
    <row r="1387" spans="1:5" x14ac:dyDescent="0.2">
      <c r="A1387" s="1">
        <v>44889</v>
      </c>
      <c r="B1387" s="2">
        <v>1153</v>
      </c>
      <c r="C1387" s="2">
        <v>243</v>
      </c>
      <c r="D1387" s="3">
        <v>3488.6</v>
      </c>
      <c r="E1387" s="4" t="s">
        <v>12</v>
      </c>
    </row>
    <row r="1388" spans="1:5" hidden="1" x14ac:dyDescent="0.2">
      <c r="A1388" s="1">
        <v>44890</v>
      </c>
      <c r="B1388" s="2">
        <v>1232</v>
      </c>
      <c r="C1388" s="2">
        <v>220</v>
      </c>
      <c r="D1388" s="3">
        <v>3895.23</v>
      </c>
      <c r="E1388" s="4" t="s">
        <v>11</v>
      </c>
    </row>
    <row r="1389" spans="1:5" x14ac:dyDescent="0.2">
      <c r="A1389" s="1">
        <v>44890</v>
      </c>
      <c r="B1389" s="2">
        <v>1242</v>
      </c>
      <c r="C1389" s="2">
        <v>290</v>
      </c>
      <c r="D1389" s="3">
        <v>4369.3900000000003</v>
      </c>
      <c r="E1389" s="4" t="s">
        <v>12</v>
      </c>
    </row>
    <row r="1390" spans="1:5" hidden="1" x14ac:dyDescent="0.2">
      <c r="A1390" s="1">
        <v>44891</v>
      </c>
      <c r="B1390" s="2">
        <v>1188</v>
      </c>
      <c r="C1390" s="2">
        <v>210</v>
      </c>
      <c r="D1390" s="3">
        <v>2584.96</v>
      </c>
      <c r="E1390" s="4" t="s">
        <v>11</v>
      </c>
    </row>
    <row r="1391" spans="1:5" x14ac:dyDescent="0.2">
      <c r="A1391" s="1">
        <v>44891</v>
      </c>
      <c r="B1391" s="2">
        <v>1185</v>
      </c>
      <c r="C1391" s="2">
        <v>285</v>
      </c>
      <c r="D1391" s="3">
        <v>4399.74</v>
      </c>
      <c r="E1391" s="4" t="s">
        <v>12</v>
      </c>
    </row>
    <row r="1392" spans="1:5" hidden="1" x14ac:dyDescent="0.2">
      <c r="A1392" s="1">
        <v>44892</v>
      </c>
      <c r="B1392" s="2">
        <v>1214</v>
      </c>
      <c r="C1392" s="2">
        <v>220</v>
      </c>
      <c r="D1392" s="3">
        <v>2962.94</v>
      </c>
      <c r="E1392" s="4" t="s">
        <v>11</v>
      </c>
    </row>
    <row r="1393" spans="1:5" x14ac:dyDescent="0.2">
      <c r="A1393" s="1">
        <v>44892</v>
      </c>
      <c r="B1393" s="2">
        <v>1152</v>
      </c>
      <c r="C1393" s="2">
        <v>282</v>
      </c>
      <c r="D1393" s="3">
        <v>4251.8500000000004</v>
      </c>
      <c r="E1393" s="4" t="s">
        <v>12</v>
      </c>
    </row>
    <row r="1394" spans="1:5" hidden="1" x14ac:dyDescent="0.2">
      <c r="A1394" s="1">
        <v>44893</v>
      </c>
      <c r="B1394" s="2">
        <v>1183</v>
      </c>
      <c r="C1394" s="2">
        <v>231</v>
      </c>
      <c r="D1394" s="3">
        <v>2918.92</v>
      </c>
      <c r="E1394" s="4" t="s">
        <v>11</v>
      </c>
    </row>
    <row r="1395" spans="1:5" x14ac:dyDescent="0.2">
      <c r="A1395" s="1">
        <v>44893</v>
      </c>
      <c r="B1395" s="2">
        <v>1157</v>
      </c>
      <c r="C1395" s="2">
        <v>263</v>
      </c>
      <c r="D1395" s="3">
        <v>4731.88</v>
      </c>
      <c r="E1395" s="4" t="s">
        <v>12</v>
      </c>
    </row>
    <row r="1396" spans="1:5" hidden="1" x14ac:dyDescent="0.2">
      <c r="A1396" s="1">
        <v>44894</v>
      </c>
      <c r="B1396" s="2">
        <v>1268</v>
      </c>
      <c r="C1396" s="2">
        <v>218</v>
      </c>
      <c r="D1396" s="3">
        <v>2899.52</v>
      </c>
      <c r="E1396" s="4" t="s">
        <v>11</v>
      </c>
    </row>
    <row r="1397" spans="1:5" x14ac:dyDescent="0.2">
      <c r="A1397" s="1">
        <v>44894</v>
      </c>
      <c r="B1397" s="2">
        <v>1114</v>
      </c>
      <c r="C1397" s="2">
        <v>241</v>
      </c>
      <c r="D1397" s="3">
        <v>3623.2</v>
      </c>
      <c r="E1397" s="4" t="s">
        <v>12</v>
      </c>
    </row>
    <row r="1398" spans="1:5" hidden="1" x14ac:dyDescent="0.2">
      <c r="A1398" s="1">
        <v>44895</v>
      </c>
      <c r="B1398" s="2">
        <v>1188</v>
      </c>
      <c r="C1398" s="2">
        <v>239</v>
      </c>
      <c r="D1398" s="3">
        <v>4080.77</v>
      </c>
      <c r="E1398" s="4" t="s">
        <v>11</v>
      </c>
    </row>
    <row r="1399" spans="1:5" x14ac:dyDescent="0.2">
      <c r="A1399" s="1">
        <v>44895</v>
      </c>
      <c r="B1399" s="2">
        <v>1194</v>
      </c>
      <c r="C1399" s="2">
        <v>253</v>
      </c>
      <c r="D1399" s="3">
        <v>3587.29</v>
      </c>
      <c r="E1399" s="4" t="s">
        <v>12</v>
      </c>
    </row>
    <row r="1400" spans="1:5" hidden="1" x14ac:dyDescent="0.2">
      <c r="A1400" s="1">
        <v>44896</v>
      </c>
      <c r="B1400" s="2">
        <v>1185</v>
      </c>
      <c r="C1400" s="2">
        <v>236</v>
      </c>
      <c r="D1400" s="3">
        <v>3871.88</v>
      </c>
      <c r="E1400" s="4" t="s">
        <v>11</v>
      </c>
    </row>
    <row r="1401" spans="1:5" x14ac:dyDescent="0.2">
      <c r="A1401" s="1">
        <v>44896</v>
      </c>
      <c r="B1401" s="2">
        <v>1118</v>
      </c>
      <c r="C1401" s="2">
        <v>246</v>
      </c>
      <c r="D1401" s="3">
        <v>5165.2299999999996</v>
      </c>
      <c r="E1401" s="4" t="s">
        <v>12</v>
      </c>
    </row>
    <row r="1402" spans="1:5" hidden="1" x14ac:dyDescent="0.2">
      <c r="A1402" s="1">
        <v>44897</v>
      </c>
      <c r="B1402" s="2">
        <v>1221</v>
      </c>
      <c r="C1402" s="2">
        <v>254</v>
      </c>
      <c r="D1402" s="3">
        <v>4316.6099999999997</v>
      </c>
      <c r="E1402" s="4" t="s">
        <v>11</v>
      </c>
    </row>
    <row r="1403" spans="1:5" x14ac:dyDescent="0.2">
      <c r="A1403" s="1">
        <v>44897</v>
      </c>
      <c r="B1403" s="2">
        <v>1133</v>
      </c>
      <c r="C1403" s="2">
        <v>253</v>
      </c>
      <c r="D1403" s="3">
        <v>4646.04</v>
      </c>
      <c r="E1403" s="4" t="s">
        <v>12</v>
      </c>
    </row>
    <row r="1404" spans="1:5" hidden="1" x14ac:dyDescent="0.2">
      <c r="A1404" s="1">
        <v>44898</v>
      </c>
      <c r="B1404" s="2">
        <v>1257</v>
      </c>
      <c r="C1404" s="2">
        <v>223</v>
      </c>
      <c r="D1404" s="3">
        <v>3820.16</v>
      </c>
      <c r="E1404" s="4" t="s">
        <v>11</v>
      </c>
    </row>
    <row r="1405" spans="1:5" x14ac:dyDescent="0.2">
      <c r="A1405" s="1">
        <v>44898</v>
      </c>
      <c r="B1405" s="2">
        <v>1161</v>
      </c>
      <c r="C1405" s="2">
        <v>266</v>
      </c>
      <c r="D1405" s="3">
        <v>4118.72</v>
      </c>
      <c r="E1405" s="4" t="s">
        <v>12</v>
      </c>
    </row>
    <row r="1406" spans="1:5" hidden="1" x14ac:dyDescent="0.2">
      <c r="A1406" s="1">
        <v>44899</v>
      </c>
      <c r="B1406" s="2">
        <v>1227</v>
      </c>
      <c r="C1406" s="2">
        <v>239</v>
      </c>
      <c r="D1406" s="3">
        <v>3000.3</v>
      </c>
      <c r="E1406" s="4" t="s">
        <v>11</v>
      </c>
    </row>
    <row r="1407" spans="1:5" x14ac:dyDescent="0.2">
      <c r="A1407" s="1">
        <v>44899</v>
      </c>
      <c r="B1407" s="2">
        <v>1161</v>
      </c>
      <c r="C1407" s="2">
        <v>278</v>
      </c>
      <c r="D1407" s="3">
        <v>5240.09</v>
      </c>
      <c r="E1407" s="4" t="s">
        <v>12</v>
      </c>
    </row>
    <row r="1408" spans="1:5" hidden="1" x14ac:dyDescent="0.2">
      <c r="A1408" s="1">
        <v>44900</v>
      </c>
      <c r="B1408" s="2">
        <v>1135</v>
      </c>
      <c r="C1408" s="2">
        <v>217</v>
      </c>
      <c r="D1408" s="3">
        <v>2081.75</v>
      </c>
      <c r="E1408" s="4" t="s">
        <v>11</v>
      </c>
    </row>
    <row r="1409" spans="1:5" x14ac:dyDescent="0.2">
      <c r="A1409" s="1">
        <v>44900</v>
      </c>
      <c r="B1409" s="2">
        <v>1140</v>
      </c>
      <c r="C1409" s="2">
        <v>249</v>
      </c>
      <c r="D1409" s="3">
        <v>4153</v>
      </c>
      <c r="E1409" s="4" t="s">
        <v>12</v>
      </c>
    </row>
    <row r="1410" spans="1:5" hidden="1" x14ac:dyDescent="0.2">
      <c r="A1410" s="1">
        <v>44901</v>
      </c>
      <c r="B1410" s="2">
        <v>1246</v>
      </c>
      <c r="C1410" s="2">
        <v>238</v>
      </c>
      <c r="D1410" s="3">
        <v>3408.49</v>
      </c>
      <c r="E1410" s="4" t="s">
        <v>11</v>
      </c>
    </row>
    <row r="1411" spans="1:5" x14ac:dyDescent="0.2">
      <c r="A1411" s="1">
        <v>44901</v>
      </c>
      <c r="B1411" s="2">
        <v>1089</v>
      </c>
      <c r="C1411" s="2">
        <v>279</v>
      </c>
      <c r="D1411" s="3">
        <v>4440.93</v>
      </c>
      <c r="E1411" s="4" t="s">
        <v>12</v>
      </c>
    </row>
    <row r="1412" spans="1:5" hidden="1" x14ac:dyDescent="0.2">
      <c r="A1412" s="1">
        <v>44902</v>
      </c>
      <c r="B1412" s="2">
        <v>1136</v>
      </c>
      <c r="C1412" s="2">
        <v>224</v>
      </c>
      <c r="D1412" s="3">
        <v>3052.82</v>
      </c>
      <c r="E1412" s="4" t="s">
        <v>11</v>
      </c>
    </row>
    <row r="1413" spans="1:5" x14ac:dyDescent="0.2">
      <c r="A1413" s="1">
        <v>44902</v>
      </c>
      <c r="B1413" s="2">
        <v>1171</v>
      </c>
      <c r="C1413" s="2">
        <v>265</v>
      </c>
      <c r="D1413" s="3">
        <v>4674.76</v>
      </c>
      <c r="E1413" s="4" t="s">
        <v>12</v>
      </c>
    </row>
    <row r="1414" spans="1:5" hidden="1" x14ac:dyDescent="0.2">
      <c r="A1414" s="1">
        <v>44903</v>
      </c>
      <c r="B1414" s="2">
        <v>1164</v>
      </c>
      <c r="C1414" s="2">
        <v>225</v>
      </c>
      <c r="D1414" s="3">
        <v>2587.06</v>
      </c>
      <c r="E1414" s="4" t="s">
        <v>11</v>
      </c>
    </row>
    <row r="1415" spans="1:5" x14ac:dyDescent="0.2">
      <c r="A1415" s="1">
        <v>44903</v>
      </c>
      <c r="B1415" s="2">
        <v>1140</v>
      </c>
      <c r="C1415" s="2">
        <v>276</v>
      </c>
      <c r="D1415" s="3">
        <v>4318.0200000000004</v>
      </c>
      <c r="E1415" s="4" t="s">
        <v>12</v>
      </c>
    </row>
    <row r="1416" spans="1:5" hidden="1" x14ac:dyDescent="0.2">
      <c r="A1416" s="1">
        <v>44904</v>
      </c>
      <c r="B1416" s="2">
        <v>1155</v>
      </c>
      <c r="C1416" s="2">
        <v>216</v>
      </c>
      <c r="D1416" s="3">
        <v>3193.28</v>
      </c>
      <c r="E1416" s="4" t="s">
        <v>11</v>
      </c>
    </row>
    <row r="1417" spans="1:5" x14ac:dyDescent="0.2">
      <c r="A1417" s="1">
        <v>44904</v>
      </c>
      <c r="B1417" s="2">
        <v>1175</v>
      </c>
      <c r="C1417" s="2">
        <v>236</v>
      </c>
      <c r="D1417" s="3">
        <v>4300.91</v>
      </c>
      <c r="E1417" s="4" t="s">
        <v>12</v>
      </c>
    </row>
    <row r="1418" spans="1:5" hidden="1" x14ac:dyDescent="0.2">
      <c r="A1418" s="1">
        <v>44905</v>
      </c>
      <c r="B1418" s="2">
        <v>1196</v>
      </c>
      <c r="C1418" s="2">
        <v>234</v>
      </c>
      <c r="D1418" s="3">
        <v>3447.75</v>
      </c>
      <c r="E1418" s="4" t="s">
        <v>11</v>
      </c>
    </row>
    <row r="1419" spans="1:5" x14ac:dyDescent="0.2">
      <c r="A1419" s="1">
        <v>44905</v>
      </c>
      <c r="B1419" s="2">
        <v>1184</v>
      </c>
      <c r="C1419" s="2">
        <v>274</v>
      </c>
      <c r="D1419" s="3">
        <v>3660.15</v>
      </c>
      <c r="E1419" s="4" t="s">
        <v>12</v>
      </c>
    </row>
    <row r="1420" spans="1:5" hidden="1" x14ac:dyDescent="0.2">
      <c r="A1420" s="1">
        <v>44906</v>
      </c>
      <c r="B1420" s="2">
        <v>1237</v>
      </c>
      <c r="C1420" s="2">
        <v>248</v>
      </c>
      <c r="D1420" s="3">
        <v>3418.19</v>
      </c>
      <c r="E1420" s="4" t="s">
        <v>11</v>
      </c>
    </row>
    <row r="1421" spans="1:5" x14ac:dyDescent="0.2">
      <c r="A1421" s="1">
        <v>44906</v>
      </c>
      <c r="B1421" s="2">
        <v>1128</v>
      </c>
      <c r="C1421" s="2">
        <v>257</v>
      </c>
      <c r="D1421" s="3">
        <v>3593.96</v>
      </c>
      <c r="E1421" s="4" t="s">
        <v>12</v>
      </c>
    </row>
    <row r="1422" spans="1:5" hidden="1" x14ac:dyDescent="0.2">
      <c r="A1422" s="1">
        <v>44907</v>
      </c>
      <c r="B1422" s="2">
        <v>1235</v>
      </c>
      <c r="C1422" s="2">
        <v>232</v>
      </c>
      <c r="D1422" s="3">
        <v>4219.7</v>
      </c>
      <c r="E1422" s="4" t="s">
        <v>11</v>
      </c>
    </row>
    <row r="1423" spans="1:5" x14ac:dyDescent="0.2">
      <c r="A1423" s="1">
        <v>44907</v>
      </c>
      <c r="B1423" s="2">
        <v>1145</v>
      </c>
      <c r="C1423" s="2">
        <v>286</v>
      </c>
      <c r="D1423" s="3">
        <v>4635.22</v>
      </c>
      <c r="E1423" s="4" t="s">
        <v>12</v>
      </c>
    </row>
    <row r="1424" spans="1:5" hidden="1" x14ac:dyDescent="0.2">
      <c r="A1424" s="1">
        <v>44908</v>
      </c>
      <c r="B1424" s="2">
        <v>1160</v>
      </c>
      <c r="C1424" s="2">
        <v>217</v>
      </c>
      <c r="D1424" s="3">
        <v>2456.3200000000002</v>
      </c>
      <c r="E1424" s="4" t="s">
        <v>11</v>
      </c>
    </row>
    <row r="1425" spans="1:5" x14ac:dyDescent="0.2">
      <c r="A1425" s="1">
        <v>44908</v>
      </c>
      <c r="B1425" s="2">
        <v>1113</v>
      </c>
      <c r="C1425" s="2">
        <v>269</v>
      </c>
      <c r="D1425" s="3">
        <v>5018.55</v>
      </c>
      <c r="E1425" s="4" t="s">
        <v>12</v>
      </c>
    </row>
    <row r="1426" spans="1:5" hidden="1" x14ac:dyDescent="0.2">
      <c r="A1426" s="1">
        <v>44909</v>
      </c>
      <c r="B1426" s="2">
        <v>1201</v>
      </c>
      <c r="C1426" s="2">
        <v>226</v>
      </c>
      <c r="D1426" s="3">
        <v>3024</v>
      </c>
      <c r="E1426" s="4" t="s">
        <v>11</v>
      </c>
    </row>
    <row r="1427" spans="1:5" x14ac:dyDescent="0.2">
      <c r="A1427" s="1">
        <v>44909</v>
      </c>
      <c r="B1427" s="2">
        <v>1160</v>
      </c>
      <c r="C1427" s="2">
        <v>279</v>
      </c>
      <c r="D1427" s="3">
        <v>4568.79</v>
      </c>
      <c r="E1427" s="4" t="s">
        <v>12</v>
      </c>
    </row>
    <row r="1428" spans="1:5" hidden="1" x14ac:dyDescent="0.2">
      <c r="A1428" s="1">
        <v>44910</v>
      </c>
      <c r="B1428" s="2">
        <v>1200</v>
      </c>
      <c r="C1428" s="2">
        <v>238</v>
      </c>
      <c r="D1428" s="3">
        <v>2885.17</v>
      </c>
      <c r="E1428" s="4" t="s">
        <v>11</v>
      </c>
    </row>
    <row r="1429" spans="1:5" x14ac:dyDescent="0.2">
      <c r="A1429" s="1">
        <v>44910</v>
      </c>
      <c r="B1429" s="2">
        <v>1151</v>
      </c>
      <c r="C1429" s="2">
        <v>256</v>
      </c>
      <c r="D1429" s="3">
        <v>3980.67</v>
      </c>
      <c r="E1429" s="4" t="s">
        <v>12</v>
      </c>
    </row>
    <row r="1430" spans="1:5" hidden="1" x14ac:dyDescent="0.2">
      <c r="A1430" s="1">
        <v>44911</v>
      </c>
      <c r="B1430" s="2">
        <v>1185</v>
      </c>
      <c r="C1430" s="2">
        <v>229</v>
      </c>
      <c r="D1430" s="3">
        <v>3606.08</v>
      </c>
      <c r="E1430" s="4" t="s">
        <v>11</v>
      </c>
    </row>
    <row r="1431" spans="1:5" x14ac:dyDescent="0.2">
      <c r="A1431" s="1">
        <v>44911</v>
      </c>
      <c r="B1431" s="2">
        <v>1177</v>
      </c>
      <c r="C1431" s="2">
        <v>288</v>
      </c>
      <c r="D1431" s="3">
        <v>5446.33</v>
      </c>
      <c r="E1431" s="4" t="s">
        <v>12</v>
      </c>
    </row>
    <row r="1432" spans="1:5" hidden="1" x14ac:dyDescent="0.2">
      <c r="A1432" s="1">
        <v>44912</v>
      </c>
      <c r="B1432" s="2">
        <v>1171</v>
      </c>
      <c r="C1432" s="2">
        <v>219</v>
      </c>
      <c r="D1432" s="3">
        <v>2951.96</v>
      </c>
      <c r="E1432" s="4" t="s">
        <v>11</v>
      </c>
    </row>
    <row r="1433" spans="1:5" x14ac:dyDescent="0.2">
      <c r="A1433" s="1">
        <v>44912</v>
      </c>
      <c r="B1433" s="2">
        <v>1118</v>
      </c>
      <c r="C1433" s="2">
        <v>236</v>
      </c>
      <c r="D1433" s="3">
        <v>3590.22</v>
      </c>
      <c r="E1433" s="4" t="s">
        <v>12</v>
      </c>
    </row>
    <row r="1434" spans="1:5" hidden="1" x14ac:dyDescent="0.2">
      <c r="A1434" s="1">
        <v>44913</v>
      </c>
      <c r="B1434" s="2">
        <v>1292</v>
      </c>
      <c r="C1434" s="2">
        <v>263</v>
      </c>
      <c r="D1434" s="3">
        <v>3366.91</v>
      </c>
      <c r="E1434" s="4" t="s">
        <v>11</v>
      </c>
    </row>
    <row r="1435" spans="1:5" x14ac:dyDescent="0.2">
      <c r="A1435" s="1">
        <v>44913</v>
      </c>
      <c r="B1435" s="2">
        <v>1126</v>
      </c>
      <c r="C1435" s="2">
        <v>275</v>
      </c>
      <c r="D1435" s="3">
        <v>5388.17</v>
      </c>
      <c r="E1435" s="4" t="s">
        <v>12</v>
      </c>
    </row>
    <row r="1436" spans="1:5" hidden="1" x14ac:dyDescent="0.2">
      <c r="A1436" s="1">
        <v>44914</v>
      </c>
      <c r="B1436" s="2">
        <v>1164</v>
      </c>
      <c r="C1436" s="2">
        <v>222</v>
      </c>
      <c r="D1436" s="3">
        <v>3444.22</v>
      </c>
      <c r="E1436" s="4" t="s">
        <v>11</v>
      </c>
    </row>
    <row r="1437" spans="1:5" x14ac:dyDescent="0.2">
      <c r="A1437" s="1">
        <v>44914</v>
      </c>
      <c r="B1437" s="2">
        <v>1167</v>
      </c>
      <c r="C1437" s="2">
        <v>285</v>
      </c>
      <c r="D1437" s="3">
        <v>4363.6499999999996</v>
      </c>
      <c r="E1437" s="4" t="s">
        <v>12</v>
      </c>
    </row>
    <row r="1438" spans="1:5" hidden="1" x14ac:dyDescent="0.2">
      <c r="A1438" s="1">
        <v>44915</v>
      </c>
      <c r="B1438" s="2">
        <v>1286</v>
      </c>
      <c r="C1438" s="2">
        <v>272</v>
      </c>
      <c r="D1438" s="3">
        <v>4533.24</v>
      </c>
      <c r="E1438" s="4" t="s">
        <v>11</v>
      </c>
    </row>
    <row r="1439" spans="1:5" x14ac:dyDescent="0.2">
      <c r="A1439" s="1">
        <v>44915</v>
      </c>
      <c r="B1439" s="2">
        <v>1144</v>
      </c>
      <c r="C1439" s="2">
        <v>275</v>
      </c>
      <c r="D1439" s="3">
        <v>4053.36</v>
      </c>
      <c r="E1439" s="4" t="s">
        <v>12</v>
      </c>
    </row>
    <row r="1440" spans="1:5" hidden="1" x14ac:dyDescent="0.2">
      <c r="A1440" s="1">
        <v>44916</v>
      </c>
      <c r="B1440" s="2">
        <v>1170</v>
      </c>
      <c r="C1440" s="2">
        <v>235</v>
      </c>
      <c r="D1440" s="3">
        <v>3706.3</v>
      </c>
      <c r="E1440" s="4" t="s">
        <v>11</v>
      </c>
    </row>
    <row r="1441" spans="1:5" x14ac:dyDescent="0.2">
      <c r="A1441" s="1">
        <v>44916</v>
      </c>
      <c r="B1441" s="2">
        <v>1094</v>
      </c>
      <c r="C1441" s="2">
        <v>244</v>
      </c>
      <c r="D1441" s="3">
        <v>4246.8999999999996</v>
      </c>
      <c r="E1441" s="4" t="s">
        <v>12</v>
      </c>
    </row>
    <row r="1442" spans="1:5" hidden="1" x14ac:dyDescent="0.2">
      <c r="A1442" s="1">
        <v>44917</v>
      </c>
      <c r="B1442" s="2">
        <v>1263</v>
      </c>
      <c r="C1442" s="2">
        <v>230</v>
      </c>
      <c r="D1442" s="3">
        <v>3149.64</v>
      </c>
      <c r="E1442" s="4" t="s">
        <v>11</v>
      </c>
    </row>
    <row r="1443" spans="1:5" x14ac:dyDescent="0.2">
      <c r="A1443" s="1">
        <v>44917</v>
      </c>
      <c r="B1443" s="2">
        <v>1184</v>
      </c>
      <c r="C1443" s="2">
        <v>266</v>
      </c>
      <c r="D1443" s="3">
        <v>3963.51</v>
      </c>
      <c r="E1443" s="4" t="s">
        <v>12</v>
      </c>
    </row>
    <row r="1444" spans="1:5" hidden="1" x14ac:dyDescent="0.2">
      <c r="A1444" s="1">
        <v>44918</v>
      </c>
      <c r="B1444" s="2">
        <v>1162</v>
      </c>
      <c r="C1444" s="2">
        <v>229</v>
      </c>
      <c r="D1444" s="3">
        <v>3651.7</v>
      </c>
      <c r="E1444" s="4" t="s">
        <v>11</v>
      </c>
    </row>
    <row r="1445" spans="1:5" x14ac:dyDescent="0.2">
      <c r="A1445" s="1">
        <v>44918</v>
      </c>
      <c r="B1445" s="2">
        <v>1207</v>
      </c>
      <c r="C1445" s="2">
        <v>266</v>
      </c>
      <c r="D1445" s="3">
        <v>3882.05</v>
      </c>
      <c r="E1445" s="4" t="s">
        <v>12</v>
      </c>
    </row>
    <row r="1446" spans="1:5" hidden="1" x14ac:dyDescent="0.2">
      <c r="A1446" s="1">
        <v>44919</v>
      </c>
      <c r="B1446" s="2">
        <v>1222</v>
      </c>
      <c r="C1446" s="2">
        <v>238</v>
      </c>
      <c r="D1446" s="3">
        <v>4136.96</v>
      </c>
      <c r="E1446" s="4" t="s">
        <v>11</v>
      </c>
    </row>
    <row r="1447" spans="1:5" x14ac:dyDescent="0.2">
      <c r="A1447" s="1">
        <v>44919</v>
      </c>
      <c r="B1447" s="2">
        <v>1145</v>
      </c>
      <c r="C1447" s="2">
        <v>258</v>
      </c>
      <c r="D1447" s="3">
        <v>4052.22</v>
      </c>
      <c r="E1447" s="4" t="s">
        <v>12</v>
      </c>
    </row>
    <row r="1448" spans="1:5" hidden="1" x14ac:dyDescent="0.2">
      <c r="A1448" s="1">
        <v>44920</v>
      </c>
      <c r="B1448" s="2">
        <v>1204</v>
      </c>
      <c r="C1448" s="2">
        <v>226</v>
      </c>
      <c r="D1448" s="3">
        <v>3874.79</v>
      </c>
      <c r="E1448" s="4" t="s">
        <v>11</v>
      </c>
    </row>
    <row r="1449" spans="1:5" x14ac:dyDescent="0.2">
      <c r="A1449" s="1">
        <v>44920</v>
      </c>
      <c r="B1449" s="2">
        <v>1204</v>
      </c>
      <c r="C1449" s="2">
        <v>279</v>
      </c>
      <c r="D1449" s="3">
        <v>5261.25</v>
      </c>
      <c r="E1449" s="4" t="s">
        <v>12</v>
      </c>
    </row>
    <row r="1450" spans="1:5" hidden="1" x14ac:dyDescent="0.2">
      <c r="A1450" s="1">
        <v>44921</v>
      </c>
      <c r="B1450" s="2">
        <v>1204</v>
      </c>
      <c r="C1450" s="2">
        <v>210</v>
      </c>
      <c r="D1450" s="3">
        <v>3590.33</v>
      </c>
      <c r="E1450" s="4" t="s">
        <v>11</v>
      </c>
    </row>
    <row r="1451" spans="1:5" x14ac:dyDescent="0.2">
      <c r="A1451" s="1">
        <v>44921</v>
      </c>
      <c r="B1451" s="2">
        <v>1158</v>
      </c>
      <c r="C1451" s="2">
        <v>269</v>
      </c>
      <c r="D1451" s="3">
        <v>4260.3900000000003</v>
      </c>
      <c r="E1451" s="4" t="s">
        <v>12</v>
      </c>
    </row>
    <row r="1452" spans="1:5" hidden="1" x14ac:dyDescent="0.2">
      <c r="A1452" s="1">
        <v>44922</v>
      </c>
      <c r="B1452" s="2">
        <v>1233</v>
      </c>
      <c r="C1452" s="2">
        <v>247</v>
      </c>
      <c r="D1452" s="3">
        <v>3188.85</v>
      </c>
      <c r="E1452" s="4" t="s">
        <v>11</v>
      </c>
    </row>
    <row r="1453" spans="1:5" x14ac:dyDescent="0.2">
      <c r="A1453" s="1">
        <v>44922</v>
      </c>
      <c r="B1453" s="2">
        <v>1141</v>
      </c>
      <c r="C1453" s="2">
        <v>248</v>
      </c>
      <c r="D1453" s="3">
        <v>4852.83</v>
      </c>
      <c r="E1453" s="4" t="s">
        <v>12</v>
      </c>
    </row>
    <row r="1454" spans="1:5" hidden="1" x14ac:dyDescent="0.2">
      <c r="A1454" s="1">
        <v>44923</v>
      </c>
      <c r="B1454" s="2">
        <v>1229</v>
      </c>
      <c r="C1454" s="2">
        <v>216</v>
      </c>
      <c r="D1454" s="3">
        <v>3590.66</v>
      </c>
      <c r="E1454" s="4" t="s">
        <v>11</v>
      </c>
    </row>
    <row r="1455" spans="1:5" x14ac:dyDescent="0.2">
      <c r="A1455" s="1">
        <v>44923</v>
      </c>
      <c r="B1455" s="2">
        <v>1149</v>
      </c>
      <c r="C1455" s="2">
        <v>275</v>
      </c>
      <c r="D1455" s="3">
        <v>4582.5600000000004</v>
      </c>
      <c r="E1455" s="4" t="s">
        <v>12</v>
      </c>
    </row>
    <row r="1456" spans="1:5" hidden="1" x14ac:dyDescent="0.2">
      <c r="A1456" s="1">
        <v>44924</v>
      </c>
      <c r="B1456" s="2">
        <v>1189</v>
      </c>
      <c r="C1456" s="2">
        <v>231</v>
      </c>
      <c r="D1456" s="3">
        <v>3023.97</v>
      </c>
      <c r="E1456" s="4" t="s">
        <v>11</v>
      </c>
    </row>
    <row r="1457" spans="1:5" x14ac:dyDescent="0.2">
      <c r="A1457" s="1">
        <v>44924</v>
      </c>
      <c r="B1457" s="2">
        <v>1135</v>
      </c>
      <c r="C1457" s="2">
        <v>251</v>
      </c>
      <c r="D1457" s="3">
        <v>4276.1499999999996</v>
      </c>
      <c r="E1457" s="4" t="s">
        <v>12</v>
      </c>
    </row>
    <row r="1458" spans="1:5" hidden="1" x14ac:dyDescent="0.2">
      <c r="A1458" s="1">
        <v>44925</v>
      </c>
      <c r="B1458" s="2">
        <v>1248</v>
      </c>
      <c r="C1458" s="2">
        <v>244</v>
      </c>
      <c r="D1458" s="3">
        <v>3828.91</v>
      </c>
      <c r="E1458" s="4" t="s">
        <v>11</v>
      </c>
    </row>
    <row r="1459" spans="1:5" x14ac:dyDescent="0.2">
      <c r="A1459" s="1">
        <v>44925</v>
      </c>
      <c r="B1459" s="2">
        <v>1151</v>
      </c>
      <c r="C1459" s="2">
        <v>275</v>
      </c>
      <c r="D1459" s="3">
        <v>4670.6099999999997</v>
      </c>
      <c r="E1459" s="4" t="s">
        <v>12</v>
      </c>
    </row>
    <row r="1460" spans="1:5" hidden="1" x14ac:dyDescent="0.2">
      <c r="A1460" s="1">
        <v>44926</v>
      </c>
      <c r="B1460" s="2">
        <v>1190</v>
      </c>
      <c r="C1460" s="2">
        <v>219</v>
      </c>
      <c r="D1460" s="3">
        <v>2354.69</v>
      </c>
      <c r="E1460" s="4" t="s">
        <v>11</v>
      </c>
    </row>
    <row r="1461" spans="1:5" x14ac:dyDescent="0.2">
      <c r="A1461" s="1">
        <v>44926</v>
      </c>
      <c r="B1461" s="2">
        <v>1152</v>
      </c>
      <c r="C1461" s="2">
        <v>263</v>
      </c>
      <c r="D1461" s="3">
        <v>4425.5600000000004</v>
      </c>
      <c r="E1461" s="4" t="s">
        <v>12</v>
      </c>
    </row>
    <row r="1462" spans="1:5" hidden="1" x14ac:dyDescent="0.2">
      <c r="A1462" s="1">
        <v>44927</v>
      </c>
      <c r="B1462" s="2">
        <v>1243</v>
      </c>
      <c r="C1462" s="2">
        <v>244</v>
      </c>
      <c r="D1462" s="3">
        <v>3124.72</v>
      </c>
      <c r="E1462" s="4" t="s">
        <v>11</v>
      </c>
    </row>
    <row r="1463" spans="1:5" x14ac:dyDescent="0.2">
      <c r="A1463" s="1">
        <v>44927</v>
      </c>
      <c r="B1463" s="2">
        <v>1164</v>
      </c>
      <c r="C1463" s="2">
        <v>259</v>
      </c>
      <c r="D1463" s="3">
        <v>4569.83</v>
      </c>
      <c r="E1463" s="4" t="s">
        <v>12</v>
      </c>
    </row>
    <row r="1464" spans="1:5" hidden="1" x14ac:dyDescent="0.2">
      <c r="A1464" s="1">
        <v>44928</v>
      </c>
      <c r="B1464" s="2">
        <v>1288</v>
      </c>
      <c r="C1464" s="2">
        <v>240</v>
      </c>
      <c r="D1464" s="3">
        <v>4176.93</v>
      </c>
      <c r="E1464" s="4" t="s">
        <v>11</v>
      </c>
    </row>
    <row r="1465" spans="1:5" x14ac:dyDescent="0.2">
      <c r="A1465" s="1">
        <v>44928</v>
      </c>
      <c r="B1465" s="2">
        <v>1127</v>
      </c>
      <c r="C1465" s="2">
        <v>252</v>
      </c>
      <c r="D1465" s="3">
        <v>4036.43</v>
      </c>
      <c r="E1465" s="4" t="s">
        <v>12</v>
      </c>
    </row>
    <row r="1466" spans="1:5" hidden="1" x14ac:dyDescent="0.2">
      <c r="A1466" s="1">
        <v>44929</v>
      </c>
      <c r="B1466" s="2">
        <v>1218</v>
      </c>
      <c r="C1466" s="2">
        <v>222</v>
      </c>
      <c r="D1466" s="3">
        <v>3725.19</v>
      </c>
      <c r="E1466" s="4" t="s">
        <v>11</v>
      </c>
    </row>
    <row r="1467" spans="1:5" x14ac:dyDescent="0.2">
      <c r="A1467" s="1">
        <v>44929</v>
      </c>
      <c r="B1467" s="2">
        <v>1182</v>
      </c>
      <c r="C1467" s="2">
        <v>281</v>
      </c>
      <c r="D1467" s="3">
        <v>4154.72</v>
      </c>
      <c r="E1467" s="4" t="s">
        <v>12</v>
      </c>
    </row>
    <row r="1468" spans="1:5" hidden="1" x14ac:dyDescent="0.2">
      <c r="A1468" s="1">
        <v>44930</v>
      </c>
      <c r="B1468" s="2">
        <v>1237</v>
      </c>
      <c r="C1468" s="2">
        <v>239</v>
      </c>
      <c r="D1468" s="3">
        <v>2461.48</v>
      </c>
      <c r="E1468" s="4" t="s">
        <v>11</v>
      </c>
    </row>
    <row r="1469" spans="1:5" x14ac:dyDescent="0.2">
      <c r="A1469" s="1">
        <v>44930</v>
      </c>
      <c r="B1469" s="2">
        <v>1144</v>
      </c>
      <c r="C1469" s="2">
        <v>248</v>
      </c>
      <c r="D1469" s="3">
        <v>4797.74</v>
      </c>
      <c r="E1469" s="4" t="s">
        <v>12</v>
      </c>
    </row>
    <row r="1470" spans="1:5" hidden="1" x14ac:dyDescent="0.2">
      <c r="A1470" s="1">
        <v>44931</v>
      </c>
      <c r="B1470" s="2">
        <v>1167</v>
      </c>
      <c r="C1470" s="2">
        <v>215</v>
      </c>
      <c r="D1470" s="3">
        <v>2864.92</v>
      </c>
      <c r="E1470" s="4" t="s">
        <v>11</v>
      </c>
    </row>
    <row r="1471" spans="1:5" x14ac:dyDescent="0.2">
      <c r="A1471" s="1">
        <v>44931</v>
      </c>
      <c r="B1471" s="2">
        <v>1153</v>
      </c>
      <c r="C1471" s="2">
        <v>247</v>
      </c>
      <c r="D1471" s="3">
        <v>2911.2</v>
      </c>
      <c r="E1471" s="4" t="s">
        <v>12</v>
      </c>
    </row>
    <row r="1472" spans="1:5" hidden="1" x14ac:dyDescent="0.2">
      <c r="A1472" s="1">
        <v>44932</v>
      </c>
      <c r="B1472" s="2">
        <v>1193</v>
      </c>
      <c r="C1472" s="2">
        <v>214</v>
      </c>
      <c r="D1472" s="3">
        <v>4062.59</v>
      </c>
      <c r="E1472" s="4" t="s">
        <v>11</v>
      </c>
    </row>
    <row r="1473" spans="1:5" x14ac:dyDescent="0.2">
      <c r="A1473" s="1">
        <v>44932</v>
      </c>
      <c r="B1473" s="2">
        <v>1171</v>
      </c>
      <c r="C1473" s="2">
        <v>257</v>
      </c>
      <c r="D1473" s="3">
        <v>5054.62</v>
      </c>
      <c r="E1473" s="4" t="s">
        <v>12</v>
      </c>
    </row>
    <row r="1474" spans="1:5" hidden="1" x14ac:dyDescent="0.2">
      <c r="A1474" s="1">
        <v>44933</v>
      </c>
      <c r="B1474" s="2">
        <v>1276</v>
      </c>
      <c r="C1474" s="2">
        <v>257</v>
      </c>
      <c r="D1474" s="3">
        <v>3766.16</v>
      </c>
      <c r="E1474" s="4" t="s">
        <v>11</v>
      </c>
    </row>
    <row r="1475" spans="1:5" x14ac:dyDescent="0.2">
      <c r="A1475" s="1">
        <v>44933</v>
      </c>
      <c r="B1475" s="2">
        <v>1109</v>
      </c>
      <c r="C1475" s="2">
        <v>273</v>
      </c>
      <c r="D1475" s="3">
        <v>4130.07</v>
      </c>
      <c r="E1475" s="4" t="s">
        <v>12</v>
      </c>
    </row>
    <row r="1476" spans="1:5" hidden="1" x14ac:dyDescent="0.2">
      <c r="A1476" s="1">
        <v>44934</v>
      </c>
      <c r="B1476" s="2">
        <v>1163</v>
      </c>
      <c r="C1476" s="2">
        <v>220</v>
      </c>
      <c r="D1476" s="3">
        <v>3045.63</v>
      </c>
      <c r="E1476" s="4" t="s">
        <v>11</v>
      </c>
    </row>
    <row r="1477" spans="1:5" x14ac:dyDescent="0.2">
      <c r="A1477" s="1">
        <v>44934</v>
      </c>
      <c r="B1477" s="2">
        <v>1121</v>
      </c>
      <c r="C1477" s="2">
        <v>258</v>
      </c>
      <c r="D1477" s="3">
        <v>3994.87</v>
      </c>
      <c r="E1477" s="4" t="s">
        <v>12</v>
      </c>
    </row>
    <row r="1478" spans="1:5" hidden="1" x14ac:dyDescent="0.2">
      <c r="A1478" s="1">
        <v>44935</v>
      </c>
      <c r="B1478" s="2">
        <v>1175</v>
      </c>
      <c r="C1478" s="2">
        <v>228</v>
      </c>
      <c r="D1478" s="3">
        <v>3461.98</v>
      </c>
      <c r="E1478" s="4" t="s">
        <v>11</v>
      </c>
    </row>
    <row r="1479" spans="1:5" x14ac:dyDescent="0.2">
      <c r="A1479" s="1">
        <v>44935</v>
      </c>
      <c r="B1479" s="2">
        <v>1147</v>
      </c>
      <c r="C1479" s="2">
        <v>235</v>
      </c>
      <c r="D1479" s="3">
        <v>3983.83</v>
      </c>
      <c r="E1479" s="4" t="s">
        <v>12</v>
      </c>
    </row>
    <row r="1480" spans="1:5" hidden="1" x14ac:dyDescent="0.2">
      <c r="A1480" s="1">
        <v>44936</v>
      </c>
      <c r="B1480" s="2">
        <v>1182</v>
      </c>
      <c r="C1480" s="2">
        <v>222</v>
      </c>
      <c r="D1480" s="3">
        <v>3339.92</v>
      </c>
      <c r="E1480" s="4" t="s">
        <v>11</v>
      </c>
    </row>
    <row r="1481" spans="1:5" x14ac:dyDescent="0.2">
      <c r="A1481" s="1">
        <v>44936</v>
      </c>
      <c r="B1481" s="2">
        <v>1086</v>
      </c>
      <c r="C1481" s="2">
        <v>254</v>
      </c>
      <c r="D1481" s="3">
        <v>4924.32</v>
      </c>
      <c r="E1481" s="4" t="s">
        <v>12</v>
      </c>
    </row>
    <row r="1482" spans="1:5" hidden="1" x14ac:dyDescent="0.2">
      <c r="A1482" s="1">
        <v>44937</v>
      </c>
      <c r="B1482" s="2">
        <v>1217</v>
      </c>
      <c r="C1482" s="2">
        <v>234</v>
      </c>
      <c r="D1482" s="3">
        <v>3504.61</v>
      </c>
      <c r="E1482" s="4" t="s">
        <v>11</v>
      </c>
    </row>
    <row r="1483" spans="1:5" x14ac:dyDescent="0.2">
      <c r="A1483" s="1">
        <v>44937</v>
      </c>
      <c r="B1483" s="2">
        <v>1131</v>
      </c>
      <c r="C1483" s="2">
        <v>259</v>
      </c>
      <c r="D1483" s="3">
        <v>4677.88</v>
      </c>
      <c r="E1483" s="4" t="s">
        <v>12</v>
      </c>
    </row>
    <row r="1484" spans="1:5" hidden="1" x14ac:dyDescent="0.2">
      <c r="A1484" s="1">
        <v>44938</v>
      </c>
      <c r="B1484" s="2">
        <v>1244</v>
      </c>
      <c r="C1484" s="2">
        <v>247</v>
      </c>
      <c r="D1484" s="3">
        <v>3039.46</v>
      </c>
      <c r="E1484" s="4" t="s">
        <v>11</v>
      </c>
    </row>
    <row r="1485" spans="1:5" x14ac:dyDescent="0.2">
      <c r="A1485" s="1">
        <v>44938</v>
      </c>
      <c r="B1485" s="2">
        <v>1114</v>
      </c>
      <c r="C1485" s="2">
        <v>254</v>
      </c>
      <c r="D1485" s="3">
        <v>3607.41</v>
      </c>
      <c r="E1485" s="4" t="s">
        <v>12</v>
      </c>
    </row>
    <row r="1486" spans="1:5" hidden="1" x14ac:dyDescent="0.2">
      <c r="A1486" s="1">
        <v>44939</v>
      </c>
      <c r="B1486" s="2">
        <v>1189</v>
      </c>
      <c r="C1486" s="2">
        <v>240</v>
      </c>
      <c r="D1486" s="3">
        <v>3686.54</v>
      </c>
      <c r="E1486" s="4" t="s">
        <v>11</v>
      </c>
    </row>
    <row r="1487" spans="1:5" x14ac:dyDescent="0.2">
      <c r="A1487" s="1">
        <v>44939</v>
      </c>
      <c r="B1487" s="2">
        <v>1160</v>
      </c>
      <c r="C1487" s="2">
        <v>284</v>
      </c>
      <c r="D1487" s="3">
        <v>4081.15</v>
      </c>
      <c r="E1487" s="4" t="s">
        <v>12</v>
      </c>
    </row>
    <row r="1488" spans="1:5" hidden="1" x14ac:dyDescent="0.2">
      <c r="A1488" s="1">
        <v>44940</v>
      </c>
      <c r="B1488" s="2">
        <v>1202</v>
      </c>
      <c r="C1488" s="2">
        <v>231</v>
      </c>
      <c r="D1488" s="3">
        <v>2890.05</v>
      </c>
      <c r="E1488" s="4" t="s">
        <v>11</v>
      </c>
    </row>
    <row r="1489" spans="1:5" x14ac:dyDescent="0.2">
      <c r="A1489" s="1">
        <v>44940</v>
      </c>
      <c r="B1489" s="2">
        <v>1124</v>
      </c>
      <c r="C1489" s="2">
        <v>259</v>
      </c>
      <c r="D1489" s="3">
        <v>4377.01</v>
      </c>
      <c r="E1489" s="4" t="s">
        <v>12</v>
      </c>
    </row>
    <row r="1490" spans="1:5" hidden="1" x14ac:dyDescent="0.2">
      <c r="A1490" s="1">
        <v>44941</v>
      </c>
      <c r="B1490" s="2">
        <v>1168</v>
      </c>
      <c r="C1490" s="2">
        <v>206</v>
      </c>
      <c r="D1490" s="3">
        <v>3480.08</v>
      </c>
      <c r="E1490" s="4" t="s">
        <v>11</v>
      </c>
    </row>
    <row r="1491" spans="1:5" x14ac:dyDescent="0.2">
      <c r="A1491" s="1">
        <v>44941</v>
      </c>
      <c r="B1491" s="2">
        <v>1112</v>
      </c>
      <c r="C1491" s="2">
        <v>267</v>
      </c>
      <c r="D1491" s="3">
        <v>4301.37</v>
      </c>
      <c r="E1491" s="4" t="s">
        <v>12</v>
      </c>
    </row>
    <row r="1492" spans="1:5" hidden="1" x14ac:dyDescent="0.2">
      <c r="A1492" s="1">
        <v>44942</v>
      </c>
      <c r="B1492" s="2">
        <v>1174</v>
      </c>
      <c r="C1492" s="2">
        <v>235</v>
      </c>
      <c r="D1492" s="3">
        <v>3202.33</v>
      </c>
      <c r="E1492" s="4" t="s">
        <v>11</v>
      </c>
    </row>
    <row r="1493" spans="1:5" x14ac:dyDescent="0.2">
      <c r="A1493" s="1">
        <v>44942</v>
      </c>
      <c r="B1493" s="2">
        <v>1109</v>
      </c>
      <c r="C1493" s="2">
        <v>250</v>
      </c>
      <c r="D1493" s="3">
        <v>4581.6899999999996</v>
      </c>
      <c r="E1493" s="4" t="s">
        <v>12</v>
      </c>
    </row>
    <row r="1494" spans="1:5" hidden="1" x14ac:dyDescent="0.2">
      <c r="A1494" s="1">
        <v>44943</v>
      </c>
      <c r="B1494" s="2">
        <v>1206</v>
      </c>
      <c r="C1494" s="2">
        <v>230</v>
      </c>
      <c r="D1494" s="3">
        <v>3568.39</v>
      </c>
      <c r="E1494" s="4" t="s">
        <v>11</v>
      </c>
    </row>
    <row r="1495" spans="1:5" x14ac:dyDescent="0.2">
      <c r="A1495" s="1">
        <v>44943</v>
      </c>
      <c r="B1495" s="2">
        <v>1200</v>
      </c>
      <c r="C1495" s="2">
        <v>262</v>
      </c>
      <c r="D1495" s="3">
        <v>3861.44</v>
      </c>
      <c r="E1495" s="4" t="s">
        <v>12</v>
      </c>
    </row>
    <row r="1496" spans="1:5" hidden="1" x14ac:dyDescent="0.2">
      <c r="A1496" s="1">
        <v>44944</v>
      </c>
      <c r="B1496" s="2">
        <v>1194</v>
      </c>
      <c r="C1496" s="2">
        <v>219</v>
      </c>
      <c r="D1496" s="3">
        <v>3255.53</v>
      </c>
      <c r="E1496" s="4" t="s">
        <v>11</v>
      </c>
    </row>
    <row r="1497" spans="1:5" x14ac:dyDescent="0.2">
      <c r="A1497" s="1">
        <v>44944</v>
      </c>
      <c r="B1497" s="2">
        <v>1177</v>
      </c>
      <c r="C1497" s="2">
        <v>263</v>
      </c>
      <c r="D1497" s="3">
        <v>3642.73</v>
      </c>
      <c r="E1497" s="4" t="s">
        <v>12</v>
      </c>
    </row>
    <row r="1498" spans="1:5" hidden="1" x14ac:dyDescent="0.2">
      <c r="A1498" s="1">
        <v>44945</v>
      </c>
      <c r="B1498" s="2">
        <v>1219</v>
      </c>
      <c r="C1498" s="2">
        <v>228</v>
      </c>
      <c r="D1498" s="3">
        <v>3224.09</v>
      </c>
      <c r="E1498" s="4" t="s">
        <v>11</v>
      </c>
    </row>
    <row r="1499" spans="1:5" x14ac:dyDescent="0.2">
      <c r="A1499" s="1">
        <v>44945</v>
      </c>
      <c r="B1499" s="2">
        <v>1189</v>
      </c>
      <c r="C1499" s="2">
        <v>281</v>
      </c>
      <c r="D1499" s="3">
        <v>3764.78</v>
      </c>
      <c r="E1499" s="4" t="s">
        <v>12</v>
      </c>
    </row>
    <row r="1500" spans="1:5" hidden="1" x14ac:dyDescent="0.2">
      <c r="A1500" s="1">
        <v>44946</v>
      </c>
      <c r="B1500" s="2">
        <v>1208</v>
      </c>
      <c r="C1500" s="2">
        <v>244</v>
      </c>
      <c r="D1500" s="3">
        <v>3480.52</v>
      </c>
      <c r="E1500" s="4" t="s">
        <v>11</v>
      </c>
    </row>
    <row r="1501" spans="1:5" x14ac:dyDescent="0.2">
      <c r="A1501" s="1">
        <v>44946</v>
      </c>
      <c r="B1501" s="2">
        <v>1165</v>
      </c>
      <c r="C1501" s="2">
        <v>277</v>
      </c>
      <c r="D1501" s="3">
        <v>4821.2</v>
      </c>
      <c r="E1501" s="4" t="s">
        <v>12</v>
      </c>
    </row>
    <row r="1502" spans="1:5" hidden="1" x14ac:dyDescent="0.2">
      <c r="A1502" s="1">
        <v>44947</v>
      </c>
      <c r="B1502" s="2">
        <v>1184</v>
      </c>
      <c r="C1502" s="2">
        <v>214</v>
      </c>
      <c r="D1502" s="3">
        <v>4351.4399999999996</v>
      </c>
      <c r="E1502" s="4" t="s">
        <v>11</v>
      </c>
    </row>
    <row r="1503" spans="1:5" x14ac:dyDescent="0.2">
      <c r="A1503" s="1">
        <v>44947</v>
      </c>
      <c r="B1503" s="2">
        <v>1208</v>
      </c>
      <c r="C1503" s="2">
        <v>278</v>
      </c>
      <c r="D1503" s="3">
        <v>4502.0200000000004</v>
      </c>
      <c r="E1503" s="4" t="s">
        <v>12</v>
      </c>
    </row>
    <row r="1504" spans="1:5" hidden="1" x14ac:dyDescent="0.2">
      <c r="A1504" s="1">
        <v>44948</v>
      </c>
      <c r="B1504" s="2">
        <v>1173</v>
      </c>
      <c r="C1504" s="2">
        <v>205</v>
      </c>
      <c r="D1504" s="3">
        <v>3154.98</v>
      </c>
      <c r="E1504" s="4" t="s">
        <v>11</v>
      </c>
    </row>
    <row r="1505" spans="1:5" x14ac:dyDescent="0.2">
      <c r="A1505" s="1">
        <v>44948</v>
      </c>
      <c r="B1505" s="2">
        <v>1144</v>
      </c>
      <c r="C1505" s="2">
        <v>289</v>
      </c>
      <c r="D1505" s="3">
        <v>4934.66</v>
      </c>
      <c r="E1505" s="4" t="s">
        <v>12</v>
      </c>
    </row>
    <row r="1506" spans="1:5" hidden="1" x14ac:dyDescent="0.2">
      <c r="A1506" s="1">
        <v>44949</v>
      </c>
      <c r="B1506" s="2">
        <v>1198</v>
      </c>
      <c r="C1506" s="2">
        <v>234</v>
      </c>
      <c r="D1506" s="3">
        <v>4404.82</v>
      </c>
      <c r="E1506" s="4" t="s">
        <v>11</v>
      </c>
    </row>
    <row r="1507" spans="1:5" x14ac:dyDescent="0.2">
      <c r="A1507" s="1">
        <v>44949</v>
      </c>
      <c r="B1507" s="2">
        <v>1150</v>
      </c>
      <c r="C1507" s="2">
        <v>278</v>
      </c>
      <c r="D1507" s="3">
        <v>5095.22</v>
      </c>
      <c r="E1507" s="4" t="s">
        <v>12</v>
      </c>
    </row>
    <row r="1508" spans="1:5" hidden="1" x14ac:dyDescent="0.2">
      <c r="A1508" s="1">
        <v>44950</v>
      </c>
      <c r="B1508" s="2">
        <v>1192</v>
      </c>
      <c r="C1508" s="2">
        <v>200</v>
      </c>
      <c r="D1508" s="3">
        <v>2889.24</v>
      </c>
      <c r="E1508" s="4" t="s">
        <v>11</v>
      </c>
    </row>
    <row r="1509" spans="1:5" x14ac:dyDescent="0.2">
      <c r="A1509" s="1">
        <v>44950</v>
      </c>
      <c r="B1509" s="2">
        <v>1138</v>
      </c>
      <c r="C1509" s="2">
        <v>273</v>
      </c>
      <c r="D1509" s="3">
        <v>4001.24</v>
      </c>
      <c r="E1509" s="4" t="s">
        <v>12</v>
      </c>
    </row>
    <row r="1510" spans="1:5" hidden="1" x14ac:dyDescent="0.2">
      <c r="A1510" s="1">
        <v>44951</v>
      </c>
      <c r="B1510" s="2">
        <v>1234</v>
      </c>
      <c r="C1510" s="2">
        <v>244</v>
      </c>
      <c r="D1510" s="3">
        <v>4035.29</v>
      </c>
      <c r="E1510" s="4" t="s">
        <v>11</v>
      </c>
    </row>
    <row r="1511" spans="1:5" x14ac:dyDescent="0.2">
      <c r="A1511" s="1">
        <v>44951</v>
      </c>
      <c r="B1511" s="2">
        <v>1132</v>
      </c>
      <c r="C1511" s="2">
        <v>237</v>
      </c>
      <c r="D1511" s="3">
        <v>3542.02</v>
      </c>
      <c r="E1511" s="4" t="s">
        <v>12</v>
      </c>
    </row>
    <row r="1512" spans="1:5" hidden="1" x14ac:dyDescent="0.2">
      <c r="A1512" s="1">
        <v>44952</v>
      </c>
      <c r="B1512" s="2">
        <v>1186</v>
      </c>
      <c r="C1512" s="2">
        <v>233</v>
      </c>
      <c r="D1512" s="3">
        <v>4122.5</v>
      </c>
      <c r="E1512" s="4" t="s">
        <v>11</v>
      </c>
    </row>
    <row r="1513" spans="1:5" x14ac:dyDescent="0.2">
      <c r="A1513" s="1">
        <v>44952</v>
      </c>
      <c r="B1513" s="2">
        <v>1155</v>
      </c>
      <c r="C1513" s="2">
        <v>282</v>
      </c>
      <c r="D1513" s="3">
        <v>5326.23</v>
      </c>
      <c r="E1513" s="4" t="s">
        <v>12</v>
      </c>
    </row>
    <row r="1514" spans="1:5" hidden="1" x14ac:dyDescent="0.2">
      <c r="A1514" s="1">
        <v>44953</v>
      </c>
      <c r="B1514" s="2">
        <v>1142</v>
      </c>
      <c r="C1514" s="2">
        <v>216</v>
      </c>
      <c r="D1514" s="3">
        <v>4125.04</v>
      </c>
      <c r="E1514" s="4" t="s">
        <v>11</v>
      </c>
    </row>
    <row r="1515" spans="1:5" x14ac:dyDescent="0.2">
      <c r="A1515" s="1">
        <v>44953</v>
      </c>
      <c r="B1515" s="2">
        <v>1153</v>
      </c>
      <c r="C1515" s="2">
        <v>268</v>
      </c>
      <c r="D1515" s="3">
        <v>3416.74</v>
      </c>
      <c r="E1515" s="4" t="s">
        <v>12</v>
      </c>
    </row>
    <row r="1516" spans="1:5" hidden="1" x14ac:dyDescent="0.2">
      <c r="A1516" s="1">
        <v>44954</v>
      </c>
      <c r="B1516" s="2">
        <v>1160</v>
      </c>
      <c r="C1516" s="2">
        <v>239</v>
      </c>
      <c r="D1516" s="3">
        <v>2932.96</v>
      </c>
      <c r="E1516" s="4" t="s">
        <v>11</v>
      </c>
    </row>
    <row r="1517" spans="1:5" x14ac:dyDescent="0.2">
      <c r="A1517" s="1">
        <v>44954</v>
      </c>
      <c r="B1517" s="2">
        <v>1113</v>
      </c>
      <c r="C1517" s="2">
        <v>264</v>
      </c>
      <c r="D1517" s="3">
        <v>3943.17</v>
      </c>
      <c r="E1517" s="4" t="s">
        <v>12</v>
      </c>
    </row>
    <row r="1518" spans="1:5" hidden="1" x14ac:dyDescent="0.2">
      <c r="A1518" s="1">
        <v>44955</v>
      </c>
      <c r="B1518" s="2">
        <v>1143</v>
      </c>
      <c r="C1518" s="2">
        <v>225</v>
      </c>
      <c r="D1518" s="3">
        <v>2346.4</v>
      </c>
      <c r="E1518" s="4" t="s">
        <v>11</v>
      </c>
    </row>
    <row r="1519" spans="1:5" x14ac:dyDescent="0.2">
      <c r="A1519" s="1">
        <v>44955</v>
      </c>
      <c r="B1519" s="2">
        <v>1130</v>
      </c>
      <c r="C1519" s="2">
        <v>254</v>
      </c>
      <c r="D1519" s="3">
        <v>3666.44</v>
      </c>
      <c r="E1519" s="4" t="s">
        <v>12</v>
      </c>
    </row>
    <row r="1520" spans="1:5" hidden="1" x14ac:dyDescent="0.2">
      <c r="A1520" s="1">
        <v>44956</v>
      </c>
      <c r="B1520" s="2">
        <v>1176</v>
      </c>
      <c r="C1520" s="2">
        <v>209</v>
      </c>
      <c r="D1520" s="3">
        <v>2603.4899999999998</v>
      </c>
      <c r="E1520" s="4" t="s">
        <v>11</v>
      </c>
    </row>
    <row r="1521" spans="1:5" x14ac:dyDescent="0.2">
      <c r="A1521" s="1">
        <v>44956</v>
      </c>
      <c r="B1521" s="2">
        <v>1164</v>
      </c>
      <c r="C1521" s="2">
        <v>269</v>
      </c>
      <c r="D1521" s="3">
        <v>3683.64</v>
      </c>
      <c r="E1521" s="4" t="s">
        <v>12</v>
      </c>
    </row>
    <row r="1522" spans="1:5" hidden="1" x14ac:dyDescent="0.2">
      <c r="A1522" s="1">
        <v>44957</v>
      </c>
      <c r="B1522" s="2">
        <v>1175</v>
      </c>
      <c r="C1522" s="2">
        <v>241</v>
      </c>
      <c r="D1522" s="3">
        <v>4556.3999999999996</v>
      </c>
      <c r="E1522" s="4" t="s">
        <v>11</v>
      </c>
    </row>
    <row r="1523" spans="1:5" x14ac:dyDescent="0.2">
      <c r="A1523" s="1">
        <v>44957</v>
      </c>
      <c r="B1523" s="2">
        <v>1159</v>
      </c>
      <c r="C1523" s="2">
        <v>288</v>
      </c>
      <c r="D1523" s="3">
        <v>5003.6899999999996</v>
      </c>
      <c r="E1523" s="4" t="s">
        <v>12</v>
      </c>
    </row>
    <row r="1524" spans="1:5" hidden="1" x14ac:dyDescent="0.2">
      <c r="A1524" s="1">
        <v>44958</v>
      </c>
      <c r="B1524" s="2">
        <v>1152</v>
      </c>
      <c r="C1524" s="2">
        <v>228</v>
      </c>
      <c r="D1524" s="3">
        <v>4152.16</v>
      </c>
      <c r="E1524" s="4" t="s">
        <v>11</v>
      </c>
    </row>
    <row r="1525" spans="1:5" x14ac:dyDescent="0.2">
      <c r="A1525" s="1">
        <v>44958</v>
      </c>
      <c r="B1525" s="2">
        <v>1133</v>
      </c>
      <c r="C1525" s="2">
        <v>278</v>
      </c>
      <c r="D1525" s="3">
        <v>3291.11</v>
      </c>
      <c r="E1525" s="4" t="s">
        <v>12</v>
      </c>
    </row>
    <row r="1526" spans="1:5" hidden="1" x14ac:dyDescent="0.2">
      <c r="A1526" s="1">
        <v>44959</v>
      </c>
      <c r="B1526" s="2">
        <v>1227</v>
      </c>
      <c r="C1526" s="2">
        <v>245</v>
      </c>
      <c r="D1526" s="3">
        <v>3948.77</v>
      </c>
      <c r="E1526" s="4" t="s">
        <v>11</v>
      </c>
    </row>
    <row r="1527" spans="1:5" x14ac:dyDescent="0.2">
      <c r="A1527" s="1">
        <v>44959</v>
      </c>
      <c r="B1527" s="2">
        <v>1185</v>
      </c>
      <c r="C1527" s="2">
        <v>277</v>
      </c>
      <c r="D1527" s="3">
        <v>4345.3100000000004</v>
      </c>
      <c r="E1527" s="4" t="s">
        <v>12</v>
      </c>
    </row>
    <row r="1528" spans="1:5" hidden="1" x14ac:dyDescent="0.2">
      <c r="A1528" s="1">
        <v>44960</v>
      </c>
      <c r="B1528" s="2">
        <v>1184</v>
      </c>
      <c r="C1528" s="2">
        <v>224</v>
      </c>
      <c r="D1528" s="3">
        <v>3383.77</v>
      </c>
      <c r="E1528" s="4" t="s">
        <v>11</v>
      </c>
    </row>
    <row r="1529" spans="1:5" x14ac:dyDescent="0.2">
      <c r="A1529" s="1">
        <v>44960</v>
      </c>
      <c r="B1529" s="2">
        <v>1173</v>
      </c>
      <c r="C1529" s="2">
        <v>288</v>
      </c>
      <c r="D1529" s="3">
        <v>5106.41</v>
      </c>
      <c r="E1529" s="4" t="s">
        <v>12</v>
      </c>
    </row>
    <row r="1530" spans="1:5" hidden="1" x14ac:dyDescent="0.2">
      <c r="A1530" s="1">
        <v>44961</v>
      </c>
      <c r="B1530" s="2">
        <v>1179</v>
      </c>
      <c r="C1530" s="2">
        <v>229</v>
      </c>
      <c r="D1530" s="3">
        <v>3033.11</v>
      </c>
      <c r="E1530" s="4" t="s">
        <v>11</v>
      </c>
    </row>
    <row r="1531" spans="1:5" x14ac:dyDescent="0.2">
      <c r="A1531" s="1">
        <v>44961</v>
      </c>
      <c r="B1531" s="2">
        <v>1093</v>
      </c>
      <c r="C1531" s="2">
        <v>259</v>
      </c>
      <c r="D1531" s="3">
        <v>3415.13</v>
      </c>
      <c r="E1531" s="4" t="s">
        <v>12</v>
      </c>
    </row>
    <row r="1532" spans="1:5" hidden="1" x14ac:dyDescent="0.2">
      <c r="A1532" s="1">
        <v>44962</v>
      </c>
      <c r="B1532" s="2">
        <v>1148</v>
      </c>
      <c r="C1532" s="2">
        <v>203</v>
      </c>
      <c r="D1532" s="3">
        <v>3302.09</v>
      </c>
      <c r="E1532" s="4" t="s">
        <v>11</v>
      </c>
    </row>
    <row r="1533" spans="1:5" x14ac:dyDescent="0.2">
      <c r="A1533" s="1">
        <v>44962</v>
      </c>
      <c r="B1533" s="2">
        <v>1148</v>
      </c>
      <c r="C1533" s="2">
        <v>275</v>
      </c>
      <c r="D1533" s="3">
        <v>4186.8</v>
      </c>
      <c r="E1533" s="4" t="s">
        <v>12</v>
      </c>
    </row>
    <row r="1534" spans="1:5" hidden="1" x14ac:dyDescent="0.2">
      <c r="A1534" s="1">
        <v>44963</v>
      </c>
      <c r="B1534" s="2">
        <v>1206</v>
      </c>
      <c r="C1534" s="2">
        <v>224</v>
      </c>
      <c r="D1534" s="3">
        <v>3835.44</v>
      </c>
      <c r="E1534" s="4" t="s">
        <v>11</v>
      </c>
    </row>
    <row r="1535" spans="1:5" x14ac:dyDescent="0.2">
      <c r="A1535" s="1">
        <v>44963</v>
      </c>
      <c r="B1535" s="2">
        <v>1146</v>
      </c>
      <c r="C1535" s="2">
        <v>244</v>
      </c>
      <c r="D1535" s="3">
        <v>3692.51</v>
      </c>
      <c r="E1535" s="4" t="s">
        <v>12</v>
      </c>
    </row>
    <row r="1536" spans="1:5" hidden="1" x14ac:dyDescent="0.2">
      <c r="A1536" s="1">
        <v>44964</v>
      </c>
      <c r="B1536" s="2">
        <v>1225</v>
      </c>
      <c r="C1536" s="2">
        <v>230</v>
      </c>
      <c r="D1536" s="3">
        <v>3230.19</v>
      </c>
      <c r="E1536" s="4" t="s">
        <v>11</v>
      </c>
    </row>
    <row r="1537" spans="1:5" x14ac:dyDescent="0.2">
      <c r="A1537" s="1">
        <v>44964</v>
      </c>
      <c r="B1537" s="2">
        <v>1140</v>
      </c>
      <c r="C1537" s="2">
        <v>268</v>
      </c>
      <c r="D1537" s="3">
        <v>4264.09</v>
      </c>
      <c r="E1537" s="4" t="s">
        <v>12</v>
      </c>
    </row>
    <row r="1538" spans="1:5" hidden="1" x14ac:dyDescent="0.2">
      <c r="A1538" s="1">
        <v>44965</v>
      </c>
      <c r="B1538" s="2">
        <v>1111</v>
      </c>
      <c r="C1538" s="2">
        <v>210</v>
      </c>
      <c r="D1538" s="3">
        <v>2986.03</v>
      </c>
      <c r="E1538" s="4" t="s">
        <v>11</v>
      </c>
    </row>
    <row r="1539" spans="1:5" x14ac:dyDescent="0.2">
      <c r="A1539" s="1">
        <v>44965</v>
      </c>
      <c r="B1539" s="2">
        <v>1120</v>
      </c>
      <c r="C1539" s="2">
        <v>254</v>
      </c>
      <c r="D1539" s="3">
        <v>4326.2</v>
      </c>
      <c r="E1539" s="4" t="s">
        <v>12</v>
      </c>
    </row>
    <row r="1540" spans="1:5" hidden="1" x14ac:dyDescent="0.2">
      <c r="A1540" s="1">
        <v>44966</v>
      </c>
      <c r="B1540" s="2">
        <v>1200</v>
      </c>
      <c r="C1540" s="2">
        <v>225</v>
      </c>
      <c r="D1540" s="3">
        <v>3514.38</v>
      </c>
      <c r="E1540" s="4" t="s">
        <v>11</v>
      </c>
    </row>
    <row r="1541" spans="1:5" x14ac:dyDescent="0.2">
      <c r="A1541" s="1">
        <v>44966</v>
      </c>
      <c r="B1541" s="2">
        <v>1142</v>
      </c>
      <c r="C1541" s="2">
        <v>257</v>
      </c>
      <c r="D1541" s="3">
        <v>4356.54</v>
      </c>
      <c r="E1541" s="4" t="s">
        <v>12</v>
      </c>
    </row>
    <row r="1542" spans="1:5" hidden="1" x14ac:dyDescent="0.2">
      <c r="A1542" s="1">
        <v>44967</v>
      </c>
      <c r="B1542" s="2">
        <v>1231</v>
      </c>
      <c r="C1542" s="2">
        <v>222</v>
      </c>
      <c r="D1542" s="3">
        <v>3158.84</v>
      </c>
      <c r="E1542" s="4" t="s">
        <v>11</v>
      </c>
    </row>
    <row r="1543" spans="1:5" x14ac:dyDescent="0.2">
      <c r="A1543" s="1">
        <v>44967</v>
      </c>
      <c r="B1543" s="2">
        <v>1133</v>
      </c>
      <c r="C1543" s="2">
        <v>270</v>
      </c>
      <c r="D1543" s="3">
        <v>3201.46</v>
      </c>
      <c r="E1543" s="4" t="s">
        <v>12</v>
      </c>
    </row>
    <row r="1544" spans="1:5" hidden="1" x14ac:dyDescent="0.2">
      <c r="A1544" s="1">
        <v>44968</v>
      </c>
      <c r="B1544" s="2">
        <v>1190</v>
      </c>
      <c r="C1544" s="2">
        <v>219</v>
      </c>
      <c r="D1544" s="3">
        <v>2959.83</v>
      </c>
      <c r="E1544" s="4" t="s">
        <v>11</v>
      </c>
    </row>
    <row r="1545" spans="1:5" x14ac:dyDescent="0.2">
      <c r="A1545" s="1">
        <v>44968</v>
      </c>
      <c r="B1545" s="2">
        <v>1149</v>
      </c>
      <c r="C1545" s="2">
        <v>262</v>
      </c>
      <c r="D1545" s="3">
        <v>4131.22</v>
      </c>
      <c r="E1545" s="4" t="s">
        <v>12</v>
      </c>
    </row>
    <row r="1546" spans="1:5" hidden="1" x14ac:dyDescent="0.2">
      <c r="A1546" s="1">
        <v>44969</v>
      </c>
      <c r="B1546" s="2">
        <v>1178</v>
      </c>
      <c r="C1546" s="2">
        <v>192</v>
      </c>
      <c r="D1546" s="3">
        <v>3407.85</v>
      </c>
      <c r="E1546" s="4" t="s">
        <v>11</v>
      </c>
    </row>
    <row r="1547" spans="1:5" x14ac:dyDescent="0.2">
      <c r="A1547" s="1">
        <v>44969</v>
      </c>
      <c r="B1547" s="2">
        <v>1132</v>
      </c>
      <c r="C1547" s="2">
        <v>258</v>
      </c>
      <c r="D1547" s="3">
        <v>4313.6000000000004</v>
      </c>
      <c r="E1547" s="4" t="s">
        <v>12</v>
      </c>
    </row>
    <row r="1548" spans="1:5" hidden="1" x14ac:dyDescent="0.2">
      <c r="A1548" s="1">
        <v>44970</v>
      </c>
      <c r="B1548" s="2">
        <v>1158</v>
      </c>
      <c r="C1548" s="2">
        <v>211</v>
      </c>
      <c r="D1548" s="3">
        <v>3183.16</v>
      </c>
      <c r="E1548" s="4" t="s">
        <v>11</v>
      </c>
    </row>
    <row r="1549" spans="1:5" x14ac:dyDescent="0.2">
      <c r="A1549" s="1">
        <v>44970</v>
      </c>
      <c r="B1549" s="2">
        <v>1154</v>
      </c>
      <c r="C1549" s="2">
        <v>266</v>
      </c>
      <c r="D1549" s="3">
        <v>4621.41</v>
      </c>
      <c r="E1549" s="4" t="s">
        <v>12</v>
      </c>
    </row>
    <row r="1550" spans="1:5" hidden="1" x14ac:dyDescent="0.2">
      <c r="A1550" s="1">
        <v>44971</v>
      </c>
      <c r="B1550" s="2">
        <v>1210</v>
      </c>
      <c r="C1550" s="2">
        <v>202</v>
      </c>
      <c r="D1550" s="3">
        <v>2996.91</v>
      </c>
      <c r="E1550" s="4" t="s">
        <v>11</v>
      </c>
    </row>
    <row r="1551" spans="1:5" x14ac:dyDescent="0.2">
      <c r="A1551" s="1">
        <v>44971</v>
      </c>
      <c r="B1551" s="2">
        <v>1166</v>
      </c>
      <c r="C1551" s="2">
        <v>258</v>
      </c>
      <c r="D1551" s="3">
        <v>4639.45</v>
      </c>
      <c r="E1551" s="4" t="s">
        <v>12</v>
      </c>
    </row>
    <row r="1552" spans="1:5" hidden="1" x14ac:dyDescent="0.2">
      <c r="A1552" s="1">
        <v>44972</v>
      </c>
      <c r="B1552" s="2">
        <v>1192</v>
      </c>
      <c r="C1552" s="2">
        <v>216</v>
      </c>
      <c r="D1552" s="3">
        <v>2486.73</v>
      </c>
      <c r="E1552" s="4" t="s">
        <v>11</v>
      </c>
    </row>
    <row r="1553" spans="1:5" x14ac:dyDescent="0.2">
      <c r="A1553" s="1">
        <v>44972</v>
      </c>
      <c r="B1553" s="2">
        <v>1179</v>
      </c>
      <c r="C1553" s="2">
        <v>243</v>
      </c>
      <c r="D1553" s="3">
        <v>3964.22</v>
      </c>
      <c r="E1553" s="4" t="s">
        <v>12</v>
      </c>
    </row>
    <row r="1554" spans="1:5" hidden="1" x14ac:dyDescent="0.2">
      <c r="A1554" s="1">
        <v>44973</v>
      </c>
      <c r="B1554" s="2">
        <v>1198</v>
      </c>
      <c r="C1554" s="2">
        <v>238</v>
      </c>
      <c r="D1554" s="3">
        <v>3576.67</v>
      </c>
      <c r="E1554" s="4" t="s">
        <v>11</v>
      </c>
    </row>
    <row r="1555" spans="1:5" x14ac:dyDescent="0.2">
      <c r="A1555" s="1">
        <v>44973</v>
      </c>
      <c r="B1555" s="2">
        <v>1174</v>
      </c>
      <c r="C1555" s="2">
        <v>274</v>
      </c>
      <c r="D1555" s="3">
        <v>4692.96</v>
      </c>
      <c r="E1555" s="4" t="s">
        <v>12</v>
      </c>
    </row>
    <row r="1556" spans="1:5" hidden="1" x14ac:dyDescent="0.2">
      <c r="A1556" s="1">
        <v>44974</v>
      </c>
      <c r="B1556" s="2">
        <v>1191</v>
      </c>
      <c r="C1556" s="2">
        <v>235</v>
      </c>
      <c r="D1556" s="3">
        <v>3519.34</v>
      </c>
      <c r="E1556" s="4" t="s">
        <v>11</v>
      </c>
    </row>
    <row r="1557" spans="1:5" x14ac:dyDescent="0.2">
      <c r="A1557" s="1">
        <v>44974</v>
      </c>
      <c r="B1557" s="2">
        <v>1113</v>
      </c>
      <c r="C1557" s="2">
        <v>225</v>
      </c>
      <c r="D1557" s="3">
        <v>3095.65</v>
      </c>
      <c r="E1557" s="4" t="s">
        <v>12</v>
      </c>
    </row>
    <row r="1558" spans="1:5" hidden="1" x14ac:dyDescent="0.2">
      <c r="A1558" s="1">
        <v>44975</v>
      </c>
      <c r="B1558" s="2">
        <v>1216</v>
      </c>
      <c r="C1558" s="2">
        <v>228</v>
      </c>
      <c r="D1558" s="3">
        <v>3302.78</v>
      </c>
      <c r="E1558" s="4" t="s">
        <v>11</v>
      </c>
    </row>
    <row r="1559" spans="1:5" x14ac:dyDescent="0.2">
      <c r="A1559" s="1">
        <v>44975</v>
      </c>
      <c r="B1559" s="2">
        <v>1127</v>
      </c>
      <c r="C1559" s="2">
        <v>247</v>
      </c>
      <c r="D1559" s="3">
        <v>4089.11</v>
      </c>
      <c r="E1559" s="4" t="s">
        <v>12</v>
      </c>
    </row>
    <row r="1560" spans="1:5" hidden="1" x14ac:dyDescent="0.2">
      <c r="A1560" s="1">
        <v>44976</v>
      </c>
      <c r="B1560" s="2">
        <v>1096</v>
      </c>
      <c r="C1560" s="2">
        <v>214</v>
      </c>
      <c r="D1560" s="3">
        <v>3509.15</v>
      </c>
      <c r="E1560" s="4" t="s">
        <v>11</v>
      </c>
    </row>
    <row r="1561" spans="1:5" x14ac:dyDescent="0.2">
      <c r="A1561" s="1">
        <v>44976</v>
      </c>
      <c r="B1561" s="2">
        <v>1156</v>
      </c>
      <c r="C1561" s="2">
        <v>273</v>
      </c>
      <c r="D1561" s="3">
        <v>4024.55</v>
      </c>
      <c r="E1561" s="4" t="s">
        <v>12</v>
      </c>
    </row>
    <row r="1562" spans="1:5" hidden="1" x14ac:dyDescent="0.2">
      <c r="A1562" s="1">
        <v>44977</v>
      </c>
      <c r="B1562" s="2">
        <v>1151</v>
      </c>
      <c r="C1562" s="2">
        <v>209</v>
      </c>
      <c r="D1562" s="3">
        <v>3435.61</v>
      </c>
      <c r="E1562" s="4" t="s">
        <v>11</v>
      </c>
    </row>
    <row r="1563" spans="1:5" x14ac:dyDescent="0.2">
      <c r="A1563" s="1">
        <v>44977</v>
      </c>
      <c r="B1563" s="2">
        <v>1223</v>
      </c>
      <c r="C1563" s="2">
        <v>293</v>
      </c>
      <c r="D1563" s="3">
        <v>5754.39</v>
      </c>
      <c r="E1563" s="4" t="s">
        <v>12</v>
      </c>
    </row>
    <row r="1564" spans="1:5" hidden="1" x14ac:dyDescent="0.2">
      <c r="A1564" s="1">
        <v>44978</v>
      </c>
      <c r="B1564" s="2">
        <v>1266</v>
      </c>
      <c r="C1564" s="2">
        <v>242</v>
      </c>
      <c r="D1564" s="3">
        <v>3817.11</v>
      </c>
      <c r="E1564" s="4" t="s">
        <v>11</v>
      </c>
    </row>
    <row r="1565" spans="1:5" x14ac:dyDescent="0.2">
      <c r="A1565" s="1">
        <v>44978</v>
      </c>
      <c r="B1565" s="2">
        <v>1204</v>
      </c>
      <c r="C1565" s="2">
        <v>268</v>
      </c>
      <c r="D1565" s="3">
        <v>5016.58</v>
      </c>
      <c r="E1565" s="4" t="s">
        <v>12</v>
      </c>
    </row>
    <row r="1566" spans="1:5" hidden="1" x14ac:dyDescent="0.2">
      <c r="A1566" s="1">
        <v>44979</v>
      </c>
      <c r="B1566" s="2">
        <v>1204</v>
      </c>
      <c r="C1566" s="2">
        <v>240</v>
      </c>
      <c r="D1566" s="3">
        <v>3687.84</v>
      </c>
      <c r="E1566" s="4" t="s">
        <v>11</v>
      </c>
    </row>
    <row r="1567" spans="1:5" x14ac:dyDescent="0.2">
      <c r="A1567" s="1">
        <v>44979</v>
      </c>
      <c r="B1567" s="2">
        <v>1153</v>
      </c>
      <c r="C1567" s="2">
        <v>257</v>
      </c>
      <c r="D1567" s="3">
        <v>3683.18</v>
      </c>
      <c r="E1567" s="4" t="s">
        <v>12</v>
      </c>
    </row>
    <row r="1568" spans="1:5" hidden="1" x14ac:dyDescent="0.2">
      <c r="A1568" s="1">
        <v>44980</v>
      </c>
      <c r="B1568" s="2">
        <v>1188</v>
      </c>
      <c r="C1568" s="2">
        <v>241</v>
      </c>
      <c r="D1568" s="3">
        <v>3575.19</v>
      </c>
      <c r="E1568" s="4" t="s">
        <v>11</v>
      </c>
    </row>
    <row r="1569" spans="1:5" x14ac:dyDescent="0.2">
      <c r="A1569" s="1">
        <v>44980</v>
      </c>
      <c r="B1569" s="2">
        <v>1174</v>
      </c>
      <c r="C1569" s="2">
        <v>268</v>
      </c>
      <c r="D1569" s="3">
        <v>4700.7</v>
      </c>
      <c r="E1569" s="4" t="s">
        <v>12</v>
      </c>
    </row>
    <row r="1570" spans="1:5" hidden="1" x14ac:dyDescent="0.2">
      <c r="A1570" s="1">
        <v>44981</v>
      </c>
      <c r="B1570" s="2">
        <v>1200</v>
      </c>
      <c r="C1570" s="2">
        <v>223</v>
      </c>
      <c r="D1570" s="3">
        <v>3824.55</v>
      </c>
      <c r="E1570" s="4" t="s">
        <v>11</v>
      </c>
    </row>
    <row r="1571" spans="1:5" x14ac:dyDescent="0.2">
      <c r="A1571" s="1">
        <v>44981</v>
      </c>
      <c r="B1571" s="2">
        <v>1149</v>
      </c>
      <c r="C1571" s="2">
        <v>272</v>
      </c>
      <c r="D1571" s="3">
        <v>4921.72</v>
      </c>
      <c r="E1571" s="4" t="s">
        <v>12</v>
      </c>
    </row>
    <row r="1572" spans="1:5" hidden="1" x14ac:dyDescent="0.2">
      <c r="A1572" s="1">
        <v>44982</v>
      </c>
      <c r="B1572" s="2">
        <v>1167</v>
      </c>
      <c r="C1572" s="2">
        <v>207</v>
      </c>
      <c r="D1572" s="3">
        <v>2763.61</v>
      </c>
      <c r="E1572" s="4" t="s">
        <v>11</v>
      </c>
    </row>
    <row r="1573" spans="1:5" x14ac:dyDescent="0.2">
      <c r="A1573" s="1">
        <v>44982</v>
      </c>
      <c r="B1573" s="2">
        <v>1178</v>
      </c>
      <c r="C1573" s="2">
        <v>277</v>
      </c>
      <c r="D1573" s="3">
        <v>3845.42</v>
      </c>
      <c r="E1573" s="4" t="s">
        <v>12</v>
      </c>
    </row>
    <row r="1574" spans="1:5" hidden="1" x14ac:dyDescent="0.2">
      <c r="A1574" s="1">
        <v>44983</v>
      </c>
      <c r="B1574" s="2">
        <v>1230</v>
      </c>
      <c r="C1574" s="2">
        <v>238</v>
      </c>
      <c r="D1574" s="3">
        <v>4056.3</v>
      </c>
      <c r="E1574" s="4" t="s">
        <v>11</v>
      </c>
    </row>
    <row r="1575" spans="1:5" x14ac:dyDescent="0.2">
      <c r="A1575" s="1">
        <v>44983</v>
      </c>
      <c r="B1575" s="2">
        <v>1184</v>
      </c>
      <c r="C1575" s="2">
        <v>277</v>
      </c>
      <c r="D1575" s="3">
        <v>5227.75</v>
      </c>
      <c r="E1575" s="4" t="s">
        <v>12</v>
      </c>
    </row>
    <row r="1576" spans="1:5" hidden="1" x14ac:dyDescent="0.2">
      <c r="A1576" s="1">
        <v>44984</v>
      </c>
      <c r="B1576" s="2">
        <v>1158</v>
      </c>
      <c r="C1576" s="2">
        <v>219</v>
      </c>
      <c r="D1576" s="3">
        <v>2795.35</v>
      </c>
      <c r="E1576" s="4" t="s">
        <v>11</v>
      </c>
    </row>
    <row r="1577" spans="1:5" x14ac:dyDescent="0.2">
      <c r="A1577" s="1">
        <v>44984</v>
      </c>
      <c r="B1577" s="2">
        <v>1172</v>
      </c>
      <c r="C1577" s="2">
        <v>266</v>
      </c>
      <c r="D1577" s="3">
        <v>5074.8500000000004</v>
      </c>
      <c r="E1577" s="4" t="s">
        <v>12</v>
      </c>
    </row>
    <row r="1578" spans="1:5" hidden="1" x14ac:dyDescent="0.2">
      <c r="A1578" s="1">
        <v>44985</v>
      </c>
      <c r="B1578" s="2">
        <v>1192</v>
      </c>
      <c r="C1578" s="2">
        <v>214</v>
      </c>
      <c r="D1578" s="3">
        <v>3413.14</v>
      </c>
      <c r="E1578" s="4" t="s">
        <v>11</v>
      </c>
    </row>
    <row r="1579" spans="1:5" x14ac:dyDescent="0.2">
      <c r="A1579" s="1">
        <v>44985</v>
      </c>
      <c r="B1579" s="2">
        <v>1161</v>
      </c>
      <c r="C1579" s="2">
        <v>278</v>
      </c>
      <c r="D1579" s="3">
        <v>4841.42</v>
      </c>
      <c r="E1579" s="4" t="s">
        <v>12</v>
      </c>
    </row>
    <row r="1580" spans="1:5" hidden="1" x14ac:dyDescent="0.2">
      <c r="A1580" s="1">
        <v>44986</v>
      </c>
      <c r="B1580" s="2">
        <v>1201</v>
      </c>
      <c r="C1580" s="2">
        <v>235</v>
      </c>
      <c r="D1580" s="3">
        <v>3638.65</v>
      </c>
      <c r="E1580" s="4" t="s">
        <v>11</v>
      </c>
    </row>
    <row r="1581" spans="1:5" x14ac:dyDescent="0.2">
      <c r="A1581" s="1">
        <v>44986</v>
      </c>
      <c r="B1581" s="2">
        <v>1221</v>
      </c>
      <c r="C1581" s="2">
        <v>278</v>
      </c>
      <c r="D1581" s="3">
        <v>4615.58</v>
      </c>
      <c r="E1581" s="4" t="s">
        <v>12</v>
      </c>
    </row>
    <row r="1582" spans="1:5" hidden="1" x14ac:dyDescent="0.2">
      <c r="A1582" s="1">
        <v>44987</v>
      </c>
      <c r="B1582" s="2">
        <v>1240</v>
      </c>
      <c r="C1582" s="2">
        <v>228</v>
      </c>
      <c r="D1582" s="3">
        <v>3808.33</v>
      </c>
      <c r="E1582" s="4" t="s">
        <v>11</v>
      </c>
    </row>
    <row r="1583" spans="1:5" x14ac:dyDescent="0.2">
      <c r="A1583" s="1">
        <v>44987</v>
      </c>
      <c r="B1583" s="2">
        <v>1112</v>
      </c>
      <c r="C1583" s="2">
        <v>257</v>
      </c>
      <c r="D1583" s="3">
        <v>3644.42</v>
      </c>
      <c r="E1583" s="4" t="s">
        <v>12</v>
      </c>
    </row>
    <row r="1584" spans="1:5" hidden="1" x14ac:dyDescent="0.2">
      <c r="A1584" s="1">
        <v>44988</v>
      </c>
      <c r="B1584" s="2">
        <v>1221</v>
      </c>
      <c r="C1584" s="2">
        <v>252</v>
      </c>
      <c r="D1584" s="3">
        <v>3526.55</v>
      </c>
      <c r="E1584" s="4" t="s">
        <v>11</v>
      </c>
    </row>
    <row r="1585" spans="1:5" x14ac:dyDescent="0.2">
      <c r="A1585" s="1">
        <v>44988</v>
      </c>
      <c r="B1585" s="2">
        <v>1165</v>
      </c>
      <c r="C1585" s="2">
        <v>252</v>
      </c>
      <c r="D1585" s="3">
        <v>4626.1499999999996</v>
      </c>
      <c r="E1585" s="4" t="s">
        <v>12</v>
      </c>
    </row>
    <row r="1586" spans="1:5" hidden="1" x14ac:dyDescent="0.2">
      <c r="A1586" s="1">
        <v>44989</v>
      </c>
      <c r="B1586" s="2">
        <v>1212</v>
      </c>
      <c r="C1586" s="2">
        <v>213</v>
      </c>
      <c r="D1586" s="3">
        <v>2871.38</v>
      </c>
      <c r="E1586" s="4" t="s">
        <v>11</v>
      </c>
    </row>
    <row r="1587" spans="1:5" x14ac:dyDescent="0.2">
      <c r="A1587" s="1">
        <v>44989</v>
      </c>
      <c r="B1587" s="2">
        <v>1134</v>
      </c>
      <c r="C1587" s="2">
        <v>260</v>
      </c>
      <c r="D1587" s="3">
        <v>4505.1000000000004</v>
      </c>
      <c r="E1587" s="4" t="s">
        <v>12</v>
      </c>
    </row>
    <row r="1588" spans="1:5" hidden="1" x14ac:dyDescent="0.2">
      <c r="A1588" s="1">
        <v>44990</v>
      </c>
      <c r="B1588" s="2">
        <v>1189</v>
      </c>
      <c r="C1588" s="2">
        <v>226</v>
      </c>
      <c r="D1588" s="3">
        <v>3212.17</v>
      </c>
      <c r="E1588" s="4" t="s">
        <v>11</v>
      </c>
    </row>
    <row r="1589" spans="1:5" x14ac:dyDescent="0.2">
      <c r="A1589" s="1">
        <v>44990</v>
      </c>
      <c r="B1589" s="2">
        <v>1167</v>
      </c>
      <c r="C1589" s="2">
        <v>242</v>
      </c>
      <c r="D1589" s="3">
        <v>2947.95</v>
      </c>
      <c r="E1589" s="4" t="s">
        <v>12</v>
      </c>
    </row>
    <row r="1590" spans="1:5" hidden="1" x14ac:dyDescent="0.2">
      <c r="A1590" s="1">
        <v>44991</v>
      </c>
      <c r="B1590" s="2">
        <v>1227</v>
      </c>
      <c r="C1590" s="2">
        <v>228</v>
      </c>
      <c r="D1590" s="3">
        <v>3306.47</v>
      </c>
      <c r="E1590" s="4" t="s">
        <v>11</v>
      </c>
    </row>
    <row r="1591" spans="1:5" x14ac:dyDescent="0.2">
      <c r="A1591" s="1">
        <v>44991</v>
      </c>
      <c r="B1591" s="2">
        <v>1091</v>
      </c>
      <c r="C1591" s="2">
        <v>260</v>
      </c>
      <c r="D1591" s="3">
        <v>4323.3500000000004</v>
      </c>
      <c r="E1591" s="4" t="s">
        <v>12</v>
      </c>
    </row>
    <row r="1592" spans="1:5" hidden="1" x14ac:dyDescent="0.2">
      <c r="A1592" s="1">
        <v>44992</v>
      </c>
      <c r="B1592" s="2">
        <v>1242</v>
      </c>
      <c r="C1592" s="2">
        <v>235</v>
      </c>
      <c r="D1592" s="3">
        <v>2910.35</v>
      </c>
      <c r="E1592" s="4" t="s">
        <v>11</v>
      </c>
    </row>
    <row r="1593" spans="1:5" x14ac:dyDescent="0.2">
      <c r="A1593" s="1">
        <v>44992</v>
      </c>
      <c r="B1593" s="2">
        <v>1128</v>
      </c>
      <c r="C1593" s="2">
        <v>259</v>
      </c>
      <c r="D1593" s="3">
        <v>3965.24</v>
      </c>
      <c r="E1593" s="4" t="s">
        <v>12</v>
      </c>
    </row>
    <row r="1594" spans="1:5" hidden="1" x14ac:dyDescent="0.2">
      <c r="A1594" s="1">
        <v>44993</v>
      </c>
      <c r="B1594" s="2">
        <v>1232</v>
      </c>
      <c r="C1594" s="2">
        <v>213</v>
      </c>
      <c r="D1594" s="3">
        <v>3148.2</v>
      </c>
      <c r="E1594" s="4" t="s">
        <v>11</v>
      </c>
    </row>
    <row r="1595" spans="1:5" x14ac:dyDescent="0.2">
      <c r="A1595" s="1">
        <v>44993</v>
      </c>
      <c r="B1595" s="2">
        <v>1170</v>
      </c>
      <c r="C1595" s="2">
        <v>286</v>
      </c>
      <c r="D1595" s="3">
        <v>4470.7</v>
      </c>
      <c r="E1595" s="4" t="s">
        <v>12</v>
      </c>
    </row>
    <row r="1596" spans="1:5" hidden="1" x14ac:dyDescent="0.2">
      <c r="A1596" s="1">
        <v>44994</v>
      </c>
      <c r="B1596" s="2">
        <v>1208</v>
      </c>
      <c r="C1596" s="2">
        <v>228</v>
      </c>
      <c r="D1596" s="3">
        <v>3316.51</v>
      </c>
      <c r="E1596" s="4" t="s">
        <v>11</v>
      </c>
    </row>
    <row r="1597" spans="1:5" x14ac:dyDescent="0.2">
      <c r="A1597" s="1">
        <v>44994</v>
      </c>
      <c r="B1597" s="2">
        <v>1146</v>
      </c>
      <c r="C1597" s="2">
        <v>253</v>
      </c>
      <c r="D1597" s="3">
        <v>4250.3999999999996</v>
      </c>
      <c r="E1597" s="4" t="s">
        <v>12</v>
      </c>
    </row>
    <row r="1598" spans="1:5" hidden="1" x14ac:dyDescent="0.2">
      <c r="A1598" s="1">
        <v>44995</v>
      </c>
      <c r="B1598" s="2">
        <v>1188</v>
      </c>
      <c r="C1598" s="2">
        <v>214</v>
      </c>
      <c r="D1598" s="3">
        <v>3026.68</v>
      </c>
      <c r="E1598" s="4" t="s">
        <v>11</v>
      </c>
    </row>
    <row r="1599" spans="1:5" x14ac:dyDescent="0.2">
      <c r="A1599" s="1">
        <v>44995</v>
      </c>
      <c r="B1599" s="2">
        <v>1169</v>
      </c>
      <c r="C1599" s="2">
        <v>285</v>
      </c>
      <c r="D1599" s="3">
        <v>4554.03</v>
      </c>
      <c r="E1599" s="4" t="s">
        <v>12</v>
      </c>
    </row>
    <row r="1600" spans="1:5" hidden="1" x14ac:dyDescent="0.2">
      <c r="A1600" s="1">
        <v>44996</v>
      </c>
      <c r="B1600" s="2">
        <v>1162</v>
      </c>
      <c r="C1600" s="2">
        <v>216</v>
      </c>
      <c r="D1600" s="3">
        <v>3257.16</v>
      </c>
      <c r="E1600" s="4" t="s">
        <v>11</v>
      </c>
    </row>
    <row r="1601" spans="1:5" x14ac:dyDescent="0.2">
      <c r="A1601" s="1">
        <v>44996</v>
      </c>
      <c r="B1601" s="2">
        <v>1111</v>
      </c>
      <c r="C1601" s="2">
        <v>248</v>
      </c>
      <c r="D1601" s="3">
        <v>3262.25</v>
      </c>
      <c r="E1601" s="4" t="s">
        <v>12</v>
      </c>
    </row>
    <row r="1602" spans="1:5" hidden="1" x14ac:dyDescent="0.2">
      <c r="A1602" s="1">
        <v>44997</v>
      </c>
      <c r="B1602" s="2">
        <v>1197</v>
      </c>
      <c r="C1602" s="2">
        <v>245</v>
      </c>
      <c r="D1602" s="3">
        <v>4539.8100000000004</v>
      </c>
      <c r="E1602" s="4" t="s">
        <v>11</v>
      </c>
    </row>
    <row r="1603" spans="1:5" x14ac:dyDescent="0.2">
      <c r="A1603" s="1">
        <v>44997</v>
      </c>
      <c r="B1603" s="2">
        <v>1210</v>
      </c>
      <c r="C1603" s="2">
        <v>292</v>
      </c>
      <c r="D1603" s="3">
        <v>6302.65</v>
      </c>
      <c r="E1603" s="4" t="s">
        <v>12</v>
      </c>
    </row>
    <row r="1604" spans="1:5" hidden="1" x14ac:dyDescent="0.2">
      <c r="A1604" s="1">
        <v>44998</v>
      </c>
      <c r="B1604" s="2">
        <v>1277</v>
      </c>
      <c r="C1604" s="2">
        <v>231</v>
      </c>
      <c r="D1604" s="3">
        <v>4036.58</v>
      </c>
      <c r="E1604" s="4" t="s">
        <v>11</v>
      </c>
    </row>
    <row r="1605" spans="1:5" x14ac:dyDescent="0.2">
      <c r="A1605" s="1">
        <v>44998</v>
      </c>
      <c r="B1605" s="2">
        <v>1186</v>
      </c>
      <c r="C1605" s="2">
        <v>253</v>
      </c>
      <c r="D1605" s="3">
        <v>3919.24</v>
      </c>
      <c r="E1605" s="4" t="s">
        <v>12</v>
      </c>
    </row>
    <row r="1606" spans="1:5" hidden="1" x14ac:dyDescent="0.2">
      <c r="A1606" s="1">
        <v>44999</v>
      </c>
      <c r="B1606" s="2">
        <v>1179</v>
      </c>
      <c r="C1606" s="2">
        <v>214</v>
      </c>
      <c r="D1606" s="3">
        <v>2946.02</v>
      </c>
      <c r="E1606" s="4" t="s">
        <v>11</v>
      </c>
    </row>
    <row r="1607" spans="1:5" x14ac:dyDescent="0.2">
      <c r="A1607" s="1">
        <v>44999</v>
      </c>
      <c r="B1607" s="2">
        <v>1148</v>
      </c>
      <c r="C1607" s="2">
        <v>294</v>
      </c>
      <c r="D1607" s="3">
        <v>3911.38</v>
      </c>
      <c r="E1607" s="4" t="s">
        <v>12</v>
      </c>
    </row>
    <row r="1608" spans="1:5" hidden="1" x14ac:dyDescent="0.2">
      <c r="A1608" s="1">
        <v>45000</v>
      </c>
      <c r="B1608" s="2">
        <v>1182</v>
      </c>
      <c r="C1608" s="2">
        <v>226</v>
      </c>
      <c r="D1608" s="3">
        <v>3243.98</v>
      </c>
      <c r="E1608" s="4" t="s">
        <v>11</v>
      </c>
    </row>
    <row r="1609" spans="1:5" x14ac:dyDescent="0.2">
      <c r="A1609" s="1">
        <v>45000</v>
      </c>
      <c r="B1609" s="2">
        <v>1192</v>
      </c>
      <c r="C1609" s="2">
        <v>266</v>
      </c>
      <c r="D1609" s="3">
        <v>4060.63</v>
      </c>
      <c r="E1609" s="4" t="s">
        <v>12</v>
      </c>
    </row>
    <row r="1610" spans="1:5" hidden="1" x14ac:dyDescent="0.2">
      <c r="A1610" s="1">
        <v>45001</v>
      </c>
      <c r="B1610" s="2">
        <v>1216</v>
      </c>
      <c r="C1610" s="2">
        <v>212</v>
      </c>
      <c r="D1610" s="3">
        <v>3139.58</v>
      </c>
      <c r="E1610" s="4" t="s">
        <v>11</v>
      </c>
    </row>
    <row r="1611" spans="1:5" x14ac:dyDescent="0.2">
      <c r="A1611" s="1">
        <v>45001</v>
      </c>
      <c r="B1611" s="2">
        <v>1211</v>
      </c>
      <c r="C1611" s="2">
        <v>290</v>
      </c>
      <c r="D1611" s="3">
        <v>5643.59</v>
      </c>
      <c r="E1611" s="4" t="s">
        <v>12</v>
      </c>
    </row>
    <row r="1612" spans="1:5" hidden="1" x14ac:dyDescent="0.2">
      <c r="A1612" s="1">
        <v>45002</v>
      </c>
      <c r="B1612" s="2">
        <v>1197</v>
      </c>
      <c r="C1612" s="2">
        <v>246</v>
      </c>
      <c r="D1612" s="3">
        <v>3415.07</v>
      </c>
      <c r="E1612" s="4" t="s">
        <v>11</v>
      </c>
    </row>
    <row r="1613" spans="1:5" x14ac:dyDescent="0.2">
      <c r="A1613" s="1">
        <v>45002</v>
      </c>
      <c r="B1613" s="2">
        <v>1102</v>
      </c>
      <c r="C1613" s="2">
        <v>257</v>
      </c>
      <c r="D1613" s="3">
        <v>3951.6</v>
      </c>
      <c r="E1613" s="4" t="s">
        <v>12</v>
      </c>
    </row>
    <row r="1614" spans="1:5" hidden="1" x14ac:dyDescent="0.2">
      <c r="A1614" s="1">
        <v>45003</v>
      </c>
      <c r="B1614" s="2">
        <v>1252</v>
      </c>
      <c r="C1614" s="2">
        <v>233</v>
      </c>
      <c r="D1614" s="3">
        <v>3371.81</v>
      </c>
      <c r="E1614" s="4" t="s">
        <v>11</v>
      </c>
    </row>
    <row r="1615" spans="1:5" x14ac:dyDescent="0.2">
      <c r="A1615" s="1">
        <v>45003</v>
      </c>
      <c r="B1615" s="2">
        <v>1150</v>
      </c>
      <c r="C1615" s="2">
        <v>274</v>
      </c>
      <c r="D1615" s="3">
        <v>3959.74</v>
      </c>
      <c r="E1615" s="4" t="s">
        <v>12</v>
      </c>
    </row>
    <row r="1616" spans="1:5" hidden="1" x14ac:dyDescent="0.2">
      <c r="A1616" s="1">
        <v>45004</v>
      </c>
      <c r="B1616" s="2">
        <v>1215</v>
      </c>
      <c r="C1616" s="2">
        <v>240</v>
      </c>
      <c r="D1616" s="3">
        <v>4428.33</v>
      </c>
      <c r="E1616" s="4" t="s">
        <v>11</v>
      </c>
    </row>
    <row r="1617" spans="1:5" x14ac:dyDescent="0.2">
      <c r="A1617" s="1">
        <v>45004</v>
      </c>
      <c r="B1617" s="2">
        <v>1155</v>
      </c>
      <c r="C1617" s="2">
        <v>268</v>
      </c>
      <c r="D1617" s="3">
        <v>4353.3100000000004</v>
      </c>
      <c r="E1617" s="4" t="s">
        <v>12</v>
      </c>
    </row>
    <row r="1618" spans="1:5" hidden="1" x14ac:dyDescent="0.2">
      <c r="A1618" s="1">
        <v>45005</v>
      </c>
      <c r="B1618" s="2">
        <v>1144</v>
      </c>
      <c r="C1618" s="2">
        <v>224</v>
      </c>
      <c r="D1618" s="3">
        <v>4141.7</v>
      </c>
      <c r="E1618" s="4" t="s">
        <v>11</v>
      </c>
    </row>
    <row r="1619" spans="1:5" x14ac:dyDescent="0.2">
      <c r="A1619" s="1">
        <v>45005</v>
      </c>
      <c r="B1619" s="2">
        <v>1090</v>
      </c>
      <c r="C1619" s="2">
        <v>270</v>
      </c>
      <c r="D1619" s="3">
        <v>5618.61</v>
      </c>
      <c r="E1619" s="4" t="s">
        <v>12</v>
      </c>
    </row>
    <row r="1620" spans="1:5" hidden="1" x14ac:dyDescent="0.2">
      <c r="A1620" s="1">
        <v>45006</v>
      </c>
      <c r="B1620" s="2">
        <v>1197</v>
      </c>
      <c r="C1620" s="2">
        <v>238</v>
      </c>
      <c r="D1620" s="3">
        <v>4039.05</v>
      </c>
      <c r="E1620" s="4" t="s">
        <v>11</v>
      </c>
    </row>
    <row r="1621" spans="1:5" x14ac:dyDescent="0.2">
      <c r="A1621" s="1">
        <v>45006</v>
      </c>
      <c r="B1621" s="2">
        <v>1218</v>
      </c>
      <c r="C1621" s="2">
        <v>270</v>
      </c>
      <c r="D1621" s="3">
        <v>3463.64</v>
      </c>
      <c r="E1621" s="4" t="s">
        <v>12</v>
      </c>
    </row>
    <row r="1622" spans="1:5" hidden="1" x14ac:dyDescent="0.2">
      <c r="A1622" s="1">
        <v>45007</v>
      </c>
      <c r="B1622" s="2">
        <v>1250</v>
      </c>
      <c r="C1622" s="2">
        <v>264</v>
      </c>
      <c r="D1622" s="3">
        <v>4496.41</v>
      </c>
      <c r="E1622" s="4" t="s">
        <v>11</v>
      </c>
    </row>
    <row r="1623" spans="1:5" x14ac:dyDescent="0.2">
      <c r="A1623" s="1">
        <v>45007</v>
      </c>
      <c r="B1623" s="2">
        <v>1142</v>
      </c>
      <c r="C1623" s="2">
        <v>267</v>
      </c>
      <c r="D1623" s="3">
        <v>4056.6</v>
      </c>
      <c r="E1623" s="4" t="s">
        <v>12</v>
      </c>
    </row>
    <row r="1624" spans="1:5" hidden="1" x14ac:dyDescent="0.2">
      <c r="A1624" s="1">
        <v>45008</v>
      </c>
      <c r="B1624" s="2">
        <v>1165</v>
      </c>
      <c r="C1624" s="2">
        <v>223</v>
      </c>
      <c r="D1624" s="3">
        <v>3016.72</v>
      </c>
      <c r="E1624" s="4" t="s">
        <v>11</v>
      </c>
    </row>
    <row r="1625" spans="1:5" x14ac:dyDescent="0.2">
      <c r="A1625" s="1">
        <v>45008</v>
      </c>
      <c r="B1625" s="2">
        <v>1109</v>
      </c>
      <c r="C1625" s="2">
        <v>249</v>
      </c>
      <c r="D1625" s="3">
        <v>3829.15</v>
      </c>
      <c r="E1625" s="4" t="s">
        <v>12</v>
      </c>
    </row>
    <row r="1626" spans="1:5" hidden="1" x14ac:dyDescent="0.2">
      <c r="A1626" s="1">
        <v>45009</v>
      </c>
      <c r="B1626" s="2">
        <v>1152</v>
      </c>
      <c r="C1626" s="2">
        <v>210</v>
      </c>
      <c r="D1626" s="3">
        <v>3594.43</v>
      </c>
      <c r="E1626" s="4" t="s">
        <v>11</v>
      </c>
    </row>
    <row r="1627" spans="1:5" x14ac:dyDescent="0.2">
      <c r="A1627" s="1">
        <v>45009</v>
      </c>
      <c r="B1627" s="2">
        <v>1100</v>
      </c>
      <c r="C1627" s="2">
        <v>261</v>
      </c>
      <c r="D1627" s="3">
        <v>4421.6099999999997</v>
      </c>
      <c r="E1627" s="4" t="s">
        <v>12</v>
      </c>
    </row>
    <row r="1628" spans="1:5" hidden="1" x14ac:dyDescent="0.2">
      <c r="A1628" s="1">
        <v>45010</v>
      </c>
      <c r="B1628" s="2">
        <v>1219</v>
      </c>
      <c r="C1628" s="2">
        <v>238</v>
      </c>
      <c r="D1628" s="3">
        <v>3977.08</v>
      </c>
      <c r="E1628" s="4" t="s">
        <v>11</v>
      </c>
    </row>
    <row r="1629" spans="1:5" x14ac:dyDescent="0.2">
      <c r="A1629" s="1">
        <v>45010</v>
      </c>
      <c r="B1629" s="2">
        <v>1150</v>
      </c>
      <c r="C1629" s="2">
        <v>278</v>
      </c>
      <c r="D1629" s="3">
        <v>4594.95</v>
      </c>
      <c r="E1629" s="4" t="s">
        <v>12</v>
      </c>
    </row>
    <row r="1630" spans="1:5" hidden="1" x14ac:dyDescent="0.2">
      <c r="A1630" s="1">
        <v>45011</v>
      </c>
      <c r="B1630" s="2">
        <v>1131</v>
      </c>
      <c r="C1630" s="2">
        <v>222</v>
      </c>
      <c r="D1630" s="3">
        <v>3761.77</v>
      </c>
      <c r="E1630" s="4" t="s">
        <v>11</v>
      </c>
    </row>
    <row r="1631" spans="1:5" x14ac:dyDescent="0.2">
      <c r="A1631" s="1">
        <v>45011</v>
      </c>
      <c r="B1631" s="2">
        <v>1074</v>
      </c>
      <c r="C1631" s="2">
        <v>244</v>
      </c>
      <c r="D1631" s="3">
        <v>4329.92</v>
      </c>
      <c r="E1631" s="4" t="s">
        <v>12</v>
      </c>
    </row>
    <row r="1632" spans="1:5" hidden="1" x14ac:dyDescent="0.2">
      <c r="A1632" s="1">
        <v>45012</v>
      </c>
      <c r="B1632" s="2">
        <v>1158</v>
      </c>
      <c r="C1632" s="2">
        <v>193</v>
      </c>
      <c r="D1632" s="3">
        <v>2756.66</v>
      </c>
      <c r="E1632" s="4" t="s">
        <v>11</v>
      </c>
    </row>
    <row r="1633" spans="1:5" x14ac:dyDescent="0.2">
      <c r="A1633" s="1">
        <v>45012</v>
      </c>
      <c r="B1633" s="2">
        <v>1136</v>
      </c>
      <c r="C1633" s="2">
        <v>279</v>
      </c>
      <c r="D1633" s="3">
        <v>3780.45</v>
      </c>
      <c r="E1633" s="4" t="s">
        <v>12</v>
      </c>
    </row>
    <row r="1634" spans="1:5" hidden="1" x14ac:dyDescent="0.2">
      <c r="A1634" s="1">
        <v>45013</v>
      </c>
      <c r="B1634" s="2">
        <v>1225</v>
      </c>
      <c r="C1634" s="2">
        <v>233</v>
      </c>
      <c r="D1634" s="3">
        <v>2491.7399999999998</v>
      </c>
      <c r="E1634" s="4" t="s">
        <v>11</v>
      </c>
    </row>
    <row r="1635" spans="1:5" x14ac:dyDescent="0.2">
      <c r="A1635" s="1">
        <v>45013</v>
      </c>
      <c r="B1635" s="2">
        <v>1123</v>
      </c>
      <c r="C1635" s="2">
        <v>238</v>
      </c>
      <c r="D1635" s="3">
        <v>3793.35</v>
      </c>
      <c r="E1635" s="4" t="s">
        <v>12</v>
      </c>
    </row>
    <row r="1636" spans="1:5" hidden="1" x14ac:dyDescent="0.2">
      <c r="A1636" s="1">
        <v>45014</v>
      </c>
      <c r="B1636" s="2">
        <v>1163</v>
      </c>
      <c r="C1636" s="2">
        <v>227</v>
      </c>
      <c r="D1636" s="3">
        <v>3705.79</v>
      </c>
      <c r="E1636" s="4" t="s">
        <v>11</v>
      </c>
    </row>
    <row r="1637" spans="1:5" x14ac:dyDescent="0.2">
      <c r="A1637" s="1">
        <v>45014</v>
      </c>
      <c r="B1637" s="2">
        <v>1170</v>
      </c>
      <c r="C1637" s="2">
        <v>292</v>
      </c>
      <c r="D1637" s="3">
        <v>4191.45</v>
      </c>
      <c r="E1637" s="4" t="s">
        <v>12</v>
      </c>
    </row>
    <row r="1638" spans="1:5" hidden="1" x14ac:dyDescent="0.2">
      <c r="A1638" s="1">
        <v>45015</v>
      </c>
      <c r="B1638" s="2">
        <v>1219</v>
      </c>
      <c r="C1638" s="2">
        <v>219</v>
      </c>
      <c r="D1638" s="3">
        <v>2954.09</v>
      </c>
      <c r="E1638" s="4" t="s">
        <v>11</v>
      </c>
    </row>
    <row r="1639" spans="1:5" x14ac:dyDescent="0.2">
      <c r="A1639" s="1">
        <v>45015</v>
      </c>
      <c r="B1639" s="2">
        <v>1139</v>
      </c>
      <c r="C1639" s="2">
        <v>269</v>
      </c>
      <c r="D1639" s="3">
        <v>4249.13</v>
      </c>
      <c r="E1639" s="4" t="s">
        <v>12</v>
      </c>
    </row>
    <row r="1640" spans="1:5" hidden="1" x14ac:dyDescent="0.2">
      <c r="A1640" s="1">
        <v>45016</v>
      </c>
      <c r="B1640" s="2">
        <v>1209</v>
      </c>
      <c r="C1640" s="2">
        <v>221</v>
      </c>
      <c r="D1640" s="3">
        <v>3529.53</v>
      </c>
      <c r="E1640" s="4" t="s">
        <v>11</v>
      </c>
    </row>
    <row r="1641" spans="1:5" x14ac:dyDescent="0.2">
      <c r="A1641" s="1">
        <v>45016</v>
      </c>
      <c r="B1641" s="2">
        <v>1100</v>
      </c>
      <c r="C1641" s="2">
        <v>260</v>
      </c>
      <c r="D1641" s="3">
        <v>3718.47</v>
      </c>
      <c r="E1641" s="4" t="s">
        <v>12</v>
      </c>
    </row>
    <row r="1642" spans="1:5" hidden="1" x14ac:dyDescent="0.2">
      <c r="A1642" s="1">
        <v>45017</v>
      </c>
      <c r="B1642" s="2">
        <v>1268</v>
      </c>
      <c r="C1642" s="2">
        <v>258</v>
      </c>
      <c r="D1642" s="3">
        <v>3991.5</v>
      </c>
      <c r="E1642" s="4" t="s">
        <v>11</v>
      </c>
    </row>
    <row r="1643" spans="1:5" x14ac:dyDescent="0.2">
      <c r="A1643" s="1">
        <v>45017</v>
      </c>
      <c r="B1643" s="2">
        <v>1132</v>
      </c>
      <c r="C1643" s="2">
        <v>257</v>
      </c>
      <c r="D1643" s="3">
        <v>2216.1799999999998</v>
      </c>
      <c r="E1643" s="4" t="s">
        <v>12</v>
      </c>
    </row>
    <row r="1644" spans="1:5" hidden="1" x14ac:dyDescent="0.2">
      <c r="A1644" s="1">
        <v>45018</v>
      </c>
      <c r="B1644" s="2">
        <v>1230</v>
      </c>
      <c r="C1644" s="2">
        <v>252</v>
      </c>
      <c r="D1644" s="3">
        <v>3375.65</v>
      </c>
      <c r="E1644" s="4" t="s">
        <v>11</v>
      </c>
    </row>
    <row r="1645" spans="1:5" x14ac:dyDescent="0.2">
      <c r="A1645" s="1">
        <v>45018</v>
      </c>
      <c r="B1645" s="2">
        <v>1124</v>
      </c>
      <c r="C1645" s="2">
        <v>264</v>
      </c>
      <c r="D1645" s="3">
        <v>3957.55</v>
      </c>
      <c r="E1645" s="4" t="s">
        <v>12</v>
      </c>
    </row>
    <row r="1646" spans="1:5" hidden="1" x14ac:dyDescent="0.2">
      <c r="A1646" s="1">
        <v>45019</v>
      </c>
      <c r="B1646" s="2">
        <v>1274</v>
      </c>
      <c r="C1646" s="2">
        <v>247</v>
      </c>
      <c r="D1646" s="3">
        <v>2911.51</v>
      </c>
      <c r="E1646" s="4" t="s">
        <v>11</v>
      </c>
    </row>
    <row r="1647" spans="1:5" x14ac:dyDescent="0.2">
      <c r="A1647" s="1">
        <v>45019</v>
      </c>
      <c r="B1647" s="2">
        <v>1126</v>
      </c>
      <c r="C1647" s="2">
        <v>251</v>
      </c>
      <c r="D1647" s="3">
        <v>4214.2700000000004</v>
      </c>
      <c r="E1647" s="4" t="s">
        <v>12</v>
      </c>
    </row>
    <row r="1648" spans="1:5" hidden="1" x14ac:dyDescent="0.2">
      <c r="A1648" s="1">
        <v>45020</v>
      </c>
      <c r="B1648" s="2">
        <v>1119</v>
      </c>
      <c r="C1648" s="2">
        <v>212</v>
      </c>
      <c r="D1648" s="3">
        <v>2714.61</v>
      </c>
      <c r="E1648" s="4" t="s">
        <v>11</v>
      </c>
    </row>
    <row r="1649" spans="1:5" x14ac:dyDescent="0.2">
      <c r="A1649" s="1">
        <v>45020</v>
      </c>
      <c r="B1649" s="2">
        <v>1140</v>
      </c>
      <c r="C1649" s="2">
        <v>274</v>
      </c>
      <c r="D1649" s="3">
        <v>4185.83</v>
      </c>
      <c r="E1649" s="4" t="s">
        <v>12</v>
      </c>
    </row>
    <row r="1650" spans="1:5" hidden="1" x14ac:dyDescent="0.2">
      <c r="A1650" s="1">
        <v>45021</v>
      </c>
      <c r="B1650" s="2">
        <v>1201</v>
      </c>
      <c r="C1650" s="2">
        <v>219</v>
      </c>
      <c r="D1650" s="3">
        <v>2464.62</v>
      </c>
      <c r="E1650" s="4" t="s">
        <v>11</v>
      </c>
    </row>
    <row r="1651" spans="1:5" x14ac:dyDescent="0.2">
      <c r="A1651" s="1">
        <v>45021</v>
      </c>
      <c r="B1651" s="2">
        <v>1128</v>
      </c>
      <c r="C1651" s="2">
        <v>252</v>
      </c>
      <c r="D1651" s="3">
        <v>5062.42</v>
      </c>
      <c r="E1651" s="4" t="s">
        <v>12</v>
      </c>
    </row>
    <row r="1652" spans="1:5" hidden="1" x14ac:dyDescent="0.2">
      <c r="A1652" s="1">
        <v>45022</v>
      </c>
      <c r="B1652" s="2">
        <v>1189</v>
      </c>
      <c r="C1652" s="2">
        <v>229</v>
      </c>
      <c r="D1652" s="3">
        <v>3782.98</v>
      </c>
      <c r="E1652" s="4" t="s">
        <v>11</v>
      </c>
    </row>
    <row r="1653" spans="1:5" x14ac:dyDescent="0.2">
      <c r="A1653" s="1">
        <v>45022</v>
      </c>
      <c r="B1653" s="2">
        <v>1153</v>
      </c>
      <c r="C1653" s="2">
        <v>263</v>
      </c>
      <c r="D1653" s="3">
        <v>3766.41</v>
      </c>
      <c r="E1653" s="4" t="s">
        <v>12</v>
      </c>
    </row>
    <row r="1654" spans="1:5" hidden="1" x14ac:dyDescent="0.2">
      <c r="A1654" s="1">
        <v>45023</v>
      </c>
      <c r="B1654" s="2">
        <v>1222</v>
      </c>
      <c r="C1654" s="2">
        <v>242</v>
      </c>
      <c r="D1654" s="3">
        <v>3628.03</v>
      </c>
      <c r="E1654" s="4" t="s">
        <v>11</v>
      </c>
    </row>
    <row r="1655" spans="1:5" x14ac:dyDescent="0.2">
      <c r="A1655" s="1">
        <v>45023</v>
      </c>
      <c r="B1655" s="2">
        <v>1135</v>
      </c>
      <c r="C1655" s="2">
        <v>245</v>
      </c>
      <c r="D1655" s="3">
        <v>3899.78</v>
      </c>
      <c r="E1655" s="4" t="s">
        <v>12</v>
      </c>
    </row>
    <row r="1656" spans="1:5" hidden="1" x14ac:dyDescent="0.2">
      <c r="A1656" s="1">
        <v>45024</v>
      </c>
      <c r="B1656" s="2">
        <v>1174</v>
      </c>
      <c r="C1656" s="2">
        <v>229</v>
      </c>
      <c r="D1656" s="3">
        <v>3113.81</v>
      </c>
      <c r="E1656" s="4" t="s">
        <v>11</v>
      </c>
    </row>
    <row r="1657" spans="1:5" x14ac:dyDescent="0.2">
      <c r="A1657" s="1">
        <v>45024</v>
      </c>
      <c r="B1657" s="2">
        <v>1113</v>
      </c>
      <c r="C1657" s="2">
        <v>252</v>
      </c>
      <c r="D1657" s="3">
        <v>3590.59</v>
      </c>
      <c r="E1657" s="4" t="s">
        <v>12</v>
      </c>
    </row>
    <row r="1658" spans="1:5" hidden="1" x14ac:dyDescent="0.2">
      <c r="A1658" s="1">
        <v>45025</v>
      </c>
      <c r="B1658" s="2">
        <v>1222</v>
      </c>
      <c r="C1658" s="2">
        <v>212</v>
      </c>
      <c r="D1658" s="3">
        <v>2968.05</v>
      </c>
      <c r="E1658" s="4" t="s">
        <v>11</v>
      </c>
    </row>
    <row r="1659" spans="1:5" x14ac:dyDescent="0.2">
      <c r="A1659" s="1">
        <v>45025</v>
      </c>
      <c r="B1659" s="2">
        <v>1116</v>
      </c>
      <c r="C1659" s="2">
        <v>241</v>
      </c>
      <c r="D1659" s="3">
        <v>4117.74</v>
      </c>
      <c r="E1659" s="4" t="s">
        <v>12</v>
      </c>
    </row>
    <row r="1660" spans="1:5" hidden="1" x14ac:dyDescent="0.2">
      <c r="A1660" s="1">
        <v>45026</v>
      </c>
      <c r="B1660" s="2">
        <v>1197</v>
      </c>
      <c r="C1660" s="2">
        <v>220</v>
      </c>
      <c r="D1660" s="3">
        <v>3753.93</v>
      </c>
      <c r="E1660" s="4" t="s">
        <v>11</v>
      </c>
    </row>
    <row r="1661" spans="1:5" x14ac:dyDescent="0.2">
      <c r="A1661" s="1">
        <v>45026</v>
      </c>
      <c r="B1661" s="2">
        <v>1190</v>
      </c>
      <c r="C1661" s="2">
        <v>265</v>
      </c>
      <c r="D1661" s="3">
        <v>3493.27</v>
      </c>
      <c r="E1661" s="4" t="s">
        <v>12</v>
      </c>
    </row>
    <row r="1662" spans="1:5" hidden="1" x14ac:dyDescent="0.2">
      <c r="A1662" s="1">
        <v>45027</v>
      </c>
      <c r="B1662" s="2">
        <v>1232</v>
      </c>
      <c r="C1662" s="2">
        <v>211</v>
      </c>
      <c r="D1662" s="3">
        <v>2843.54</v>
      </c>
      <c r="E1662" s="4" t="s">
        <v>11</v>
      </c>
    </row>
    <row r="1663" spans="1:5" x14ac:dyDescent="0.2">
      <c r="A1663" s="1">
        <v>45027</v>
      </c>
      <c r="B1663" s="2">
        <v>1149</v>
      </c>
      <c r="C1663" s="2">
        <v>266</v>
      </c>
      <c r="D1663" s="3">
        <v>4096.5600000000004</v>
      </c>
      <c r="E1663" s="4" t="s">
        <v>12</v>
      </c>
    </row>
    <row r="1664" spans="1:5" hidden="1" x14ac:dyDescent="0.2">
      <c r="A1664" s="1">
        <v>45028</v>
      </c>
      <c r="B1664" s="2">
        <v>1167</v>
      </c>
      <c r="C1664" s="2">
        <v>183</v>
      </c>
      <c r="D1664" s="3">
        <v>2654.48</v>
      </c>
      <c r="E1664" s="4" t="s">
        <v>11</v>
      </c>
    </row>
    <row r="1665" spans="1:5" x14ac:dyDescent="0.2">
      <c r="A1665" s="1">
        <v>45028</v>
      </c>
      <c r="B1665" s="2">
        <v>1163</v>
      </c>
      <c r="C1665" s="2">
        <v>262</v>
      </c>
      <c r="D1665" s="3">
        <v>4366.6099999999997</v>
      </c>
      <c r="E1665" s="4" t="s">
        <v>12</v>
      </c>
    </row>
    <row r="1666" spans="1:5" hidden="1" x14ac:dyDescent="0.2">
      <c r="A1666" s="1">
        <v>45029</v>
      </c>
      <c r="B1666" s="2">
        <v>1163</v>
      </c>
      <c r="C1666" s="2">
        <v>217</v>
      </c>
      <c r="D1666" s="3">
        <v>3965.55</v>
      </c>
      <c r="E1666" s="4" t="s">
        <v>11</v>
      </c>
    </row>
    <row r="1667" spans="1:5" x14ac:dyDescent="0.2">
      <c r="A1667" s="1">
        <v>45029</v>
      </c>
      <c r="B1667" s="2">
        <v>1137</v>
      </c>
      <c r="C1667" s="2">
        <v>263</v>
      </c>
      <c r="D1667" s="3">
        <v>3455.11</v>
      </c>
      <c r="E1667" s="4" t="s">
        <v>12</v>
      </c>
    </row>
    <row r="1668" spans="1:5" hidden="1" x14ac:dyDescent="0.2">
      <c r="A1668" s="1">
        <v>45030</v>
      </c>
      <c r="B1668" s="2">
        <v>1144</v>
      </c>
      <c r="C1668" s="2">
        <v>237</v>
      </c>
      <c r="D1668" s="3">
        <v>3610.79</v>
      </c>
      <c r="E1668" s="4" t="s">
        <v>11</v>
      </c>
    </row>
    <row r="1669" spans="1:5" x14ac:dyDescent="0.2">
      <c r="A1669" s="1">
        <v>45030</v>
      </c>
      <c r="B1669" s="2">
        <v>1151</v>
      </c>
      <c r="C1669" s="2">
        <v>291</v>
      </c>
      <c r="D1669" s="3">
        <v>3683.03</v>
      </c>
      <c r="E1669" s="4" t="s">
        <v>12</v>
      </c>
    </row>
    <row r="1670" spans="1:5" hidden="1" x14ac:dyDescent="0.2">
      <c r="A1670" s="1">
        <v>45031</v>
      </c>
      <c r="B1670" s="2">
        <v>1191</v>
      </c>
      <c r="C1670" s="2">
        <v>214</v>
      </c>
      <c r="D1670" s="3">
        <v>3817.35</v>
      </c>
      <c r="E1670" s="4" t="s">
        <v>11</v>
      </c>
    </row>
    <row r="1671" spans="1:5" x14ac:dyDescent="0.2">
      <c r="A1671" s="1">
        <v>45031</v>
      </c>
      <c r="B1671" s="2">
        <v>1174</v>
      </c>
      <c r="C1671" s="2">
        <v>303</v>
      </c>
      <c r="D1671" s="3">
        <v>5025.7700000000004</v>
      </c>
      <c r="E1671" s="4" t="s">
        <v>12</v>
      </c>
    </row>
    <row r="1672" spans="1:5" hidden="1" x14ac:dyDescent="0.2">
      <c r="A1672" s="1">
        <v>45032</v>
      </c>
      <c r="B1672" s="2">
        <v>1151</v>
      </c>
      <c r="C1672" s="2">
        <v>208</v>
      </c>
      <c r="D1672" s="3">
        <v>3142.49</v>
      </c>
      <c r="E1672" s="4" t="s">
        <v>11</v>
      </c>
    </row>
    <row r="1673" spans="1:5" x14ac:dyDescent="0.2">
      <c r="A1673" s="1">
        <v>45032</v>
      </c>
      <c r="B1673" s="2">
        <v>1159</v>
      </c>
      <c r="C1673" s="2">
        <v>272</v>
      </c>
      <c r="D1673" s="3">
        <v>4420.3</v>
      </c>
      <c r="E1673" s="4" t="s">
        <v>12</v>
      </c>
    </row>
    <row r="1674" spans="1:5" hidden="1" x14ac:dyDescent="0.2">
      <c r="A1674" s="1">
        <v>45033</v>
      </c>
      <c r="B1674" s="2">
        <v>1214</v>
      </c>
      <c r="C1674" s="2">
        <v>210</v>
      </c>
      <c r="D1674" s="3">
        <v>3766.5</v>
      </c>
      <c r="E1674" s="4" t="s">
        <v>11</v>
      </c>
    </row>
    <row r="1675" spans="1:5" x14ac:dyDescent="0.2">
      <c r="A1675" s="1">
        <v>45033</v>
      </c>
      <c r="B1675" s="2">
        <v>1148</v>
      </c>
      <c r="C1675" s="2">
        <v>257</v>
      </c>
      <c r="D1675" s="3">
        <v>4096.4399999999996</v>
      </c>
      <c r="E1675" s="4" t="s">
        <v>12</v>
      </c>
    </row>
    <row r="1676" spans="1:5" hidden="1" x14ac:dyDescent="0.2">
      <c r="A1676" s="1">
        <v>45034</v>
      </c>
      <c r="B1676" s="2">
        <v>1152</v>
      </c>
      <c r="C1676" s="2">
        <v>239</v>
      </c>
      <c r="D1676" s="3">
        <v>3974.93</v>
      </c>
      <c r="E1676" s="4" t="s">
        <v>11</v>
      </c>
    </row>
    <row r="1677" spans="1:5" x14ac:dyDescent="0.2">
      <c r="A1677" s="1">
        <v>45034</v>
      </c>
      <c r="B1677" s="2">
        <v>1129</v>
      </c>
      <c r="C1677" s="2">
        <v>253</v>
      </c>
      <c r="D1677" s="3">
        <v>4352.8500000000004</v>
      </c>
      <c r="E1677" s="4" t="s">
        <v>12</v>
      </c>
    </row>
    <row r="1678" spans="1:5" hidden="1" x14ac:dyDescent="0.2">
      <c r="A1678" s="1">
        <v>45035</v>
      </c>
      <c r="B1678" s="2">
        <v>1241</v>
      </c>
      <c r="C1678" s="2">
        <v>246</v>
      </c>
      <c r="D1678" s="3">
        <v>3785.16</v>
      </c>
      <c r="E1678" s="4" t="s">
        <v>11</v>
      </c>
    </row>
    <row r="1679" spans="1:5" x14ac:dyDescent="0.2">
      <c r="A1679" s="1">
        <v>45035</v>
      </c>
      <c r="B1679" s="2">
        <v>1078</v>
      </c>
      <c r="C1679" s="2">
        <v>236</v>
      </c>
      <c r="D1679" s="3">
        <v>3804.17</v>
      </c>
      <c r="E1679" s="4" t="s">
        <v>12</v>
      </c>
    </row>
    <row r="1680" spans="1:5" hidden="1" x14ac:dyDescent="0.2">
      <c r="A1680" s="1">
        <v>45036</v>
      </c>
      <c r="B1680" s="2">
        <v>1183</v>
      </c>
      <c r="C1680" s="2">
        <v>236</v>
      </c>
      <c r="D1680" s="3">
        <v>2907.29</v>
      </c>
      <c r="E1680" s="4" t="s">
        <v>11</v>
      </c>
    </row>
    <row r="1681" spans="1:5" x14ac:dyDescent="0.2">
      <c r="A1681" s="1">
        <v>45036</v>
      </c>
      <c r="B1681" s="2">
        <v>1205</v>
      </c>
      <c r="C1681" s="2">
        <v>275</v>
      </c>
      <c r="D1681" s="3">
        <v>4224.1000000000004</v>
      </c>
      <c r="E1681" s="4" t="s">
        <v>12</v>
      </c>
    </row>
    <row r="1682" spans="1:5" hidden="1" x14ac:dyDescent="0.2">
      <c r="A1682" s="1">
        <v>45037</v>
      </c>
      <c r="B1682" s="2">
        <v>1175</v>
      </c>
      <c r="C1682" s="2">
        <v>245</v>
      </c>
      <c r="D1682" s="3">
        <v>3596.33</v>
      </c>
      <c r="E1682" s="4" t="s">
        <v>11</v>
      </c>
    </row>
    <row r="1683" spans="1:5" x14ac:dyDescent="0.2">
      <c r="A1683" s="1">
        <v>45037</v>
      </c>
      <c r="B1683" s="2">
        <v>1172</v>
      </c>
      <c r="C1683" s="2">
        <v>271</v>
      </c>
      <c r="D1683" s="3">
        <v>4035.03</v>
      </c>
      <c r="E1683" s="4" t="s">
        <v>12</v>
      </c>
    </row>
    <row r="1684" spans="1:5" hidden="1" x14ac:dyDescent="0.2">
      <c r="A1684" s="1">
        <v>45038</v>
      </c>
      <c r="B1684" s="2">
        <v>1186</v>
      </c>
      <c r="C1684" s="2">
        <v>210</v>
      </c>
      <c r="D1684" s="3">
        <v>3199.39</v>
      </c>
      <c r="E1684" s="4" t="s">
        <v>11</v>
      </c>
    </row>
    <row r="1685" spans="1:5" x14ac:dyDescent="0.2">
      <c r="A1685" s="1">
        <v>45038</v>
      </c>
      <c r="B1685" s="2">
        <v>1115</v>
      </c>
      <c r="C1685" s="2">
        <v>241</v>
      </c>
      <c r="D1685" s="3">
        <v>3928.98</v>
      </c>
      <c r="E1685" s="4" t="s">
        <v>12</v>
      </c>
    </row>
    <row r="1686" spans="1:5" hidden="1" x14ac:dyDescent="0.2">
      <c r="A1686" s="1">
        <v>45039</v>
      </c>
      <c r="B1686" s="2">
        <v>1235</v>
      </c>
      <c r="C1686" s="2">
        <v>224</v>
      </c>
      <c r="D1686" s="3">
        <v>3791.2</v>
      </c>
      <c r="E1686" s="4" t="s">
        <v>11</v>
      </c>
    </row>
    <row r="1687" spans="1:5" x14ac:dyDescent="0.2">
      <c r="A1687" s="1">
        <v>45039</v>
      </c>
      <c r="B1687" s="2">
        <v>1187</v>
      </c>
      <c r="C1687" s="2">
        <v>263</v>
      </c>
      <c r="D1687" s="3">
        <v>4821.1000000000004</v>
      </c>
      <c r="E1687" s="4" t="s">
        <v>12</v>
      </c>
    </row>
    <row r="1688" spans="1:5" hidden="1" x14ac:dyDescent="0.2">
      <c r="A1688" s="1">
        <v>45040</v>
      </c>
      <c r="B1688" s="2">
        <v>1159</v>
      </c>
      <c r="C1688" s="2">
        <v>245</v>
      </c>
      <c r="D1688" s="3">
        <v>3989.55</v>
      </c>
      <c r="E1688" s="4" t="s">
        <v>11</v>
      </c>
    </row>
    <row r="1689" spans="1:5" x14ac:dyDescent="0.2">
      <c r="A1689" s="1">
        <v>45040</v>
      </c>
      <c r="B1689" s="2">
        <v>1098</v>
      </c>
      <c r="C1689" s="2">
        <v>245</v>
      </c>
      <c r="D1689" s="3">
        <v>3787.57</v>
      </c>
      <c r="E1689" s="4" t="s">
        <v>12</v>
      </c>
    </row>
    <row r="1690" spans="1:5" hidden="1" x14ac:dyDescent="0.2">
      <c r="A1690" s="1">
        <v>45041</v>
      </c>
      <c r="B1690" s="2">
        <v>1153</v>
      </c>
      <c r="C1690" s="2">
        <v>209</v>
      </c>
      <c r="D1690" s="3">
        <v>3410.1</v>
      </c>
      <c r="E1690" s="4" t="s">
        <v>11</v>
      </c>
    </row>
    <row r="1691" spans="1:5" x14ac:dyDescent="0.2">
      <c r="A1691" s="1">
        <v>45041</v>
      </c>
      <c r="B1691" s="2">
        <v>1160</v>
      </c>
      <c r="C1691" s="2">
        <v>287</v>
      </c>
      <c r="D1691" s="3">
        <v>4365.1099999999997</v>
      </c>
      <c r="E1691" s="4" t="s">
        <v>12</v>
      </c>
    </row>
    <row r="1692" spans="1:5" hidden="1" x14ac:dyDescent="0.2">
      <c r="A1692" s="1">
        <v>45042</v>
      </c>
      <c r="B1692" s="2">
        <v>1238</v>
      </c>
      <c r="C1692" s="2">
        <v>242</v>
      </c>
      <c r="D1692" s="3">
        <v>3315.08</v>
      </c>
      <c r="E1692" s="4" t="s">
        <v>11</v>
      </c>
    </row>
    <row r="1693" spans="1:5" x14ac:dyDescent="0.2">
      <c r="A1693" s="1">
        <v>45042</v>
      </c>
      <c r="B1693" s="2">
        <v>1147</v>
      </c>
      <c r="C1693" s="2">
        <v>246</v>
      </c>
      <c r="D1693" s="3">
        <v>3775.29</v>
      </c>
      <c r="E1693" s="4" t="s">
        <v>12</v>
      </c>
    </row>
    <row r="1694" spans="1:5" hidden="1" x14ac:dyDescent="0.2">
      <c r="A1694" s="1">
        <v>45043</v>
      </c>
      <c r="B1694" s="2">
        <v>1178</v>
      </c>
      <c r="C1694" s="2">
        <v>230</v>
      </c>
      <c r="D1694" s="3">
        <v>2138.9899999999998</v>
      </c>
      <c r="E1694" s="4" t="s">
        <v>11</v>
      </c>
    </row>
    <row r="1695" spans="1:5" x14ac:dyDescent="0.2">
      <c r="A1695" s="1">
        <v>45043</v>
      </c>
      <c r="B1695" s="2">
        <v>1151</v>
      </c>
      <c r="C1695" s="2">
        <v>273</v>
      </c>
      <c r="D1695" s="3">
        <v>4665.34</v>
      </c>
      <c r="E1695" s="4" t="s">
        <v>12</v>
      </c>
    </row>
    <row r="1696" spans="1:5" hidden="1" x14ac:dyDescent="0.2">
      <c r="A1696" s="1">
        <v>45044</v>
      </c>
      <c r="B1696" s="2">
        <v>1162</v>
      </c>
      <c r="C1696" s="2">
        <v>200</v>
      </c>
      <c r="D1696" s="3">
        <v>3610.73</v>
      </c>
      <c r="E1696" s="4" t="s">
        <v>11</v>
      </c>
    </row>
    <row r="1697" spans="1:5" x14ac:dyDescent="0.2">
      <c r="A1697" s="1">
        <v>45044</v>
      </c>
      <c r="B1697" s="2">
        <v>1148</v>
      </c>
      <c r="C1697" s="2">
        <v>269</v>
      </c>
      <c r="D1697" s="3">
        <v>5327.58</v>
      </c>
      <c r="E1697" s="4" t="s">
        <v>12</v>
      </c>
    </row>
    <row r="1698" spans="1:5" hidden="1" x14ac:dyDescent="0.2">
      <c r="A1698" s="1">
        <v>45045</v>
      </c>
      <c r="B1698" s="2">
        <v>1222</v>
      </c>
      <c r="C1698" s="2">
        <v>225</v>
      </c>
      <c r="D1698" s="3">
        <v>2780.97</v>
      </c>
      <c r="E1698" s="4" t="s">
        <v>11</v>
      </c>
    </row>
    <row r="1699" spans="1:5" x14ac:dyDescent="0.2">
      <c r="A1699" s="1">
        <v>45045</v>
      </c>
      <c r="B1699" s="2">
        <v>1149</v>
      </c>
      <c r="C1699" s="2">
        <v>262</v>
      </c>
      <c r="D1699" s="3">
        <v>4066.89</v>
      </c>
      <c r="E1699" s="4" t="s">
        <v>12</v>
      </c>
    </row>
    <row r="1700" spans="1:5" hidden="1" x14ac:dyDescent="0.2">
      <c r="A1700" s="1">
        <v>45046</v>
      </c>
      <c r="B1700" s="2">
        <v>1181</v>
      </c>
      <c r="C1700" s="2">
        <v>240</v>
      </c>
      <c r="D1700" s="3">
        <v>3026.79</v>
      </c>
      <c r="E1700" s="4" t="s">
        <v>11</v>
      </c>
    </row>
    <row r="1701" spans="1:5" x14ac:dyDescent="0.2">
      <c r="A1701" s="1">
        <v>45046</v>
      </c>
      <c r="B1701" s="2">
        <v>1145</v>
      </c>
      <c r="C1701" s="2">
        <v>260</v>
      </c>
      <c r="D1701" s="3">
        <v>3633.42</v>
      </c>
      <c r="E1701" s="4" t="s">
        <v>12</v>
      </c>
    </row>
    <row r="1702" spans="1:5" hidden="1" x14ac:dyDescent="0.2">
      <c r="A1702" s="1">
        <v>45047</v>
      </c>
      <c r="B1702" s="2">
        <v>1154</v>
      </c>
      <c r="C1702" s="2">
        <v>229</v>
      </c>
      <c r="D1702" s="3">
        <v>2753.56</v>
      </c>
      <c r="E1702" s="4" t="s">
        <v>11</v>
      </c>
    </row>
    <row r="1703" spans="1:5" x14ac:dyDescent="0.2">
      <c r="A1703" s="1">
        <v>45047</v>
      </c>
      <c r="B1703" s="2">
        <v>1114</v>
      </c>
      <c r="C1703" s="2">
        <v>252</v>
      </c>
      <c r="D1703" s="3">
        <v>3464.91</v>
      </c>
      <c r="E1703" s="4" t="s">
        <v>12</v>
      </c>
    </row>
    <row r="1704" spans="1:5" hidden="1" x14ac:dyDescent="0.2">
      <c r="A1704" s="1">
        <v>45048</v>
      </c>
      <c r="B1704" s="2">
        <v>1228</v>
      </c>
      <c r="C1704" s="2">
        <v>199</v>
      </c>
      <c r="D1704" s="3">
        <v>2850.52</v>
      </c>
      <c r="E1704" s="4" t="s">
        <v>11</v>
      </c>
    </row>
    <row r="1705" spans="1:5" x14ac:dyDescent="0.2">
      <c r="A1705" s="1">
        <v>45048</v>
      </c>
      <c r="B1705" s="2">
        <v>1099</v>
      </c>
      <c r="C1705" s="2">
        <v>260</v>
      </c>
      <c r="D1705" s="3">
        <v>4161.16</v>
      </c>
      <c r="E1705" s="4" t="s">
        <v>12</v>
      </c>
    </row>
    <row r="1706" spans="1:5" hidden="1" x14ac:dyDescent="0.2">
      <c r="A1706" s="1">
        <v>45049</v>
      </c>
      <c r="B1706" s="2">
        <v>1256</v>
      </c>
      <c r="C1706" s="2">
        <v>229</v>
      </c>
      <c r="D1706" s="3">
        <v>4035.26</v>
      </c>
      <c r="E1706" s="4" t="s">
        <v>11</v>
      </c>
    </row>
    <row r="1707" spans="1:5" x14ac:dyDescent="0.2">
      <c r="A1707" s="1">
        <v>45049</v>
      </c>
      <c r="B1707" s="2">
        <v>1196</v>
      </c>
      <c r="C1707" s="2">
        <v>294</v>
      </c>
      <c r="D1707" s="3">
        <v>5392.61</v>
      </c>
      <c r="E1707" s="4" t="s">
        <v>12</v>
      </c>
    </row>
    <row r="1708" spans="1:5" hidden="1" x14ac:dyDescent="0.2">
      <c r="A1708" s="1">
        <v>45050</v>
      </c>
      <c r="B1708" s="2">
        <v>1251</v>
      </c>
      <c r="C1708" s="2">
        <v>257</v>
      </c>
      <c r="D1708" s="3">
        <v>4016.25</v>
      </c>
      <c r="E1708" s="4" t="s">
        <v>11</v>
      </c>
    </row>
    <row r="1709" spans="1:5" x14ac:dyDescent="0.2">
      <c r="A1709" s="1">
        <v>45050</v>
      </c>
      <c r="B1709" s="2">
        <v>1178</v>
      </c>
      <c r="C1709" s="2">
        <v>281</v>
      </c>
      <c r="D1709" s="3">
        <v>3661.65</v>
      </c>
      <c r="E1709" s="4" t="s">
        <v>12</v>
      </c>
    </row>
    <row r="1710" spans="1:5" hidden="1" x14ac:dyDescent="0.2">
      <c r="A1710" s="1">
        <v>45051</v>
      </c>
      <c r="B1710" s="2">
        <v>1234</v>
      </c>
      <c r="C1710" s="2">
        <v>257</v>
      </c>
      <c r="D1710" s="3">
        <v>2714.66</v>
      </c>
      <c r="E1710" s="4" t="s">
        <v>11</v>
      </c>
    </row>
    <row r="1711" spans="1:5" x14ac:dyDescent="0.2">
      <c r="A1711" s="1">
        <v>45051</v>
      </c>
      <c r="B1711" s="2">
        <v>1145</v>
      </c>
      <c r="C1711" s="2">
        <v>276</v>
      </c>
      <c r="D1711" s="3">
        <v>5751.17</v>
      </c>
      <c r="E1711" s="4" t="s">
        <v>12</v>
      </c>
    </row>
    <row r="1712" spans="1:5" hidden="1" x14ac:dyDescent="0.2">
      <c r="A1712" s="1">
        <v>45052</v>
      </c>
      <c r="B1712" s="2">
        <v>1174</v>
      </c>
      <c r="C1712" s="2">
        <v>240</v>
      </c>
      <c r="D1712" s="3">
        <v>3797.55</v>
      </c>
      <c r="E1712" s="4" t="s">
        <v>11</v>
      </c>
    </row>
    <row r="1713" spans="1:5" x14ac:dyDescent="0.2">
      <c r="A1713" s="1">
        <v>45052</v>
      </c>
      <c r="B1713" s="2">
        <v>1168</v>
      </c>
      <c r="C1713" s="2">
        <v>264</v>
      </c>
      <c r="D1713" s="3">
        <v>3726.94</v>
      </c>
      <c r="E1713" s="4" t="s">
        <v>12</v>
      </c>
    </row>
    <row r="1714" spans="1:5" hidden="1" x14ac:dyDescent="0.2">
      <c r="A1714" s="1">
        <v>45053</v>
      </c>
      <c r="B1714" s="2">
        <v>1268</v>
      </c>
      <c r="C1714" s="2">
        <v>259</v>
      </c>
      <c r="D1714" s="3">
        <v>3744.95</v>
      </c>
      <c r="E1714" s="4" t="s">
        <v>11</v>
      </c>
    </row>
    <row r="1715" spans="1:5" x14ac:dyDescent="0.2">
      <c r="A1715" s="1">
        <v>45053</v>
      </c>
      <c r="B1715" s="2">
        <v>1158</v>
      </c>
      <c r="C1715" s="2">
        <v>239</v>
      </c>
      <c r="D1715" s="3">
        <v>3159.69</v>
      </c>
      <c r="E1715" s="4" t="s">
        <v>12</v>
      </c>
    </row>
    <row r="1716" spans="1:5" hidden="1" x14ac:dyDescent="0.2">
      <c r="A1716" s="1">
        <v>45054</v>
      </c>
      <c r="B1716" s="2">
        <v>1222</v>
      </c>
      <c r="C1716" s="2">
        <v>227</v>
      </c>
      <c r="D1716" s="3">
        <v>3151.14</v>
      </c>
      <c r="E1716" s="4" t="s">
        <v>11</v>
      </c>
    </row>
    <row r="1717" spans="1:5" x14ac:dyDescent="0.2">
      <c r="A1717" s="1">
        <v>45054</v>
      </c>
      <c r="B1717" s="2">
        <v>1137</v>
      </c>
      <c r="C1717" s="2">
        <v>268</v>
      </c>
      <c r="D1717" s="3">
        <v>4041.28</v>
      </c>
      <c r="E1717" s="4" t="s">
        <v>12</v>
      </c>
    </row>
    <row r="1718" spans="1:5" hidden="1" x14ac:dyDescent="0.2">
      <c r="A1718" s="1">
        <v>45055</v>
      </c>
      <c r="B1718" s="2">
        <v>1209</v>
      </c>
      <c r="C1718" s="2">
        <v>234</v>
      </c>
      <c r="D1718" s="3">
        <v>3547.4</v>
      </c>
      <c r="E1718" s="4" t="s">
        <v>11</v>
      </c>
    </row>
    <row r="1719" spans="1:5" x14ac:dyDescent="0.2">
      <c r="A1719" s="1">
        <v>45055</v>
      </c>
      <c r="B1719" s="2">
        <v>1170</v>
      </c>
      <c r="C1719" s="2">
        <v>266</v>
      </c>
      <c r="D1719" s="3">
        <v>4426.7299999999996</v>
      </c>
      <c r="E1719" s="4" t="s">
        <v>12</v>
      </c>
    </row>
    <row r="1720" spans="1:5" hidden="1" x14ac:dyDescent="0.2">
      <c r="A1720" s="1">
        <v>45056</v>
      </c>
      <c r="B1720" s="2">
        <v>1182</v>
      </c>
      <c r="C1720" s="2">
        <v>234</v>
      </c>
      <c r="D1720" s="3">
        <v>3475.9</v>
      </c>
      <c r="E1720" s="4" t="s">
        <v>11</v>
      </c>
    </row>
    <row r="1721" spans="1:5" x14ac:dyDescent="0.2">
      <c r="A1721" s="1">
        <v>45056</v>
      </c>
      <c r="B1721" s="2">
        <v>1097</v>
      </c>
      <c r="C1721" s="2">
        <v>239</v>
      </c>
      <c r="D1721" s="3">
        <v>4727.08</v>
      </c>
      <c r="E1721" s="4" t="s">
        <v>12</v>
      </c>
    </row>
    <row r="1722" spans="1:5" hidden="1" x14ac:dyDescent="0.2">
      <c r="A1722" s="1">
        <v>45057</v>
      </c>
      <c r="B1722" s="2">
        <v>1146</v>
      </c>
      <c r="C1722" s="2">
        <v>211</v>
      </c>
      <c r="D1722" s="3">
        <v>3302.05</v>
      </c>
      <c r="E1722" s="4" t="s">
        <v>11</v>
      </c>
    </row>
    <row r="1723" spans="1:5" x14ac:dyDescent="0.2">
      <c r="A1723" s="1">
        <v>45057</v>
      </c>
      <c r="B1723" s="2">
        <v>1088</v>
      </c>
      <c r="C1723" s="2">
        <v>248</v>
      </c>
      <c r="D1723" s="3">
        <v>4255.96</v>
      </c>
      <c r="E1723" s="4" t="s">
        <v>12</v>
      </c>
    </row>
    <row r="1724" spans="1:5" hidden="1" x14ac:dyDescent="0.2">
      <c r="A1724" s="1">
        <v>45058</v>
      </c>
      <c r="B1724" s="2">
        <v>1210</v>
      </c>
      <c r="C1724" s="2">
        <v>243</v>
      </c>
      <c r="D1724" s="3">
        <v>3803.92</v>
      </c>
      <c r="E1724" s="4" t="s">
        <v>11</v>
      </c>
    </row>
    <row r="1725" spans="1:5" x14ac:dyDescent="0.2">
      <c r="A1725" s="1">
        <v>45058</v>
      </c>
      <c r="B1725" s="2">
        <v>1156</v>
      </c>
      <c r="C1725" s="2">
        <v>254</v>
      </c>
      <c r="D1725" s="3">
        <v>3639.76</v>
      </c>
      <c r="E1725" s="4" t="s">
        <v>12</v>
      </c>
    </row>
    <row r="1726" spans="1:5" hidden="1" x14ac:dyDescent="0.2">
      <c r="A1726" s="1">
        <v>45059</v>
      </c>
      <c r="B1726" s="2">
        <v>1262</v>
      </c>
      <c r="C1726" s="2">
        <v>244</v>
      </c>
      <c r="D1726" s="3">
        <v>3709.64</v>
      </c>
      <c r="E1726" s="4" t="s">
        <v>11</v>
      </c>
    </row>
    <row r="1727" spans="1:5" x14ac:dyDescent="0.2">
      <c r="A1727" s="1">
        <v>45059</v>
      </c>
      <c r="B1727" s="2">
        <v>1192</v>
      </c>
      <c r="C1727" s="2">
        <v>294</v>
      </c>
      <c r="D1727" s="3">
        <v>5584.83</v>
      </c>
      <c r="E1727" s="4" t="s">
        <v>12</v>
      </c>
    </row>
    <row r="1728" spans="1:5" hidden="1" x14ac:dyDescent="0.2">
      <c r="A1728" s="1">
        <v>45060</v>
      </c>
      <c r="B1728" s="2">
        <v>1177</v>
      </c>
      <c r="C1728" s="2">
        <v>226</v>
      </c>
      <c r="D1728" s="3">
        <v>4348.6899999999996</v>
      </c>
      <c r="E1728" s="4" t="s">
        <v>11</v>
      </c>
    </row>
    <row r="1729" spans="1:5" x14ac:dyDescent="0.2">
      <c r="A1729" s="1">
        <v>45060</v>
      </c>
      <c r="B1729" s="2">
        <v>1147</v>
      </c>
      <c r="C1729" s="2">
        <v>289</v>
      </c>
      <c r="D1729" s="3">
        <v>5189.2</v>
      </c>
      <c r="E1729" s="4" t="s">
        <v>12</v>
      </c>
    </row>
    <row r="1730" spans="1:5" hidden="1" x14ac:dyDescent="0.2">
      <c r="A1730" s="1">
        <v>45061</v>
      </c>
      <c r="B1730" s="2">
        <v>1192</v>
      </c>
      <c r="C1730" s="2">
        <v>234</v>
      </c>
      <c r="D1730" s="3">
        <v>2975.57</v>
      </c>
      <c r="E1730" s="4" t="s">
        <v>11</v>
      </c>
    </row>
    <row r="1731" spans="1:5" x14ac:dyDescent="0.2">
      <c r="A1731" s="1">
        <v>45061</v>
      </c>
      <c r="B1731" s="2">
        <v>1151</v>
      </c>
      <c r="C1731" s="2">
        <v>270</v>
      </c>
      <c r="D1731" s="3">
        <v>4352.3500000000004</v>
      </c>
      <c r="E1731" s="4" t="s">
        <v>12</v>
      </c>
    </row>
    <row r="1732" spans="1:5" hidden="1" x14ac:dyDescent="0.2">
      <c r="A1732" s="1">
        <v>45062</v>
      </c>
      <c r="B1732" s="2">
        <v>1228</v>
      </c>
      <c r="C1732" s="2">
        <v>239</v>
      </c>
      <c r="D1732" s="3">
        <v>3428.88</v>
      </c>
      <c r="E1732" s="4" t="s">
        <v>11</v>
      </c>
    </row>
    <row r="1733" spans="1:5" x14ac:dyDescent="0.2">
      <c r="A1733" s="1">
        <v>45062</v>
      </c>
      <c r="B1733" s="2">
        <v>1139</v>
      </c>
      <c r="C1733" s="2">
        <v>275</v>
      </c>
      <c r="D1733" s="3">
        <v>5491.96</v>
      </c>
      <c r="E1733" s="4" t="s">
        <v>12</v>
      </c>
    </row>
    <row r="1734" spans="1:5" hidden="1" x14ac:dyDescent="0.2">
      <c r="A1734" s="1">
        <v>45063</v>
      </c>
      <c r="B1734" s="2">
        <v>1241</v>
      </c>
      <c r="C1734" s="2">
        <v>238</v>
      </c>
      <c r="D1734" s="3">
        <v>2883.65</v>
      </c>
      <c r="E1734" s="4" t="s">
        <v>11</v>
      </c>
    </row>
    <row r="1735" spans="1:5" x14ac:dyDescent="0.2">
      <c r="A1735" s="1">
        <v>45063</v>
      </c>
      <c r="B1735" s="2">
        <v>1172</v>
      </c>
      <c r="C1735" s="2">
        <v>271</v>
      </c>
      <c r="D1735" s="3">
        <v>4848.6899999999996</v>
      </c>
      <c r="E1735" s="4" t="s">
        <v>12</v>
      </c>
    </row>
    <row r="1736" spans="1:5" hidden="1" x14ac:dyDescent="0.2">
      <c r="A1736" s="1">
        <v>45064</v>
      </c>
      <c r="B1736" s="2">
        <v>1202</v>
      </c>
      <c r="C1736" s="2">
        <v>232</v>
      </c>
      <c r="D1736" s="3">
        <v>3283.41</v>
      </c>
      <c r="E1736" s="4" t="s">
        <v>11</v>
      </c>
    </row>
    <row r="1737" spans="1:5" x14ac:dyDescent="0.2">
      <c r="A1737" s="1">
        <v>45064</v>
      </c>
      <c r="B1737" s="2">
        <v>1181</v>
      </c>
      <c r="C1737" s="2">
        <v>254</v>
      </c>
      <c r="D1737" s="3">
        <v>3815.51</v>
      </c>
      <c r="E1737" s="4" t="s">
        <v>12</v>
      </c>
    </row>
    <row r="1738" spans="1:5" hidden="1" x14ac:dyDescent="0.2">
      <c r="A1738" s="1">
        <v>45065</v>
      </c>
      <c r="B1738" s="2">
        <v>1152</v>
      </c>
      <c r="C1738" s="2">
        <v>236</v>
      </c>
      <c r="D1738" s="3">
        <v>3123.96</v>
      </c>
      <c r="E1738" s="4" t="s">
        <v>11</v>
      </c>
    </row>
    <row r="1739" spans="1:5" x14ac:dyDescent="0.2">
      <c r="A1739" s="1">
        <v>45065</v>
      </c>
      <c r="B1739" s="2">
        <v>1168</v>
      </c>
      <c r="C1739" s="2">
        <v>307</v>
      </c>
      <c r="D1739" s="3">
        <v>4967.45</v>
      </c>
      <c r="E1739" s="4" t="s">
        <v>12</v>
      </c>
    </row>
    <row r="1740" spans="1:5" hidden="1" x14ac:dyDescent="0.2">
      <c r="A1740" s="1">
        <v>45066</v>
      </c>
      <c r="B1740" s="2">
        <v>1221</v>
      </c>
      <c r="C1740" s="2">
        <v>233</v>
      </c>
      <c r="D1740" s="3">
        <v>2529.2800000000002</v>
      </c>
      <c r="E1740" s="4" t="s">
        <v>11</v>
      </c>
    </row>
    <row r="1741" spans="1:5" x14ac:dyDescent="0.2">
      <c r="A1741" s="1">
        <v>45066</v>
      </c>
      <c r="B1741" s="2">
        <v>1192</v>
      </c>
      <c r="C1741" s="2">
        <v>270</v>
      </c>
      <c r="D1741" s="3">
        <v>4403.18</v>
      </c>
      <c r="E1741" s="4" t="s">
        <v>12</v>
      </c>
    </row>
    <row r="1742" spans="1:5" hidden="1" x14ac:dyDescent="0.2">
      <c r="A1742" s="1">
        <v>45067</v>
      </c>
      <c r="B1742" s="2">
        <v>1238</v>
      </c>
      <c r="C1742" s="2">
        <v>252</v>
      </c>
      <c r="D1742" s="3">
        <v>2779.72</v>
      </c>
      <c r="E1742" s="4" t="s">
        <v>11</v>
      </c>
    </row>
    <row r="1743" spans="1:5" x14ac:dyDescent="0.2">
      <c r="A1743" s="1">
        <v>45067</v>
      </c>
      <c r="B1743" s="2">
        <v>1112</v>
      </c>
      <c r="C1743" s="2">
        <v>237</v>
      </c>
      <c r="D1743" s="3">
        <v>3665.38</v>
      </c>
      <c r="E1743" s="4" t="s">
        <v>12</v>
      </c>
    </row>
    <row r="1744" spans="1:5" hidden="1" x14ac:dyDescent="0.2">
      <c r="A1744" s="1">
        <v>45068</v>
      </c>
      <c r="B1744" s="2">
        <v>1111</v>
      </c>
      <c r="C1744" s="2">
        <v>221</v>
      </c>
      <c r="D1744" s="3">
        <v>3824.85</v>
      </c>
      <c r="E1744" s="4" t="s">
        <v>11</v>
      </c>
    </row>
    <row r="1745" spans="1:5" x14ac:dyDescent="0.2">
      <c r="A1745" s="1">
        <v>45068</v>
      </c>
      <c r="B1745" s="2">
        <v>1167</v>
      </c>
      <c r="C1745" s="2">
        <v>274</v>
      </c>
      <c r="D1745" s="3">
        <v>5021.09</v>
      </c>
      <c r="E1745" s="4" t="s">
        <v>12</v>
      </c>
    </row>
    <row r="1746" spans="1:5" hidden="1" x14ac:dyDescent="0.2">
      <c r="A1746" s="1">
        <v>45069</v>
      </c>
      <c r="B1746" s="2">
        <v>1197</v>
      </c>
      <c r="C1746" s="2">
        <v>228</v>
      </c>
      <c r="D1746" s="3">
        <v>2892.22</v>
      </c>
      <c r="E1746" s="4" t="s">
        <v>11</v>
      </c>
    </row>
    <row r="1747" spans="1:5" x14ac:dyDescent="0.2">
      <c r="A1747" s="1">
        <v>45069</v>
      </c>
      <c r="B1747" s="2">
        <v>1209</v>
      </c>
      <c r="C1747" s="2">
        <v>281</v>
      </c>
      <c r="D1747" s="3">
        <v>3382.77</v>
      </c>
      <c r="E1747" s="4" t="s">
        <v>12</v>
      </c>
    </row>
    <row r="1748" spans="1:5" hidden="1" x14ac:dyDescent="0.2">
      <c r="A1748" s="1">
        <v>45070</v>
      </c>
      <c r="B1748" s="2">
        <v>1186</v>
      </c>
      <c r="C1748" s="2">
        <v>232</v>
      </c>
      <c r="D1748" s="3">
        <v>3067.57</v>
      </c>
      <c r="E1748" s="4" t="s">
        <v>11</v>
      </c>
    </row>
    <row r="1749" spans="1:5" x14ac:dyDescent="0.2">
      <c r="A1749" s="1">
        <v>45070</v>
      </c>
      <c r="B1749" s="2">
        <v>1162</v>
      </c>
      <c r="C1749" s="2">
        <v>289</v>
      </c>
      <c r="D1749" s="3">
        <v>4531.67</v>
      </c>
      <c r="E1749" s="4" t="s">
        <v>12</v>
      </c>
    </row>
    <row r="1750" spans="1:5" hidden="1" x14ac:dyDescent="0.2">
      <c r="A1750" s="1">
        <v>45071</v>
      </c>
      <c r="B1750" s="2">
        <v>1181</v>
      </c>
      <c r="C1750" s="2">
        <v>218</v>
      </c>
      <c r="D1750" s="3">
        <v>3124.6</v>
      </c>
      <c r="E1750" s="4" t="s">
        <v>11</v>
      </c>
    </row>
    <row r="1751" spans="1:5" x14ac:dyDescent="0.2">
      <c r="A1751" s="1">
        <v>45071</v>
      </c>
      <c r="B1751" s="2">
        <v>1205</v>
      </c>
      <c r="C1751" s="2">
        <v>254</v>
      </c>
      <c r="D1751" s="3">
        <v>4513.71</v>
      </c>
      <c r="E1751" s="4" t="s">
        <v>12</v>
      </c>
    </row>
    <row r="1752" spans="1:5" hidden="1" x14ac:dyDescent="0.2">
      <c r="A1752" s="1">
        <v>45072</v>
      </c>
      <c r="B1752" s="2">
        <v>1175</v>
      </c>
      <c r="C1752" s="2">
        <v>246</v>
      </c>
      <c r="D1752" s="3">
        <v>3555.68</v>
      </c>
      <c r="E1752" s="4" t="s">
        <v>11</v>
      </c>
    </row>
    <row r="1753" spans="1:5" x14ac:dyDescent="0.2">
      <c r="A1753" s="1">
        <v>45072</v>
      </c>
      <c r="B1753" s="2">
        <v>1230</v>
      </c>
      <c r="C1753" s="2">
        <v>265</v>
      </c>
      <c r="D1753" s="3">
        <v>4550.0600000000004</v>
      </c>
      <c r="E1753" s="4" t="s">
        <v>12</v>
      </c>
    </row>
    <row r="1754" spans="1:5" hidden="1" x14ac:dyDescent="0.2">
      <c r="A1754" s="1">
        <v>45073</v>
      </c>
      <c r="B1754" s="2">
        <v>1198</v>
      </c>
      <c r="C1754" s="2">
        <v>212</v>
      </c>
      <c r="D1754" s="3">
        <v>2494.3200000000002</v>
      </c>
      <c r="E1754" s="4" t="s">
        <v>11</v>
      </c>
    </row>
    <row r="1755" spans="1:5" x14ac:dyDescent="0.2">
      <c r="A1755" s="1">
        <v>45073</v>
      </c>
      <c r="B1755" s="2">
        <v>1232</v>
      </c>
      <c r="C1755" s="2">
        <v>285</v>
      </c>
      <c r="D1755" s="3">
        <v>4757.3999999999996</v>
      </c>
      <c r="E1755" s="4" t="s">
        <v>12</v>
      </c>
    </row>
    <row r="1756" spans="1:5" hidden="1" x14ac:dyDescent="0.2">
      <c r="A1756" s="1">
        <v>45074</v>
      </c>
      <c r="B1756" s="2">
        <v>1191</v>
      </c>
      <c r="C1756" s="2">
        <v>223</v>
      </c>
      <c r="D1756" s="3">
        <v>3624.95</v>
      </c>
      <c r="E1756" s="4" t="s">
        <v>11</v>
      </c>
    </row>
    <row r="1757" spans="1:5" x14ac:dyDescent="0.2">
      <c r="A1757" s="1">
        <v>45074</v>
      </c>
      <c r="B1757" s="2">
        <v>1095</v>
      </c>
      <c r="C1757" s="2">
        <v>237</v>
      </c>
      <c r="D1757" s="3">
        <v>4581.04</v>
      </c>
      <c r="E1757" s="4" t="s">
        <v>12</v>
      </c>
    </row>
    <row r="1758" spans="1:5" hidden="1" x14ac:dyDescent="0.2">
      <c r="A1758" s="1">
        <v>45075</v>
      </c>
      <c r="B1758" s="2">
        <v>1174</v>
      </c>
      <c r="C1758" s="2">
        <v>215</v>
      </c>
      <c r="D1758" s="3">
        <v>3303.3</v>
      </c>
      <c r="E1758" s="4" t="s">
        <v>11</v>
      </c>
    </row>
    <row r="1759" spans="1:5" x14ac:dyDescent="0.2">
      <c r="A1759" s="1">
        <v>45075</v>
      </c>
      <c r="B1759" s="2">
        <v>1108</v>
      </c>
      <c r="C1759" s="2">
        <v>250</v>
      </c>
      <c r="D1759" s="3">
        <v>3482.02</v>
      </c>
      <c r="E1759" s="4" t="s">
        <v>12</v>
      </c>
    </row>
    <row r="1760" spans="1:5" hidden="1" x14ac:dyDescent="0.2">
      <c r="A1760" s="1">
        <v>45076</v>
      </c>
      <c r="B1760" s="2">
        <v>1202</v>
      </c>
      <c r="C1760" s="2">
        <v>234</v>
      </c>
      <c r="D1760" s="3">
        <v>3157.5</v>
      </c>
      <c r="E1760" s="4" t="s">
        <v>11</v>
      </c>
    </row>
    <row r="1761" spans="1:5" x14ac:dyDescent="0.2">
      <c r="A1761" s="1">
        <v>45076</v>
      </c>
      <c r="B1761" s="2">
        <v>1180</v>
      </c>
      <c r="C1761" s="2">
        <v>257</v>
      </c>
      <c r="D1761" s="3">
        <v>4053.61</v>
      </c>
      <c r="E1761" s="4" t="s">
        <v>12</v>
      </c>
    </row>
    <row r="1762" spans="1:5" hidden="1" x14ac:dyDescent="0.2">
      <c r="A1762" s="1">
        <v>45077</v>
      </c>
      <c r="B1762" s="2">
        <v>1247</v>
      </c>
      <c r="C1762" s="2">
        <v>227</v>
      </c>
      <c r="D1762" s="3">
        <v>3191.28</v>
      </c>
      <c r="E1762" s="4" t="s">
        <v>11</v>
      </c>
    </row>
    <row r="1763" spans="1:5" x14ac:dyDescent="0.2">
      <c r="A1763" s="1">
        <v>45077</v>
      </c>
      <c r="B1763" s="2">
        <v>1160</v>
      </c>
      <c r="C1763" s="2">
        <v>257</v>
      </c>
      <c r="D1763" s="3">
        <v>4688.29</v>
      </c>
      <c r="E1763" s="4" t="s">
        <v>12</v>
      </c>
    </row>
    <row r="1764" spans="1:5" hidden="1" x14ac:dyDescent="0.2">
      <c r="A1764" s="1">
        <v>45078</v>
      </c>
      <c r="B1764" s="2">
        <v>1200</v>
      </c>
      <c r="C1764" s="2">
        <v>222</v>
      </c>
      <c r="D1764" s="3">
        <v>3577.49</v>
      </c>
      <c r="E1764" s="4" t="s">
        <v>11</v>
      </c>
    </row>
    <row r="1765" spans="1:5" x14ac:dyDescent="0.2">
      <c r="A1765" s="1">
        <v>45078</v>
      </c>
      <c r="B1765" s="2">
        <v>1181</v>
      </c>
      <c r="C1765" s="2">
        <v>257</v>
      </c>
      <c r="D1765" s="3">
        <v>4436.96</v>
      </c>
      <c r="E1765" s="4" t="s">
        <v>12</v>
      </c>
    </row>
    <row r="1766" spans="1:5" hidden="1" x14ac:dyDescent="0.2">
      <c r="A1766" s="1">
        <v>45079</v>
      </c>
      <c r="B1766" s="2">
        <v>1251</v>
      </c>
      <c r="C1766" s="2">
        <v>217</v>
      </c>
      <c r="D1766" s="3">
        <v>3301.74</v>
      </c>
      <c r="E1766" s="4" t="s">
        <v>11</v>
      </c>
    </row>
    <row r="1767" spans="1:5" x14ac:dyDescent="0.2">
      <c r="A1767" s="1">
        <v>45079</v>
      </c>
      <c r="B1767" s="2">
        <v>1164</v>
      </c>
      <c r="C1767" s="2">
        <v>249</v>
      </c>
      <c r="D1767" s="3">
        <v>4481.1099999999997</v>
      </c>
      <c r="E1767" s="4" t="s">
        <v>12</v>
      </c>
    </row>
    <row r="1768" spans="1:5" hidden="1" x14ac:dyDescent="0.2">
      <c r="A1768" s="1">
        <v>45080</v>
      </c>
      <c r="B1768" s="2">
        <v>1200</v>
      </c>
      <c r="C1768" s="2">
        <v>236</v>
      </c>
      <c r="D1768" s="3">
        <v>3284.94</v>
      </c>
      <c r="E1768" s="4" t="s">
        <v>11</v>
      </c>
    </row>
    <row r="1769" spans="1:5" x14ac:dyDescent="0.2">
      <c r="A1769" s="1">
        <v>45080</v>
      </c>
      <c r="B1769" s="2">
        <v>1111</v>
      </c>
      <c r="C1769" s="2">
        <v>297</v>
      </c>
      <c r="D1769" s="3">
        <v>4275.92</v>
      </c>
      <c r="E1769" s="4" t="s">
        <v>12</v>
      </c>
    </row>
    <row r="1770" spans="1:5" hidden="1" x14ac:dyDescent="0.2">
      <c r="A1770" s="1">
        <v>45081</v>
      </c>
      <c r="B1770" s="2">
        <v>1176</v>
      </c>
      <c r="C1770" s="2">
        <v>243</v>
      </c>
      <c r="D1770" s="3">
        <v>3947.75</v>
      </c>
      <c r="E1770" s="4" t="s">
        <v>11</v>
      </c>
    </row>
    <row r="1771" spans="1:5" x14ac:dyDescent="0.2">
      <c r="A1771" s="1">
        <v>45081</v>
      </c>
      <c r="B1771" s="2">
        <v>1123</v>
      </c>
      <c r="C1771" s="2">
        <v>229</v>
      </c>
      <c r="D1771" s="3">
        <v>3957.83</v>
      </c>
      <c r="E1771" s="4" t="s">
        <v>12</v>
      </c>
    </row>
    <row r="1772" spans="1:5" hidden="1" x14ac:dyDescent="0.2">
      <c r="A1772" s="1">
        <v>45082</v>
      </c>
      <c r="B1772" s="2">
        <v>1220</v>
      </c>
      <c r="C1772" s="2">
        <v>233</v>
      </c>
      <c r="D1772" s="3">
        <v>3392.14</v>
      </c>
      <c r="E1772" s="4" t="s">
        <v>11</v>
      </c>
    </row>
    <row r="1773" spans="1:5" x14ac:dyDescent="0.2">
      <c r="A1773" s="1">
        <v>45082</v>
      </c>
      <c r="B1773" s="2">
        <v>1160</v>
      </c>
      <c r="C1773" s="2">
        <v>258</v>
      </c>
      <c r="D1773" s="3">
        <v>3440.34</v>
      </c>
      <c r="E1773" s="4" t="s">
        <v>12</v>
      </c>
    </row>
    <row r="1774" spans="1:5" hidden="1" x14ac:dyDescent="0.2">
      <c r="A1774" s="1">
        <v>45083</v>
      </c>
      <c r="B1774" s="2">
        <v>1148</v>
      </c>
      <c r="C1774" s="2">
        <v>222</v>
      </c>
      <c r="D1774" s="3">
        <v>3137.91</v>
      </c>
      <c r="E1774" s="4" t="s">
        <v>11</v>
      </c>
    </row>
    <row r="1775" spans="1:5" x14ac:dyDescent="0.2">
      <c r="A1775" s="1">
        <v>45083</v>
      </c>
      <c r="B1775" s="2">
        <v>1204</v>
      </c>
      <c r="C1775" s="2">
        <v>275</v>
      </c>
      <c r="D1775" s="3">
        <v>5602.15</v>
      </c>
      <c r="E1775" s="4" t="s">
        <v>12</v>
      </c>
    </row>
    <row r="1776" spans="1:5" hidden="1" x14ac:dyDescent="0.2">
      <c r="A1776" s="1">
        <v>45084</v>
      </c>
      <c r="B1776" s="2">
        <v>1196</v>
      </c>
      <c r="C1776" s="2">
        <v>219</v>
      </c>
      <c r="D1776" s="3">
        <v>3992.75</v>
      </c>
      <c r="E1776" s="4" t="s">
        <v>11</v>
      </c>
    </row>
    <row r="1777" spans="1:5" x14ac:dyDescent="0.2">
      <c r="A1777" s="1">
        <v>45084</v>
      </c>
      <c r="B1777" s="2">
        <v>1187</v>
      </c>
      <c r="C1777" s="2">
        <v>277</v>
      </c>
      <c r="D1777" s="3">
        <v>3897.45</v>
      </c>
      <c r="E1777" s="4" t="s">
        <v>12</v>
      </c>
    </row>
    <row r="1778" spans="1:5" hidden="1" x14ac:dyDescent="0.2">
      <c r="A1778" s="1">
        <v>45085</v>
      </c>
      <c r="B1778" s="2">
        <v>1174</v>
      </c>
      <c r="C1778" s="2">
        <v>210</v>
      </c>
      <c r="D1778" s="3">
        <v>4568.5</v>
      </c>
      <c r="E1778" s="4" t="s">
        <v>11</v>
      </c>
    </row>
    <row r="1779" spans="1:5" x14ac:dyDescent="0.2">
      <c r="A1779" s="1">
        <v>45085</v>
      </c>
      <c r="B1779" s="2">
        <v>1112</v>
      </c>
      <c r="C1779" s="2">
        <v>263</v>
      </c>
      <c r="D1779" s="3">
        <v>4563.84</v>
      </c>
      <c r="E1779" s="4" t="s">
        <v>12</v>
      </c>
    </row>
    <row r="1780" spans="1:5" hidden="1" x14ac:dyDescent="0.2">
      <c r="A1780" s="1">
        <v>45086</v>
      </c>
      <c r="B1780" s="2">
        <v>1233</v>
      </c>
      <c r="C1780" s="2">
        <v>235</v>
      </c>
      <c r="D1780" s="3">
        <v>3373.11</v>
      </c>
      <c r="E1780" s="4" t="s">
        <v>11</v>
      </c>
    </row>
    <row r="1781" spans="1:5" x14ac:dyDescent="0.2">
      <c r="A1781" s="1">
        <v>45086</v>
      </c>
      <c r="B1781" s="2">
        <v>1172</v>
      </c>
      <c r="C1781" s="2">
        <v>280</v>
      </c>
      <c r="D1781" s="3">
        <v>4630.53</v>
      </c>
      <c r="E1781" s="4" t="s">
        <v>12</v>
      </c>
    </row>
    <row r="1782" spans="1:5" hidden="1" x14ac:dyDescent="0.2">
      <c r="A1782" s="1">
        <v>45087</v>
      </c>
      <c r="B1782" s="2">
        <v>1199</v>
      </c>
      <c r="C1782" s="2">
        <v>220</v>
      </c>
      <c r="D1782" s="3">
        <v>2969.68</v>
      </c>
      <c r="E1782" s="4" t="s">
        <v>11</v>
      </c>
    </row>
    <row r="1783" spans="1:5" x14ac:dyDescent="0.2">
      <c r="A1783" s="1">
        <v>45087</v>
      </c>
      <c r="B1783" s="2">
        <v>1162</v>
      </c>
      <c r="C1783" s="2">
        <v>277</v>
      </c>
      <c r="D1783" s="3">
        <v>4871.16</v>
      </c>
      <c r="E1783" s="4" t="s">
        <v>12</v>
      </c>
    </row>
    <row r="1784" spans="1:5" hidden="1" x14ac:dyDescent="0.2">
      <c r="A1784" s="1">
        <v>45088</v>
      </c>
      <c r="B1784" s="2">
        <v>1172</v>
      </c>
      <c r="C1784" s="2">
        <v>242</v>
      </c>
      <c r="D1784" s="3">
        <v>4820.58</v>
      </c>
      <c r="E1784" s="4" t="s">
        <v>11</v>
      </c>
    </row>
    <row r="1785" spans="1:5" x14ac:dyDescent="0.2">
      <c r="A1785" s="1">
        <v>45088</v>
      </c>
      <c r="B1785" s="2">
        <v>1130</v>
      </c>
      <c r="C1785" s="2">
        <v>261</v>
      </c>
      <c r="D1785" s="3">
        <v>4583.9399999999996</v>
      </c>
      <c r="E1785" s="4" t="s">
        <v>12</v>
      </c>
    </row>
    <row r="1786" spans="1:5" hidden="1" x14ac:dyDescent="0.2">
      <c r="A1786" s="1">
        <v>45089</v>
      </c>
      <c r="B1786" s="2">
        <v>1225</v>
      </c>
      <c r="C1786" s="2">
        <v>237</v>
      </c>
      <c r="D1786" s="3">
        <v>3079.07</v>
      </c>
      <c r="E1786" s="4" t="s">
        <v>11</v>
      </c>
    </row>
    <row r="1787" spans="1:5" x14ac:dyDescent="0.2">
      <c r="A1787" s="1">
        <v>45089</v>
      </c>
      <c r="B1787" s="2">
        <v>1104</v>
      </c>
      <c r="C1787" s="2">
        <v>256</v>
      </c>
      <c r="D1787" s="3">
        <v>4579.53</v>
      </c>
      <c r="E1787" s="4" t="s">
        <v>12</v>
      </c>
    </row>
    <row r="1788" spans="1:5" hidden="1" x14ac:dyDescent="0.2">
      <c r="A1788" s="1">
        <v>45090</v>
      </c>
      <c r="B1788" s="2">
        <v>1215</v>
      </c>
      <c r="C1788" s="2">
        <v>242</v>
      </c>
      <c r="D1788" s="3">
        <v>4057.08</v>
      </c>
      <c r="E1788" s="4" t="s">
        <v>11</v>
      </c>
    </row>
    <row r="1789" spans="1:5" x14ac:dyDescent="0.2">
      <c r="A1789" s="1">
        <v>45090</v>
      </c>
      <c r="B1789" s="2">
        <v>1153</v>
      </c>
      <c r="C1789" s="2">
        <v>282</v>
      </c>
      <c r="D1789" s="3">
        <v>5091.5</v>
      </c>
      <c r="E1789" s="4" t="s">
        <v>12</v>
      </c>
    </row>
    <row r="1790" spans="1:5" hidden="1" x14ac:dyDescent="0.2">
      <c r="A1790" s="1">
        <v>45091</v>
      </c>
      <c r="B1790" s="2">
        <v>1191</v>
      </c>
      <c r="C1790" s="2">
        <v>247</v>
      </c>
      <c r="D1790" s="3">
        <v>4115.76</v>
      </c>
      <c r="E1790" s="4" t="s">
        <v>11</v>
      </c>
    </row>
    <row r="1791" spans="1:5" x14ac:dyDescent="0.2">
      <c r="A1791" s="1">
        <v>45091</v>
      </c>
      <c r="B1791" s="2">
        <v>1230</v>
      </c>
      <c r="C1791" s="2">
        <v>297</v>
      </c>
      <c r="D1791" s="3">
        <v>5226.07</v>
      </c>
      <c r="E1791" s="4" t="s">
        <v>12</v>
      </c>
    </row>
    <row r="1792" spans="1:5" hidden="1" x14ac:dyDescent="0.2">
      <c r="A1792" s="1">
        <v>45092</v>
      </c>
      <c r="B1792" s="2">
        <v>1183</v>
      </c>
      <c r="C1792" s="2">
        <v>234</v>
      </c>
      <c r="D1792" s="3">
        <v>3623.29</v>
      </c>
      <c r="E1792" s="4" t="s">
        <v>11</v>
      </c>
    </row>
    <row r="1793" spans="1:5" x14ac:dyDescent="0.2">
      <c r="A1793" s="1">
        <v>45092</v>
      </c>
      <c r="B1793" s="2">
        <v>1174</v>
      </c>
      <c r="C1793" s="2">
        <v>293</v>
      </c>
      <c r="D1793" s="3">
        <v>4189.33</v>
      </c>
      <c r="E1793" s="4" t="s">
        <v>12</v>
      </c>
    </row>
    <row r="1794" spans="1:5" hidden="1" x14ac:dyDescent="0.2">
      <c r="A1794" s="1">
        <v>45093</v>
      </c>
      <c r="B1794" s="2">
        <v>1179</v>
      </c>
      <c r="C1794" s="2">
        <v>231</v>
      </c>
      <c r="D1794" s="3">
        <v>4300.13</v>
      </c>
      <c r="E1794" s="4" t="s">
        <v>11</v>
      </c>
    </row>
    <row r="1795" spans="1:5" x14ac:dyDescent="0.2">
      <c r="A1795" s="1">
        <v>45093</v>
      </c>
      <c r="B1795" s="2">
        <v>1176</v>
      </c>
      <c r="C1795" s="2">
        <v>250</v>
      </c>
      <c r="D1795" s="3">
        <v>4820.71</v>
      </c>
      <c r="E1795" s="4" t="s">
        <v>12</v>
      </c>
    </row>
    <row r="1796" spans="1:5" hidden="1" x14ac:dyDescent="0.2">
      <c r="A1796" s="1">
        <v>45094</v>
      </c>
      <c r="B1796" s="2">
        <v>1144</v>
      </c>
      <c r="C1796" s="2">
        <v>201</v>
      </c>
      <c r="D1796" s="3">
        <v>2928.49</v>
      </c>
      <c r="E1796" s="4" t="s">
        <v>11</v>
      </c>
    </row>
    <row r="1797" spans="1:5" x14ac:dyDescent="0.2">
      <c r="A1797" s="1">
        <v>45094</v>
      </c>
      <c r="B1797" s="2">
        <v>1212</v>
      </c>
      <c r="C1797" s="2">
        <v>281</v>
      </c>
      <c r="D1797" s="3">
        <v>5138.59</v>
      </c>
      <c r="E1797" s="4" t="s">
        <v>12</v>
      </c>
    </row>
    <row r="1798" spans="1:5" hidden="1" x14ac:dyDescent="0.2">
      <c r="A1798" s="1">
        <v>45095</v>
      </c>
      <c r="B1798" s="2">
        <v>1179</v>
      </c>
      <c r="C1798" s="2">
        <v>250</v>
      </c>
      <c r="D1798" s="3">
        <v>3824.39</v>
      </c>
      <c r="E1798" s="4" t="s">
        <v>11</v>
      </c>
    </row>
    <row r="1799" spans="1:5" x14ac:dyDescent="0.2">
      <c r="A1799" s="1">
        <v>45095</v>
      </c>
      <c r="B1799" s="2">
        <v>1141</v>
      </c>
      <c r="C1799" s="2">
        <v>267</v>
      </c>
      <c r="D1799" s="3">
        <v>4180.55</v>
      </c>
      <c r="E1799" s="4" t="s">
        <v>12</v>
      </c>
    </row>
    <row r="1800" spans="1:5" hidden="1" x14ac:dyDescent="0.2">
      <c r="A1800" s="1">
        <v>45096</v>
      </c>
      <c r="B1800" s="2">
        <v>1203</v>
      </c>
      <c r="C1800" s="2">
        <v>207</v>
      </c>
      <c r="D1800" s="3">
        <v>2949.16</v>
      </c>
      <c r="E1800" s="4" t="s">
        <v>11</v>
      </c>
    </row>
    <row r="1801" spans="1:5" x14ac:dyDescent="0.2">
      <c r="A1801" s="1">
        <v>45096</v>
      </c>
      <c r="B1801" s="2">
        <v>1179</v>
      </c>
      <c r="C1801" s="2">
        <v>281</v>
      </c>
      <c r="D1801" s="3">
        <v>4673.63</v>
      </c>
      <c r="E1801" s="4" t="s">
        <v>12</v>
      </c>
    </row>
    <row r="1802" spans="1:5" hidden="1" x14ac:dyDescent="0.2">
      <c r="A1802" s="1">
        <v>45097</v>
      </c>
      <c r="B1802" s="2">
        <v>1243</v>
      </c>
      <c r="C1802" s="2">
        <v>242</v>
      </c>
      <c r="D1802" s="3">
        <v>3602.51</v>
      </c>
      <c r="E1802" s="4" t="s">
        <v>11</v>
      </c>
    </row>
    <row r="1803" spans="1:5" x14ac:dyDescent="0.2">
      <c r="A1803" s="1">
        <v>45097</v>
      </c>
      <c r="B1803" s="2">
        <v>1117</v>
      </c>
      <c r="C1803" s="2">
        <v>268</v>
      </c>
      <c r="D1803" s="3">
        <v>3810.73</v>
      </c>
      <c r="E1803" s="4" t="s">
        <v>12</v>
      </c>
    </row>
    <row r="1804" spans="1:5" hidden="1" x14ac:dyDescent="0.2">
      <c r="A1804" s="1">
        <v>45098</v>
      </c>
      <c r="B1804" s="2">
        <v>1215</v>
      </c>
      <c r="C1804" s="2">
        <v>233</v>
      </c>
      <c r="D1804" s="3">
        <v>3315.11</v>
      </c>
      <c r="E1804" s="4" t="s">
        <v>11</v>
      </c>
    </row>
    <row r="1805" spans="1:5" x14ac:dyDescent="0.2">
      <c r="A1805" s="1">
        <v>45098</v>
      </c>
      <c r="B1805" s="2">
        <v>1139</v>
      </c>
      <c r="C1805" s="2">
        <v>234</v>
      </c>
      <c r="D1805" s="3">
        <v>3315.43</v>
      </c>
      <c r="E1805" s="4" t="s">
        <v>12</v>
      </c>
    </row>
    <row r="1806" spans="1:5" hidden="1" x14ac:dyDescent="0.2">
      <c r="A1806" s="1">
        <v>45099</v>
      </c>
      <c r="B1806" s="2">
        <v>1156</v>
      </c>
      <c r="C1806" s="2">
        <v>226</v>
      </c>
      <c r="D1806" s="3">
        <v>3755.97</v>
      </c>
      <c r="E1806" s="4" t="s">
        <v>11</v>
      </c>
    </row>
    <row r="1807" spans="1:5" x14ac:dyDescent="0.2">
      <c r="A1807" s="1">
        <v>45099</v>
      </c>
      <c r="B1807" s="2">
        <v>1188</v>
      </c>
      <c r="C1807" s="2">
        <v>267</v>
      </c>
      <c r="D1807" s="3">
        <v>4395.2</v>
      </c>
      <c r="E1807" s="4" t="s">
        <v>12</v>
      </c>
    </row>
    <row r="1808" spans="1:5" hidden="1" x14ac:dyDescent="0.2">
      <c r="A1808" s="1">
        <v>45100</v>
      </c>
      <c r="B1808" s="2">
        <v>1205</v>
      </c>
      <c r="C1808" s="2">
        <v>228</v>
      </c>
      <c r="D1808" s="3">
        <v>3600.54</v>
      </c>
      <c r="E1808" s="4" t="s">
        <v>11</v>
      </c>
    </row>
    <row r="1809" spans="1:5" x14ac:dyDescent="0.2">
      <c r="A1809" s="1">
        <v>45100</v>
      </c>
      <c r="B1809" s="2">
        <v>1145</v>
      </c>
      <c r="C1809" s="2">
        <v>255</v>
      </c>
      <c r="D1809" s="3">
        <v>4020.24</v>
      </c>
      <c r="E1809" s="4" t="s">
        <v>12</v>
      </c>
    </row>
    <row r="1810" spans="1:5" hidden="1" x14ac:dyDescent="0.2">
      <c r="A1810" s="1">
        <v>45101</v>
      </c>
      <c r="B1810" s="2">
        <v>1207</v>
      </c>
      <c r="C1810" s="2">
        <v>223</v>
      </c>
      <c r="D1810" s="3">
        <v>3449.3</v>
      </c>
      <c r="E1810" s="4" t="s">
        <v>11</v>
      </c>
    </row>
    <row r="1811" spans="1:5" x14ac:dyDescent="0.2">
      <c r="A1811" s="1">
        <v>45101</v>
      </c>
      <c r="B1811" s="2">
        <v>1138</v>
      </c>
      <c r="C1811" s="2">
        <v>264</v>
      </c>
      <c r="D1811" s="3">
        <v>4839.12</v>
      </c>
      <c r="E1811" s="4" t="s">
        <v>12</v>
      </c>
    </row>
    <row r="1812" spans="1:5" hidden="1" x14ac:dyDescent="0.2">
      <c r="A1812" s="1">
        <v>45102</v>
      </c>
      <c r="B1812" s="2">
        <v>1195</v>
      </c>
      <c r="C1812" s="2">
        <v>245</v>
      </c>
      <c r="D1812" s="3">
        <v>3603.22</v>
      </c>
      <c r="E1812" s="4" t="s">
        <v>11</v>
      </c>
    </row>
    <row r="1813" spans="1:5" x14ac:dyDescent="0.2">
      <c r="A1813" s="1">
        <v>45102</v>
      </c>
      <c r="B1813" s="2">
        <v>1159</v>
      </c>
      <c r="C1813" s="2">
        <v>259</v>
      </c>
      <c r="D1813" s="3">
        <v>4665.32</v>
      </c>
      <c r="E1813" s="4" t="s">
        <v>12</v>
      </c>
    </row>
    <row r="1814" spans="1:5" hidden="1" x14ac:dyDescent="0.2">
      <c r="A1814" s="1">
        <v>45103</v>
      </c>
      <c r="B1814" s="2">
        <v>1221</v>
      </c>
      <c r="C1814" s="2">
        <v>255</v>
      </c>
      <c r="D1814" s="3">
        <v>3544.54</v>
      </c>
      <c r="E1814" s="4" t="s">
        <v>11</v>
      </c>
    </row>
    <row r="1815" spans="1:5" x14ac:dyDescent="0.2">
      <c r="A1815" s="1">
        <v>45103</v>
      </c>
      <c r="B1815" s="2">
        <v>1195</v>
      </c>
      <c r="C1815" s="2">
        <v>275</v>
      </c>
      <c r="D1815" s="3">
        <v>4119.46</v>
      </c>
      <c r="E1815" s="4" t="s">
        <v>12</v>
      </c>
    </row>
    <row r="1816" spans="1:5" hidden="1" x14ac:dyDescent="0.2">
      <c r="A1816" s="1">
        <v>45104</v>
      </c>
      <c r="B1816" s="2">
        <v>1198</v>
      </c>
      <c r="C1816" s="2">
        <v>218</v>
      </c>
      <c r="D1816" s="3">
        <v>2494.16</v>
      </c>
      <c r="E1816" s="4" t="s">
        <v>11</v>
      </c>
    </row>
    <row r="1817" spans="1:5" x14ac:dyDescent="0.2">
      <c r="A1817" s="1">
        <v>45104</v>
      </c>
      <c r="B1817" s="2">
        <v>1146</v>
      </c>
      <c r="C1817" s="2">
        <v>265</v>
      </c>
      <c r="D1817" s="3">
        <v>3957.51</v>
      </c>
      <c r="E1817" s="4" t="s">
        <v>12</v>
      </c>
    </row>
    <row r="1818" spans="1:5" hidden="1" x14ac:dyDescent="0.2">
      <c r="A1818" s="1">
        <v>45105</v>
      </c>
      <c r="B1818" s="2">
        <v>1223</v>
      </c>
      <c r="C1818" s="2">
        <v>264</v>
      </c>
      <c r="D1818" s="3">
        <v>3539.89</v>
      </c>
      <c r="E1818" s="4" t="s">
        <v>11</v>
      </c>
    </row>
    <row r="1819" spans="1:5" x14ac:dyDescent="0.2">
      <c r="A1819" s="1">
        <v>45105</v>
      </c>
      <c r="B1819" s="2">
        <v>1115</v>
      </c>
      <c r="C1819" s="2">
        <v>236</v>
      </c>
      <c r="D1819" s="3">
        <v>4436.53</v>
      </c>
      <c r="E1819" s="4" t="s">
        <v>12</v>
      </c>
    </row>
    <row r="1820" spans="1:5" hidden="1" x14ac:dyDescent="0.2">
      <c r="A1820" s="1">
        <v>45106</v>
      </c>
      <c r="B1820" s="2">
        <v>1146</v>
      </c>
      <c r="C1820" s="2">
        <v>228</v>
      </c>
      <c r="D1820" s="3">
        <v>3061.32</v>
      </c>
      <c r="E1820" s="4" t="s">
        <v>11</v>
      </c>
    </row>
    <row r="1821" spans="1:5" x14ac:dyDescent="0.2">
      <c r="A1821" s="1">
        <v>45106</v>
      </c>
      <c r="B1821" s="2">
        <v>1155</v>
      </c>
      <c r="C1821" s="2">
        <v>236</v>
      </c>
      <c r="D1821" s="3">
        <v>3932.88</v>
      </c>
      <c r="E1821" s="4" t="s">
        <v>12</v>
      </c>
    </row>
    <row r="1822" spans="1:5" hidden="1" x14ac:dyDescent="0.2">
      <c r="A1822" s="1">
        <v>45107</v>
      </c>
      <c r="B1822" s="2">
        <v>1315</v>
      </c>
      <c r="C1822" s="2">
        <v>257</v>
      </c>
      <c r="D1822" s="3">
        <v>3288.94</v>
      </c>
      <c r="E1822" s="4" t="s">
        <v>11</v>
      </c>
    </row>
    <row r="1823" spans="1:5" x14ac:dyDescent="0.2">
      <c r="A1823" s="1">
        <v>45107</v>
      </c>
      <c r="B1823" s="2">
        <v>1151</v>
      </c>
      <c r="C1823" s="2">
        <v>267</v>
      </c>
      <c r="D1823" s="3">
        <v>4662.97</v>
      </c>
      <c r="E1823" s="4" t="s">
        <v>12</v>
      </c>
    </row>
    <row r="1824" spans="1:5" hidden="1" x14ac:dyDescent="0.2">
      <c r="A1824" s="1">
        <v>45108</v>
      </c>
      <c r="B1824" s="2">
        <v>1164</v>
      </c>
      <c r="C1824" s="2">
        <v>214</v>
      </c>
      <c r="D1824" s="3">
        <v>3468.39</v>
      </c>
      <c r="E1824" s="4" t="s">
        <v>11</v>
      </c>
    </row>
    <row r="1825" spans="1:5" x14ac:dyDescent="0.2">
      <c r="A1825" s="1">
        <v>45108</v>
      </c>
      <c r="B1825" s="2">
        <v>1137</v>
      </c>
      <c r="C1825" s="2">
        <v>265</v>
      </c>
      <c r="D1825" s="3">
        <v>4982.8</v>
      </c>
      <c r="E1825" s="4" t="s">
        <v>12</v>
      </c>
    </row>
    <row r="1826" spans="1:5" hidden="1" x14ac:dyDescent="0.2">
      <c r="A1826" s="1">
        <v>45109</v>
      </c>
      <c r="B1826" s="2">
        <v>1162</v>
      </c>
      <c r="C1826" s="2">
        <v>216</v>
      </c>
      <c r="D1826" s="3">
        <v>4196.59</v>
      </c>
      <c r="E1826" s="4" t="s">
        <v>11</v>
      </c>
    </row>
    <row r="1827" spans="1:5" x14ac:dyDescent="0.2">
      <c r="A1827" s="1">
        <v>45109</v>
      </c>
      <c r="B1827" s="2">
        <v>1196</v>
      </c>
      <c r="C1827" s="2">
        <v>294</v>
      </c>
      <c r="D1827" s="3">
        <v>3911.55</v>
      </c>
      <c r="E1827" s="4" t="s">
        <v>12</v>
      </c>
    </row>
    <row r="1828" spans="1:5" hidden="1" x14ac:dyDescent="0.2">
      <c r="A1828" s="1">
        <v>45110</v>
      </c>
      <c r="B1828" s="2">
        <v>1193</v>
      </c>
      <c r="C1828" s="2">
        <v>232</v>
      </c>
      <c r="D1828" s="3">
        <v>3673.53</v>
      </c>
      <c r="E1828" s="4" t="s">
        <v>11</v>
      </c>
    </row>
    <row r="1829" spans="1:5" x14ac:dyDescent="0.2">
      <c r="A1829" s="1">
        <v>45110</v>
      </c>
      <c r="B1829" s="2">
        <v>1115</v>
      </c>
      <c r="C1829" s="2">
        <v>251</v>
      </c>
      <c r="D1829" s="3">
        <v>3521.71</v>
      </c>
      <c r="E1829" s="4" t="s">
        <v>12</v>
      </c>
    </row>
    <row r="1830" spans="1:5" hidden="1" x14ac:dyDescent="0.2">
      <c r="A1830" s="1">
        <v>45111</v>
      </c>
      <c r="B1830" s="2">
        <v>1119</v>
      </c>
      <c r="C1830" s="2">
        <v>198</v>
      </c>
      <c r="D1830" s="3">
        <v>3182.04</v>
      </c>
      <c r="E1830" s="4" t="s">
        <v>11</v>
      </c>
    </row>
    <row r="1831" spans="1:5" x14ac:dyDescent="0.2">
      <c r="A1831" s="1">
        <v>45111</v>
      </c>
      <c r="B1831" s="2">
        <v>1158</v>
      </c>
      <c r="C1831" s="2">
        <v>270</v>
      </c>
      <c r="D1831" s="3">
        <v>4972.87</v>
      </c>
      <c r="E1831" s="4" t="s">
        <v>12</v>
      </c>
    </row>
    <row r="1832" spans="1:5" hidden="1" x14ac:dyDescent="0.2">
      <c r="A1832" s="1">
        <v>45112</v>
      </c>
      <c r="B1832" s="2">
        <v>1197</v>
      </c>
      <c r="C1832" s="2">
        <v>239</v>
      </c>
      <c r="D1832" s="3">
        <v>4086.04</v>
      </c>
      <c r="E1832" s="4" t="s">
        <v>11</v>
      </c>
    </row>
    <row r="1833" spans="1:5" x14ac:dyDescent="0.2">
      <c r="A1833" s="1">
        <v>45112</v>
      </c>
      <c r="B1833" s="2">
        <v>1181</v>
      </c>
      <c r="C1833" s="2">
        <v>256</v>
      </c>
      <c r="D1833" s="3">
        <v>3666.85</v>
      </c>
      <c r="E1833" s="4" t="s">
        <v>12</v>
      </c>
    </row>
    <row r="1834" spans="1:5" hidden="1" x14ac:dyDescent="0.2">
      <c r="A1834" s="1">
        <v>45113</v>
      </c>
      <c r="B1834" s="2">
        <v>1170</v>
      </c>
      <c r="C1834" s="2">
        <v>210</v>
      </c>
      <c r="D1834" s="3">
        <v>2883.6</v>
      </c>
      <c r="E1834" s="4" t="s">
        <v>11</v>
      </c>
    </row>
    <row r="1835" spans="1:5" x14ac:dyDescent="0.2">
      <c r="A1835" s="1">
        <v>45113</v>
      </c>
      <c r="B1835" s="2">
        <v>1185</v>
      </c>
      <c r="C1835" s="2">
        <v>270</v>
      </c>
      <c r="D1835" s="3">
        <v>4929.58</v>
      </c>
      <c r="E1835" s="4" t="s">
        <v>12</v>
      </c>
    </row>
    <row r="1836" spans="1:5" hidden="1" x14ac:dyDescent="0.2">
      <c r="A1836" s="1">
        <v>45114</v>
      </c>
      <c r="B1836" s="2">
        <v>1191</v>
      </c>
      <c r="C1836" s="2">
        <v>223</v>
      </c>
      <c r="D1836" s="3">
        <v>3795.63</v>
      </c>
      <c r="E1836" s="4" t="s">
        <v>11</v>
      </c>
    </row>
    <row r="1837" spans="1:5" x14ac:dyDescent="0.2">
      <c r="A1837" s="1">
        <v>45114</v>
      </c>
      <c r="B1837" s="2">
        <v>1129</v>
      </c>
      <c r="C1837" s="2">
        <v>265</v>
      </c>
      <c r="D1837" s="3">
        <v>4003.75</v>
      </c>
      <c r="E1837" s="4" t="s">
        <v>12</v>
      </c>
    </row>
    <row r="1838" spans="1:5" hidden="1" x14ac:dyDescent="0.2">
      <c r="A1838" s="1">
        <v>45115</v>
      </c>
      <c r="B1838" s="2">
        <v>1152</v>
      </c>
      <c r="C1838" s="2">
        <v>216</v>
      </c>
      <c r="D1838" s="3">
        <v>2944.58</v>
      </c>
      <c r="E1838" s="4" t="s">
        <v>11</v>
      </c>
    </row>
    <row r="1839" spans="1:5" x14ac:dyDescent="0.2">
      <c r="A1839" s="1">
        <v>45115</v>
      </c>
      <c r="B1839" s="2">
        <v>1231</v>
      </c>
      <c r="C1839" s="2">
        <v>258</v>
      </c>
      <c r="D1839" s="3">
        <v>4123.2700000000004</v>
      </c>
      <c r="E1839" s="4" t="s">
        <v>12</v>
      </c>
    </row>
    <row r="1840" spans="1:5" hidden="1" x14ac:dyDescent="0.2">
      <c r="A1840" s="1">
        <v>45116</v>
      </c>
      <c r="B1840" s="2">
        <v>1241</v>
      </c>
      <c r="C1840" s="2">
        <v>241</v>
      </c>
      <c r="D1840" s="3">
        <v>2974.42</v>
      </c>
      <c r="E1840" s="4" t="s">
        <v>11</v>
      </c>
    </row>
    <row r="1841" spans="1:5" x14ac:dyDescent="0.2">
      <c r="A1841" s="1">
        <v>45116</v>
      </c>
      <c r="B1841" s="2">
        <v>1151</v>
      </c>
      <c r="C1841" s="2">
        <v>264</v>
      </c>
      <c r="D1841" s="3">
        <v>3832.05</v>
      </c>
      <c r="E1841" s="4" t="s">
        <v>12</v>
      </c>
    </row>
    <row r="1842" spans="1:5" hidden="1" x14ac:dyDescent="0.2">
      <c r="A1842" s="1">
        <v>45117</v>
      </c>
      <c r="B1842" s="2">
        <v>1215</v>
      </c>
      <c r="C1842" s="2">
        <v>244</v>
      </c>
      <c r="D1842" s="3">
        <v>3464.21</v>
      </c>
      <c r="E1842" s="4" t="s">
        <v>11</v>
      </c>
    </row>
    <row r="1843" spans="1:5" x14ac:dyDescent="0.2">
      <c r="A1843" s="1">
        <v>45117</v>
      </c>
      <c r="B1843" s="2">
        <v>1106</v>
      </c>
      <c r="C1843" s="2">
        <v>254</v>
      </c>
      <c r="D1843" s="3">
        <v>4424.4799999999996</v>
      </c>
      <c r="E1843" s="4" t="s">
        <v>12</v>
      </c>
    </row>
    <row r="1844" spans="1:5" hidden="1" x14ac:dyDescent="0.2">
      <c r="A1844" s="1">
        <v>45118</v>
      </c>
      <c r="B1844" s="2">
        <v>1269</v>
      </c>
      <c r="C1844" s="2">
        <v>252</v>
      </c>
      <c r="D1844" s="3">
        <v>4400.1499999999996</v>
      </c>
      <c r="E1844" s="4" t="s">
        <v>11</v>
      </c>
    </row>
    <row r="1845" spans="1:5" x14ac:dyDescent="0.2">
      <c r="A1845" s="1">
        <v>45118</v>
      </c>
      <c r="B1845" s="2">
        <v>1128</v>
      </c>
      <c r="C1845" s="2">
        <v>242</v>
      </c>
      <c r="D1845" s="3">
        <v>4127.3</v>
      </c>
      <c r="E1845" s="4" t="s">
        <v>12</v>
      </c>
    </row>
    <row r="1846" spans="1:5" hidden="1" x14ac:dyDescent="0.2">
      <c r="A1846" s="1">
        <v>45119</v>
      </c>
      <c r="B1846" s="2">
        <v>1235</v>
      </c>
      <c r="C1846" s="2">
        <v>225</v>
      </c>
      <c r="D1846" s="3">
        <v>2359.89</v>
      </c>
      <c r="E1846" s="4" t="s">
        <v>11</v>
      </c>
    </row>
    <row r="1847" spans="1:5" x14ac:dyDescent="0.2">
      <c r="A1847" s="1">
        <v>45119</v>
      </c>
      <c r="B1847" s="2">
        <v>1085</v>
      </c>
      <c r="C1847" s="2">
        <v>265</v>
      </c>
      <c r="D1847" s="3">
        <v>4468.4399999999996</v>
      </c>
      <c r="E1847" s="4" t="s">
        <v>12</v>
      </c>
    </row>
    <row r="1848" spans="1:5" hidden="1" x14ac:dyDescent="0.2">
      <c r="A1848" s="1">
        <v>45120</v>
      </c>
      <c r="B1848" s="2">
        <v>1256</v>
      </c>
      <c r="C1848" s="2">
        <v>242</v>
      </c>
      <c r="D1848" s="3">
        <v>3291.39</v>
      </c>
      <c r="E1848" s="4" t="s">
        <v>11</v>
      </c>
    </row>
    <row r="1849" spans="1:5" x14ac:dyDescent="0.2">
      <c r="A1849" s="1">
        <v>45120</v>
      </c>
      <c r="B1849" s="2">
        <v>1139</v>
      </c>
      <c r="C1849" s="2">
        <v>264</v>
      </c>
      <c r="D1849" s="3">
        <v>4113.45</v>
      </c>
      <c r="E1849" s="4" t="s">
        <v>12</v>
      </c>
    </row>
    <row r="1850" spans="1:5" hidden="1" x14ac:dyDescent="0.2">
      <c r="A1850" s="1">
        <v>45121</v>
      </c>
      <c r="B1850" s="2">
        <v>1126</v>
      </c>
      <c r="C1850" s="2">
        <v>221</v>
      </c>
      <c r="D1850" s="3">
        <v>3122.17</v>
      </c>
      <c r="E1850" s="4" t="s">
        <v>11</v>
      </c>
    </row>
    <row r="1851" spans="1:5" x14ac:dyDescent="0.2">
      <c r="A1851" s="1">
        <v>45121</v>
      </c>
      <c r="B1851" s="2">
        <v>1161</v>
      </c>
      <c r="C1851" s="2">
        <v>264</v>
      </c>
      <c r="D1851" s="3">
        <v>4777.41</v>
      </c>
      <c r="E1851" s="4" t="s">
        <v>12</v>
      </c>
    </row>
    <row r="1852" spans="1:5" hidden="1" x14ac:dyDescent="0.2">
      <c r="A1852" s="1">
        <v>45122</v>
      </c>
      <c r="B1852" s="2">
        <v>1155</v>
      </c>
      <c r="C1852" s="2">
        <v>225</v>
      </c>
      <c r="D1852" s="3">
        <v>3650.97</v>
      </c>
      <c r="E1852" s="4" t="s">
        <v>11</v>
      </c>
    </row>
    <row r="1853" spans="1:5" x14ac:dyDescent="0.2">
      <c r="A1853" s="1">
        <v>45122</v>
      </c>
      <c r="B1853" s="2">
        <v>1161</v>
      </c>
      <c r="C1853" s="2">
        <v>275</v>
      </c>
      <c r="D1853" s="3">
        <v>5025.78</v>
      </c>
      <c r="E1853" s="4" t="s">
        <v>12</v>
      </c>
    </row>
    <row r="1854" spans="1:5" hidden="1" x14ac:dyDescent="0.2">
      <c r="A1854" s="1">
        <v>45123</v>
      </c>
      <c r="B1854" s="2">
        <v>1240</v>
      </c>
      <c r="C1854" s="2">
        <v>218</v>
      </c>
      <c r="D1854" s="3">
        <v>3365.36</v>
      </c>
      <c r="E1854" s="4" t="s">
        <v>11</v>
      </c>
    </row>
    <row r="1855" spans="1:5" x14ac:dyDescent="0.2">
      <c r="A1855" s="1">
        <v>45123</v>
      </c>
      <c r="B1855" s="2">
        <v>1192</v>
      </c>
      <c r="C1855" s="2">
        <v>264</v>
      </c>
      <c r="D1855" s="3">
        <v>4135.92</v>
      </c>
      <c r="E1855" s="4" t="s">
        <v>12</v>
      </c>
    </row>
    <row r="1856" spans="1:5" hidden="1" x14ac:dyDescent="0.2">
      <c r="A1856" s="1">
        <v>45124</v>
      </c>
      <c r="B1856" s="2">
        <v>1211</v>
      </c>
      <c r="C1856" s="2">
        <v>243</v>
      </c>
      <c r="D1856" s="3">
        <v>3261.05</v>
      </c>
      <c r="E1856" s="4" t="s">
        <v>11</v>
      </c>
    </row>
    <row r="1857" spans="1:5" x14ac:dyDescent="0.2">
      <c r="A1857" s="1">
        <v>45124</v>
      </c>
      <c r="B1857" s="2">
        <v>1187</v>
      </c>
      <c r="C1857" s="2">
        <v>273</v>
      </c>
      <c r="D1857" s="3">
        <v>4746.28</v>
      </c>
      <c r="E1857" s="4" t="s">
        <v>12</v>
      </c>
    </row>
    <row r="1858" spans="1:5" hidden="1" x14ac:dyDescent="0.2">
      <c r="A1858" s="1">
        <v>45125</v>
      </c>
      <c r="B1858" s="2">
        <v>1244</v>
      </c>
      <c r="C1858" s="2">
        <v>224</v>
      </c>
      <c r="D1858" s="3">
        <v>2765.15</v>
      </c>
      <c r="E1858" s="4" t="s">
        <v>11</v>
      </c>
    </row>
    <row r="1859" spans="1:5" x14ac:dyDescent="0.2">
      <c r="A1859" s="1">
        <v>45125</v>
      </c>
      <c r="B1859" s="2">
        <v>1203</v>
      </c>
      <c r="C1859" s="2">
        <v>277</v>
      </c>
      <c r="D1859" s="3">
        <v>4272.1499999999996</v>
      </c>
      <c r="E1859" s="4" t="s">
        <v>12</v>
      </c>
    </row>
    <row r="1860" spans="1:5" hidden="1" x14ac:dyDescent="0.2">
      <c r="A1860" s="1">
        <v>45126</v>
      </c>
      <c r="B1860" s="2">
        <v>1212</v>
      </c>
      <c r="C1860" s="2">
        <v>234</v>
      </c>
      <c r="D1860" s="3">
        <v>4106.55</v>
      </c>
      <c r="E1860" s="4" t="s">
        <v>11</v>
      </c>
    </row>
    <row r="1861" spans="1:5" x14ac:dyDescent="0.2">
      <c r="A1861" s="1">
        <v>45126</v>
      </c>
      <c r="B1861" s="2">
        <v>1113</v>
      </c>
      <c r="C1861" s="2">
        <v>263</v>
      </c>
      <c r="D1861" s="3">
        <v>3610.66</v>
      </c>
      <c r="E1861" s="4" t="s">
        <v>12</v>
      </c>
    </row>
    <row r="1862" spans="1:5" hidden="1" x14ac:dyDescent="0.2">
      <c r="A1862" s="1">
        <v>45127</v>
      </c>
      <c r="B1862" s="2">
        <v>1246</v>
      </c>
      <c r="C1862" s="2">
        <v>234</v>
      </c>
      <c r="D1862" s="3">
        <v>4045.09</v>
      </c>
      <c r="E1862" s="4" t="s">
        <v>11</v>
      </c>
    </row>
    <row r="1863" spans="1:5" x14ac:dyDescent="0.2">
      <c r="A1863" s="1">
        <v>45127</v>
      </c>
      <c r="B1863" s="2">
        <v>1131</v>
      </c>
      <c r="C1863" s="2">
        <v>271</v>
      </c>
      <c r="D1863" s="3">
        <v>4436.1899999999996</v>
      </c>
      <c r="E1863" s="4" t="s">
        <v>12</v>
      </c>
    </row>
    <row r="1864" spans="1:5" hidden="1" x14ac:dyDescent="0.2">
      <c r="A1864" s="1">
        <v>45128</v>
      </c>
      <c r="B1864" s="2">
        <v>1250</v>
      </c>
      <c r="C1864" s="2">
        <v>228</v>
      </c>
      <c r="D1864" s="3">
        <v>2923.56</v>
      </c>
      <c r="E1864" s="4" t="s">
        <v>11</v>
      </c>
    </row>
    <row r="1865" spans="1:5" x14ac:dyDescent="0.2">
      <c r="A1865" s="1">
        <v>45128</v>
      </c>
      <c r="B1865" s="2">
        <v>1139</v>
      </c>
      <c r="C1865" s="2">
        <v>254</v>
      </c>
      <c r="D1865" s="3">
        <v>4349.2299999999996</v>
      </c>
      <c r="E1865" s="4" t="s">
        <v>12</v>
      </c>
    </row>
    <row r="1866" spans="1:5" hidden="1" x14ac:dyDescent="0.2">
      <c r="A1866" s="1">
        <v>45129</v>
      </c>
      <c r="B1866" s="2">
        <v>1225</v>
      </c>
      <c r="C1866" s="2">
        <v>203</v>
      </c>
      <c r="D1866" s="3">
        <v>3981.21</v>
      </c>
      <c r="E1866" s="4" t="s">
        <v>11</v>
      </c>
    </row>
    <row r="1867" spans="1:5" x14ac:dyDescent="0.2">
      <c r="A1867" s="1">
        <v>45129</v>
      </c>
      <c r="B1867" s="2">
        <v>1169</v>
      </c>
      <c r="C1867" s="2">
        <v>276</v>
      </c>
      <c r="D1867" s="3">
        <v>3643.56</v>
      </c>
      <c r="E1867" s="4" t="s">
        <v>12</v>
      </c>
    </row>
    <row r="1868" spans="1:5" hidden="1" x14ac:dyDescent="0.2">
      <c r="A1868" s="1">
        <v>45130</v>
      </c>
      <c r="B1868" s="2">
        <v>1107</v>
      </c>
      <c r="C1868" s="2">
        <v>223</v>
      </c>
      <c r="D1868" s="3">
        <v>3192.33</v>
      </c>
      <c r="E1868" s="4" t="s">
        <v>11</v>
      </c>
    </row>
    <row r="1869" spans="1:5" x14ac:dyDescent="0.2">
      <c r="A1869" s="1">
        <v>45130</v>
      </c>
      <c r="B1869" s="2">
        <v>1211</v>
      </c>
      <c r="C1869" s="2">
        <v>273</v>
      </c>
      <c r="D1869" s="3">
        <v>4860.54</v>
      </c>
      <c r="E1869" s="4" t="s">
        <v>12</v>
      </c>
    </row>
    <row r="1870" spans="1:5" hidden="1" x14ac:dyDescent="0.2">
      <c r="A1870" s="1">
        <v>45131</v>
      </c>
      <c r="B1870" s="2">
        <v>1203</v>
      </c>
      <c r="C1870" s="2">
        <v>244</v>
      </c>
      <c r="D1870" s="3">
        <v>4085.32</v>
      </c>
      <c r="E1870" s="4" t="s">
        <v>11</v>
      </c>
    </row>
    <row r="1871" spans="1:5" x14ac:dyDescent="0.2">
      <c r="A1871" s="1">
        <v>45131</v>
      </c>
      <c r="B1871" s="2">
        <v>1167</v>
      </c>
      <c r="C1871" s="2">
        <v>271</v>
      </c>
      <c r="D1871" s="3">
        <v>4513.33</v>
      </c>
      <c r="E1871" s="4" t="s">
        <v>12</v>
      </c>
    </row>
    <row r="1872" spans="1:5" hidden="1" x14ac:dyDescent="0.2">
      <c r="A1872" s="1">
        <v>45132</v>
      </c>
      <c r="B1872" s="2">
        <v>1290</v>
      </c>
      <c r="C1872" s="2">
        <v>236</v>
      </c>
      <c r="D1872" s="3">
        <v>3523.69</v>
      </c>
      <c r="E1872" s="4" t="s">
        <v>11</v>
      </c>
    </row>
    <row r="1873" spans="1:5" x14ac:dyDescent="0.2">
      <c r="A1873" s="1">
        <v>45132</v>
      </c>
      <c r="B1873" s="2">
        <v>1146</v>
      </c>
      <c r="C1873" s="2">
        <v>256</v>
      </c>
      <c r="D1873" s="3">
        <v>4559.7299999999996</v>
      </c>
      <c r="E1873" s="4" t="s">
        <v>12</v>
      </c>
    </row>
    <row r="1874" spans="1:5" hidden="1" x14ac:dyDescent="0.2">
      <c r="A1874" s="1">
        <v>45133</v>
      </c>
      <c r="B1874" s="2">
        <v>1238</v>
      </c>
      <c r="C1874" s="2">
        <v>246</v>
      </c>
      <c r="D1874" s="3">
        <v>4473.28</v>
      </c>
      <c r="E1874" s="4" t="s">
        <v>11</v>
      </c>
    </row>
    <row r="1875" spans="1:5" x14ac:dyDescent="0.2">
      <c r="A1875" s="1">
        <v>45133</v>
      </c>
      <c r="B1875" s="2">
        <v>1161</v>
      </c>
      <c r="C1875" s="2">
        <v>272</v>
      </c>
      <c r="D1875" s="3">
        <v>4032.27</v>
      </c>
      <c r="E1875" s="4" t="s">
        <v>12</v>
      </c>
    </row>
    <row r="1876" spans="1:5" hidden="1" x14ac:dyDescent="0.2">
      <c r="A1876" s="1">
        <v>45134</v>
      </c>
      <c r="B1876" s="2">
        <v>1262</v>
      </c>
      <c r="C1876" s="2">
        <v>235</v>
      </c>
      <c r="D1876" s="3">
        <v>3472.43</v>
      </c>
      <c r="E1876" s="4" t="s">
        <v>11</v>
      </c>
    </row>
    <row r="1877" spans="1:5" x14ac:dyDescent="0.2">
      <c r="A1877" s="1">
        <v>45134</v>
      </c>
      <c r="B1877" s="2">
        <v>1141</v>
      </c>
      <c r="C1877" s="2">
        <v>259</v>
      </c>
      <c r="D1877" s="3">
        <v>3909.51</v>
      </c>
      <c r="E1877" s="4" t="s">
        <v>12</v>
      </c>
    </row>
    <row r="1878" spans="1:5" hidden="1" x14ac:dyDescent="0.2">
      <c r="A1878" s="1">
        <v>45135</v>
      </c>
      <c r="B1878" s="2">
        <v>1216</v>
      </c>
      <c r="C1878" s="2">
        <v>231</v>
      </c>
      <c r="D1878" s="3">
        <v>3706.78</v>
      </c>
      <c r="E1878" s="4" t="s">
        <v>11</v>
      </c>
    </row>
    <row r="1879" spans="1:5" x14ac:dyDescent="0.2">
      <c r="A1879" s="1">
        <v>45135</v>
      </c>
      <c r="B1879" s="2">
        <v>1176</v>
      </c>
      <c r="C1879" s="2">
        <v>269</v>
      </c>
      <c r="D1879" s="3">
        <v>3873.28</v>
      </c>
      <c r="E1879" s="4" t="s">
        <v>12</v>
      </c>
    </row>
    <row r="1880" spans="1:5" hidden="1" x14ac:dyDescent="0.2">
      <c r="A1880" s="1">
        <v>45136</v>
      </c>
      <c r="B1880" s="2">
        <v>1121</v>
      </c>
      <c r="C1880" s="2">
        <v>220</v>
      </c>
      <c r="D1880" s="3">
        <v>3481.78</v>
      </c>
      <c r="E1880" s="4" t="s">
        <v>11</v>
      </c>
    </row>
    <row r="1881" spans="1:5" x14ac:dyDescent="0.2">
      <c r="A1881" s="1">
        <v>45136</v>
      </c>
      <c r="B1881" s="2">
        <v>1137</v>
      </c>
      <c r="C1881" s="2">
        <v>259</v>
      </c>
      <c r="D1881" s="3">
        <v>4023.2</v>
      </c>
      <c r="E1881" s="4" t="s">
        <v>12</v>
      </c>
    </row>
    <row r="1882" spans="1:5" hidden="1" x14ac:dyDescent="0.2">
      <c r="A1882" s="1">
        <v>45137</v>
      </c>
      <c r="B1882" s="2">
        <v>1191</v>
      </c>
      <c r="C1882" s="2">
        <v>210</v>
      </c>
      <c r="D1882" s="3">
        <v>3770.81</v>
      </c>
      <c r="E1882" s="4" t="s">
        <v>11</v>
      </c>
    </row>
    <row r="1883" spans="1:5" x14ac:dyDescent="0.2">
      <c r="A1883" s="1">
        <v>45137</v>
      </c>
      <c r="B1883" s="2">
        <v>1172</v>
      </c>
      <c r="C1883" s="2">
        <v>270</v>
      </c>
      <c r="D1883" s="3">
        <v>3519.51</v>
      </c>
      <c r="E1883" s="4" t="s">
        <v>12</v>
      </c>
    </row>
    <row r="1884" spans="1:5" hidden="1" x14ac:dyDescent="0.2">
      <c r="A1884" s="1">
        <v>45138</v>
      </c>
      <c r="B1884" s="2">
        <v>1110</v>
      </c>
      <c r="C1884" s="2">
        <v>221</v>
      </c>
      <c r="D1884" s="3">
        <v>3704.43</v>
      </c>
      <c r="E1884" s="4" t="s">
        <v>11</v>
      </c>
    </row>
    <row r="1885" spans="1:5" x14ac:dyDescent="0.2">
      <c r="A1885" s="1">
        <v>45138</v>
      </c>
      <c r="B1885" s="2">
        <v>1127</v>
      </c>
      <c r="C1885" s="2">
        <v>254</v>
      </c>
      <c r="D1885" s="3">
        <v>4338.62</v>
      </c>
      <c r="E1885" s="4" t="s">
        <v>12</v>
      </c>
    </row>
    <row r="1886" spans="1:5" hidden="1" x14ac:dyDescent="0.2">
      <c r="A1886" s="1">
        <v>45139</v>
      </c>
      <c r="B1886" s="2">
        <v>1224</v>
      </c>
      <c r="C1886" s="2">
        <v>227</v>
      </c>
      <c r="D1886" s="3">
        <v>2865.85</v>
      </c>
      <c r="E1886" s="4" t="s">
        <v>11</v>
      </c>
    </row>
    <row r="1887" spans="1:5" x14ac:dyDescent="0.2">
      <c r="A1887" s="1">
        <v>45139</v>
      </c>
      <c r="B1887" s="2">
        <v>1157</v>
      </c>
      <c r="C1887" s="2">
        <v>234</v>
      </c>
      <c r="D1887" s="3">
        <v>4014.93</v>
      </c>
      <c r="E1887" s="4" t="s">
        <v>12</v>
      </c>
    </row>
    <row r="1888" spans="1:5" hidden="1" x14ac:dyDescent="0.2">
      <c r="A1888" s="1">
        <v>45140</v>
      </c>
      <c r="B1888" s="2">
        <v>1227</v>
      </c>
      <c r="C1888" s="2">
        <v>226</v>
      </c>
      <c r="D1888" s="3">
        <v>4038.09</v>
      </c>
      <c r="E1888" s="4" t="s">
        <v>11</v>
      </c>
    </row>
    <row r="1889" spans="1:5" x14ac:dyDescent="0.2">
      <c r="A1889" s="1">
        <v>45140</v>
      </c>
      <c r="B1889" s="2">
        <v>1188</v>
      </c>
      <c r="C1889" s="2">
        <v>268</v>
      </c>
      <c r="D1889" s="3">
        <v>3549.77</v>
      </c>
      <c r="E1889" s="4" t="s">
        <v>12</v>
      </c>
    </row>
    <row r="1890" spans="1:5" hidden="1" x14ac:dyDescent="0.2">
      <c r="A1890" s="1">
        <v>45141</v>
      </c>
      <c r="B1890" s="2">
        <v>1230</v>
      </c>
      <c r="C1890" s="2">
        <v>228</v>
      </c>
      <c r="D1890" s="3">
        <v>2871.02</v>
      </c>
      <c r="E1890" s="4" t="s">
        <v>11</v>
      </c>
    </row>
    <row r="1891" spans="1:5" x14ac:dyDescent="0.2">
      <c r="A1891" s="1">
        <v>45141</v>
      </c>
      <c r="B1891" s="2">
        <v>1131</v>
      </c>
      <c r="C1891" s="2">
        <v>248</v>
      </c>
      <c r="D1891" s="3">
        <v>4079.73</v>
      </c>
      <c r="E1891" s="4" t="s">
        <v>12</v>
      </c>
    </row>
    <row r="1892" spans="1:5" hidden="1" x14ac:dyDescent="0.2">
      <c r="A1892" s="1">
        <v>45142</v>
      </c>
      <c r="B1892" s="2">
        <v>1197</v>
      </c>
      <c r="C1892" s="2">
        <v>212</v>
      </c>
      <c r="D1892" s="3">
        <v>2688.75</v>
      </c>
      <c r="E1892" s="4" t="s">
        <v>11</v>
      </c>
    </row>
    <row r="1893" spans="1:5" x14ac:dyDescent="0.2">
      <c r="A1893" s="1">
        <v>45142</v>
      </c>
      <c r="B1893" s="2">
        <v>1187</v>
      </c>
      <c r="C1893" s="2">
        <v>232</v>
      </c>
      <c r="D1893" s="3">
        <v>2869.54</v>
      </c>
      <c r="E1893" s="4" t="s">
        <v>12</v>
      </c>
    </row>
    <row r="1894" spans="1:5" hidden="1" x14ac:dyDescent="0.2">
      <c r="A1894" s="1">
        <v>45143</v>
      </c>
      <c r="B1894" s="2">
        <v>1216</v>
      </c>
      <c r="C1894" s="2">
        <v>233</v>
      </c>
      <c r="D1894" s="3">
        <v>3726.43</v>
      </c>
      <c r="E1894" s="4" t="s">
        <v>11</v>
      </c>
    </row>
    <row r="1895" spans="1:5" x14ac:dyDescent="0.2">
      <c r="A1895" s="1">
        <v>45143</v>
      </c>
      <c r="B1895" s="2">
        <v>1133</v>
      </c>
      <c r="C1895" s="2">
        <v>257</v>
      </c>
      <c r="D1895" s="3">
        <v>4438.4399999999996</v>
      </c>
      <c r="E1895" s="4" t="s">
        <v>12</v>
      </c>
    </row>
    <row r="1896" spans="1:5" hidden="1" x14ac:dyDescent="0.2">
      <c r="A1896" s="1">
        <v>45144</v>
      </c>
      <c r="B1896" s="2">
        <v>1199</v>
      </c>
      <c r="C1896" s="2">
        <v>199</v>
      </c>
      <c r="D1896" s="3">
        <v>3018.78</v>
      </c>
      <c r="E1896" s="4" t="s">
        <v>11</v>
      </c>
    </row>
    <row r="1897" spans="1:5" x14ac:dyDescent="0.2">
      <c r="A1897" s="1">
        <v>45144</v>
      </c>
      <c r="B1897" s="2">
        <v>1160</v>
      </c>
      <c r="C1897" s="2">
        <v>293</v>
      </c>
      <c r="D1897" s="3">
        <v>5089.7700000000004</v>
      </c>
      <c r="E1897" s="4" t="s">
        <v>12</v>
      </c>
    </row>
    <row r="1898" spans="1:5" hidden="1" x14ac:dyDescent="0.2">
      <c r="A1898" s="1">
        <v>45145</v>
      </c>
      <c r="B1898" s="2">
        <v>1223</v>
      </c>
      <c r="C1898" s="2">
        <v>218</v>
      </c>
      <c r="D1898" s="3">
        <v>3655.25</v>
      </c>
      <c r="E1898" s="4" t="s">
        <v>11</v>
      </c>
    </row>
    <row r="1899" spans="1:5" x14ac:dyDescent="0.2">
      <c r="A1899" s="1">
        <v>45145</v>
      </c>
      <c r="B1899" s="2">
        <v>1160</v>
      </c>
      <c r="C1899" s="2">
        <v>259</v>
      </c>
      <c r="D1899" s="3">
        <v>3436.31</v>
      </c>
      <c r="E1899" s="4" t="s">
        <v>12</v>
      </c>
    </row>
    <row r="1900" spans="1:5" hidden="1" x14ac:dyDescent="0.2">
      <c r="A1900" s="1">
        <v>45146</v>
      </c>
      <c r="B1900" s="2">
        <v>1155</v>
      </c>
      <c r="C1900" s="2">
        <v>229</v>
      </c>
      <c r="D1900" s="3">
        <v>3758.58</v>
      </c>
      <c r="E1900" s="4" t="s">
        <v>11</v>
      </c>
    </row>
    <row r="1901" spans="1:5" x14ac:dyDescent="0.2">
      <c r="A1901" s="1">
        <v>45146</v>
      </c>
      <c r="B1901" s="2">
        <v>1121</v>
      </c>
      <c r="C1901" s="2">
        <v>263</v>
      </c>
      <c r="D1901" s="3">
        <v>4197.9399999999996</v>
      </c>
      <c r="E1901" s="4" t="s">
        <v>12</v>
      </c>
    </row>
    <row r="1902" spans="1:5" hidden="1" x14ac:dyDescent="0.2">
      <c r="A1902" s="1">
        <v>45147</v>
      </c>
      <c r="B1902" s="2">
        <v>1253</v>
      </c>
      <c r="C1902" s="2">
        <v>236</v>
      </c>
      <c r="D1902" s="3">
        <v>3506.85</v>
      </c>
      <c r="E1902" s="4" t="s">
        <v>11</v>
      </c>
    </row>
    <row r="1903" spans="1:5" x14ac:dyDescent="0.2">
      <c r="A1903" s="1">
        <v>45147</v>
      </c>
      <c r="B1903" s="2">
        <v>1108</v>
      </c>
      <c r="C1903" s="2">
        <v>229</v>
      </c>
      <c r="D1903" s="3">
        <v>3532.5</v>
      </c>
      <c r="E1903" s="4" t="s">
        <v>12</v>
      </c>
    </row>
    <row r="1904" spans="1:5" hidden="1" x14ac:dyDescent="0.2">
      <c r="A1904" s="1">
        <v>45148</v>
      </c>
      <c r="B1904" s="2">
        <v>1239</v>
      </c>
      <c r="C1904" s="2">
        <v>235</v>
      </c>
      <c r="D1904" s="3">
        <v>2742.39</v>
      </c>
      <c r="E1904" s="4" t="s">
        <v>11</v>
      </c>
    </row>
    <row r="1905" spans="1:5" x14ac:dyDescent="0.2">
      <c r="A1905" s="1">
        <v>45148</v>
      </c>
      <c r="B1905" s="2">
        <v>1085</v>
      </c>
      <c r="C1905" s="2">
        <v>255</v>
      </c>
      <c r="D1905" s="3">
        <v>3059.11</v>
      </c>
      <c r="E1905" s="4" t="s">
        <v>12</v>
      </c>
    </row>
    <row r="1906" spans="1:5" hidden="1" x14ac:dyDescent="0.2">
      <c r="A1906" s="1">
        <v>45149</v>
      </c>
      <c r="B1906" s="2">
        <v>1221</v>
      </c>
      <c r="C1906" s="2">
        <v>231</v>
      </c>
      <c r="D1906" s="3">
        <v>3682.78</v>
      </c>
      <c r="E1906" s="4" t="s">
        <v>11</v>
      </c>
    </row>
    <row r="1907" spans="1:5" x14ac:dyDescent="0.2">
      <c r="A1907" s="1">
        <v>45149</v>
      </c>
      <c r="B1907" s="2">
        <v>1101</v>
      </c>
      <c r="C1907" s="2">
        <v>247</v>
      </c>
      <c r="D1907" s="3">
        <v>4580.32</v>
      </c>
      <c r="E1907" s="4" t="s">
        <v>12</v>
      </c>
    </row>
    <row r="1908" spans="1:5" hidden="1" x14ac:dyDescent="0.2">
      <c r="A1908" s="1">
        <v>45150</v>
      </c>
      <c r="B1908" s="2">
        <v>1203</v>
      </c>
      <c r="C1908" s="2">
        <v>240</v>
      </c>
      <c r="D1908" s="3">
        <v>3822.38</v>
      </c>
      <c r="E1908" s="4" t="s">
        <v>11</v>
      </c>
    </row>
    <row r="1909" spans="1:5" x14ac:dyDescent="0.2">
      <c r="A1909" s="1">
        <v>45150</v>
      </c>
      <c r="B1909" s="2">
        <v>1113</v>
      </c>
      <c r="C1909" s="2">
        <v>243</v>
      </c>
      <c r="D1909" s="3">
        <v>3726.14</v>
      </c>
      <c r="E1909" s="4" t="s">
        <v>12</v>
      </c>
    </row>
    <row r="1910" spans="1:5" hidden="1" x14ac:dyDescent="0.2">
      <c r="A1910" s="1">
        <v>45151</v>
      </c>
      <c r="B1910" s="2">
        <v>1197</v>
      </c>
      <c r="C1910" s="2">
        <v>219</v>
      </c>
      <c r="D1910" s="3">
        <v>4046.24</v>
      </c>
      <c r="E1910" s="4" t="s">
        <v>11</v>
      </c>
    </row>
    <row r="1911" spans="1:5" x14ac:dyDescent="0.2">
      <c r="A1911" s="1">
        <v>45151</v>
      </c>
      <c r="B1911" s="2">
        <v>1201</v>
      </c>
      <c r="C1911" s="2">
        <v>263</v>
      </c>
      <c r="D1911" s="3">
        <v>4433.6400000000003</v>
      </c>
      <c r="E1911" s="4" t="s">
        <v>12</v>
      </c>
    </row>
    <row r="1912" spans="1:5" hidden="1" x14ac:dyDescent="0.2">
      <c r="A1912" s="1">
        <v>45152</v>
      </c>
      <c r="B1912" s="2">
        <v>1251</v>
      </c>
      <c r="C1912" s="2">
        <v>240</v>
      </c>
      <c r="D1912" s="3">
        <v>3060.87</v>
      </c>
      <c r="E1912" s="4" t="s">
        <v>11</v>
      </c>
    </row>
    <row r="1913" spans="1:5" x14ac:dyDescent="0.2">
      <c r="A1913" s="1">
        <v>45152</v>
      </c>
      <c r="B1913" s="2">
        <v>1173</v>
      </c>
      <c r="C1913" s="2">
        <v>245</v>
      </c>
      <c r="D1913" s="3">
        <v>4922.37</v>
      </c>
      <c r="E1913" s="4" t="s">
        <v>12</v>
      </c>
    </row>
    <row r="1914" spans="1:5" hidden="1" x14ac:dyDescent="0.2">
      <c r="A1914" s="1">
        <v>45153</v>
      </c>
      <c r="B1914" s="2">
        <v>1266</v>
      </c>
      <c r="C1914" s="2">
        <v>244</v>
      </c>
      <c r="D1914" s="3">
        <v>3183.41</v>
      </c>
      <c r="E1914" s="4" t="s">
        <v>11</v>
      </c>
    </row>
    <row r="1915" spans="1:5" x14ac:dyDescent="0.2">
      <c r="A1915" s="1">
        <v>45153</v>
      </c>
      <c r="B1915" s="2">
        <v>1108</v>
      </c>
      <c r="C1915" s="2">
        <v>250</v>
      </c>
      <c r="D1915" s="3">
        <v>4080.13</v>
      </c>
      <c r="E1915" s="4" t="s">
        <v>12</v>
      </c>
    </row>
    <row r="1916" spans="1:5" hidden="1" x14ac:dyDescent="0.2">
      <c r="A1916" s="1">
        <v>45154</v>
      </c>
      <c r="B1916" s="2">
        <v>1235</v>
      </c>
      <c r="C1916" s="2">
        <v>238</v>
      </c>
      <c r="D1916" s="3">
        <v>3463.84</v>
      </c>
      <c r="E1916" s="4" t="s">
        <v>11</v>
      </c>
    </row>
    <row r="1917" spans="1:5" x14ac:dyDescent="0.2">
      <c r="A1917" s="1">
        <v>45154</v>
      </c>
      <c r="B1917" s="2">
        <v>1224</v>
      </c>
      <c r="C1917" s="2">
        <v>280</v>
      </c>
      <c r="D1917" s="3">
        <v>4637.9399999999996</v>
      </c>
      <c r="E1917" s="4" t="s">
        <v>12</v>
      </c>
    </row>
    <row r="1918" spans="1:5" hidden="1" x14ac:dyDescent="0.2">
      <c r="A1918" s="1">
        <v>45155</v>
      </c>
      <c r="B1918" s="2">
        <v>1209</v>
      </c>
      <c r="C1918" s="2">
        <v>232</v>
      </c>
      <c r="D1918" s="3">
        <v>2975.28</v>
      </c>
      <c r="E1918" s="4" t="s">
        <v>11</v>
      </c>
    </row>
    <row r="1919" spans="1:5" x14ac:dyDescent="0.2">
      <c r="A1919" s="1">
        <v>45155</v>
      </c>
      <c r="B1919" s="2">
        <v>1166</v>
      </c>
      <c r="C1919" s="2">
        <v>281</v>
      </c>
      <c r="D1919" s="3">
        <v>4426.37</v>
      </c>
      <c r="E1919" s="4" t="s">
        <v>12</v>
      </c>
    </row>
    <row r="1920" spans="1:5" hidden="1" x14ac:dyDescent="0.2">
      <c r="A1920" s="1">
        <v>45156</v>
      </c>
      <c r="B1920" s="2">
        <v>1205</v>
      </c>
      <c r="C1920" s="2">
        <v>229</v>
      </c>
      <c r="D1920" s="3">
        <v>3267.22</v>
      </c>
      <c r="E1920" s="4" t="s">
        <v>11</v>
      </c>
    </row>
    <row r="1921" spans="1:5" x14ac:dyDescent="0.2">
      <c r="A1921" s="1">
        <v>45156</v>
      </c>
      <c r="B1921" s="2">
        <v>1101</v>
      </c>
      <c r="C1921" s="2">
        <v>246</v>
      </c>
      <c r="D1921" s="3">
        <v>4022.97</v>
      </c>
      <c r="E1921" s="4" t="s">
        <v>12</v>
      </c>
    </row>
    <row r="1922" spans="1:5" hidden="1" x14ac:dyDescent="0.2">
      <c r="A1922" s="1">
        <v>45157</v>
      </c>
      <c r="B1922" s="2">
        <v>1274</v>
      </c>
      <c r="C1922" s="2">
        <v>255</v>
      </c>
      <c r="D1922" s="3">
        <v>4067.98</v>
      </c>
      <c r="E1922" s="4" t="s">
        <v>11</v>
      </c>
    </row>
    <row r="1923" spans="1:5" x14ac:dyDescent="0.2">
      <c r="A1923" s="1">
        <v>45157</v>
      </c>
      <c r="B1923" s="2">
        <v>1160</v>
      </c>
      <c r="C1923" s="2">
        <v>275</v>
      </c>
      <c r="D1923" s="3">
        <v>4315.71</v>
      </c>
      <c r="E1923" s="4" t="s">
        <v>12</v>
      </c>
    </row>
    <row r="1924" spans="1:5" hidden="1" x14ac:dyDescent="0.2">
      <c r="A1924" s="1">
        <v>45158</v>
      </c>
      <c r="B1924" s="2">
        <v>1274</v>
      </c>
      <c r="C1924" s="2">
        <v>258</v>
      </c>
      <c r="D1924" s="3">
        <v>3767.28</v>
      </c>
      <c r="E1924" s="4" t="s">
        <v>11</v>
      </c>
    </row>
    <row r="1925" spans="1:5" x14ac:dyDescent="0.2">
      <c r="A1925" s="1">
        <v>45158</v>
      </c>
      <c r="B1925" s="2">
        <v>1198</v>
      </c>
      <c r="C1925" s="2">
        <v>266</v>
      </c>
      <c r="D1925" s="3">
        <v>4354.33</v>
      </c>
      <c r="E1925" s="4" t="s">
        <v>12</v>
      </c>
    </row>
    <row r="1926" spans="1:5" hidden="1" x14ac:dyDescent="0.2">
      <c r="A1926" s="1">
        <v>45159</v>
      </c>
      <c r="B1926" s="2">
        <v>1181</v>
      </c>
      <c r="C1926" s="2">
        <v>238</v>
      </c>
      <c r="D1926" s="3">
        <v>3016.44</v>
      </c>
      <c r="E1926" s="4" t="s">
        <v>11</v>
      </c>
    </row>
    <row r="1927" spans="1:5" x14ac:dyDescent="0.2">
      <c r="A1927" s="1">
        <v>45159</v>
      </c>
      <c r="B1927" s="2">
        <v>1139</v>
      </c>
      <c r="C1927" s="2">
        <v>251</v>
      </c>
      <c r="D1927" s="3">
        <v>3836.58</v>
      </c>
      <c r="E1927" s="4" t="s">
        <v>12</v>
      </c>
    </row>
    <row r="1928" spans="1:5" hidden="1" x14ac:dyDescent="0.2">
      <c r="A1928" s="1">
        <v>45160</v>
      </c>
      <c r="B1928" s="2">
        <v>1275</v>
      </c>
      <c r="C1928" s="2">
        <v>226</v>
      </c>
      <c r="D1928" s="3">
        <v>3691.51</v>
      </c>
      <c r="E1928" s="4" t="s">
        <v>11</v>
      </c>
    </row>
    <row r="1929" spans="1:5" x14ac:dyDescent="0.2">
      <c r="A1929" s="1">
        <v>45160</v>
      </c>
      <c r="B1929" s="2">
        <v>1182</v>
      </c>
      <c r="C1929" s="2">
        <v>250</v>
      </c>
      <c r="D1929" s="3">
        <v>3227.47</v>
      </c>
      <c r="E1929" s="4" t="s">
        <v>12</v>
      </c>
    </row>
    <row r="1930" spans="1:5" hidden="1" x14ac:dyDescent="0.2">
      <c r="A1930" s="1">
        <v>45161</v>
      </c>
      <c r="B1930" s="2">
        <v>1226</v>
      </c>
      <c r="C1930" s="2">
        <v>230</v>
      </c>
      <c r="D1930" s="3">
        <v>3146.85</v>
      </c>
      <c r="E1930" s="4" t="s">
        <v>11</v>
      </c>
    </row>
    <row r="1931" spans="1:5" x14ac:dyDescent="0.2">
      <c r="A1931" s="1">
        <v>45161</v>
      </c>
      <c r="B1931" s="2">
        <v>1123</v>
      </c>
      <c r="C1931" s="2">
        <v>249</v>
      </c>
      <c r="D1931" s="3">
        <v>4645.67</v>
      </c>
      <c r="E1931" s="4" t="s">
        <v>12</v>
      </c>
    </row>
    <row r="1932" spans="1:5" hidden="1" x14ac:dyDescent="0.2">
      <c r="A1932" s="1">
        <v>45162</v>
      </c>
      <c r="B1932" s="2">
        <v>1185</v>
      </c>
      <c r="C1932" s="2">
        <v>190</v>
      </c>
      <c r="D1932" s="3">
        <v>2733.25</v>
      </c>
      <c r="E1932" s="4" t="s">
        <v>11</v>
      </c>
    </row>
    <row r="1933" spans="1:5" x14ac:dyDescent="0.2">
      <c r="A1933" s="1">
        <v>45162</v>
      </c>
      <c r="B1933" s="2">
        <v>1207</v>
      </c>
      <c r="C1933" s="2">
        <v>266</v>
      </c>
      <c r="D1933" s="3">
        <v>4984.3599999999997</v>
      </c>
      <c r="E1933" s="4" t="s">
        <v>12</v>
      </c>
    </row>
    <row r="1934" spans="1:5" hidden="1" x14ac:dyDescent="0.2">
      <c r="A1934" s="1">
        <v>45163</v>
      </c>
      <c r="B1934" s="2">
        <v>1171</v>
      </c>
      <c r="C1934" s="2">
        <v>220</v>
      </c>
      <c r="D1934" s="3">
        <v>4004.47</v>
      </c>
      <c r="E1934" s="4" t="s">
        <v>11</v>
      </c>
    </row>
    <row r="1935" spans="1:5" x14ac:dyDescent="0.2">
      <c r="A1935" s="1">
        <v>45163</v>
      </c>
      <c r="B1935" s="2">
        <v>1128</v>
      </c>
      <c r="C1935" s="2">
        <v>238</v>
      </c>
      <c r="D1935" s="3">
        <v>4232.5200000000004</v>
      </c>
      <c r="E1935" s="4" t="s">
        <v>12</v>
      </c>
    </row>
    <row r="1936" spans="1:5" hidden="1" x14ac:dyDescent="0.2">
      <c r="A1936" s="1">
        <v>45164</v>
      </c>
      <c r="B1936" s="2">
        <v>1215</v>
      </c>
      <c r="C1936" s="2">
        <v>230</v>
      </c>
      <c r="D1936" s="3">
        <v>3378.51</v>
      </c>
      <c r="E1936" s="4" t="s">
        <v>11</v>
      </c>
    </row>
    <row r="1937" spans="1:5" x14ac:dyDescent="0.2">
      <c r="A1937" s="1">
        <v>45164</v>
      </c>
      <c r="B1937" s="2">
        <v>1196</v>
      </c>
      <c r="C1937" s="2">
        <v>267</v>
      </c>
      <c r="D1937" s="3">
        <v>3654.85</v>
      </c>
      <c r="E1937" s="4" t="s">
        <v>12</v>
      </c>
    </row>
    <row r="1938" spans="1:5" hidden="1" x14ac:dyDescent="0.2">
      <c r="A1938" s="1">
        <v>45165</v>
      </c>
      <c r="B1938" s="2">
        <v>1201</v>
      </c>
      <c r="C1938" s="2">
        <v>222</v>
      </c>
      <c r="D1938" s="3">
        <v>2574.92</v>
      </c>
      <c r="E1938" s="4" t="s">
        <v>11</v>
      </c>
    </row>
    <row r="1939" spans="1:5" x14ac:dyDescent="0.2">
      <c r="A1939" s="1">
        <v>45165</v>
      </c>
      <c r="B1939" s="2">
        <v>1211</v>
      </c>
      <c r="C1939" s="2">
        <v>270</v>
      </c>
      <c r="D1939" s="3">
        <v>3923.24</v>
      </c>
      <c r="E1939" s="4" t="s">
        <v>12</v>
      </c>
    </row>
    <row r="1940" spans="1:5" hidden="1" x14ac:dyDescent="0.2">
      <c r="A1940" s="1">
        <v>45166</v>
      </c>
      <c r="B1940" s="2">
        <v>1221</v>
      </c>
      <c r="C1940" s="2">
        <v>201</v>
      </c>
      <c r="D1940" s="3">
        <v>2839.52</v>
      </c>
      <c r="E1940" s="4" t="s">
        <v>11</v>
      </c>
    </row>
    <row r="1941" spans="1:5" x14ac:dyDescent="0.2">
      <c r="A1941" s="1">
        <v>45166</v>
      </c>
      <c r="B1941" s="2">
        <v>1099</v>
      </c>
      <c r="C1941" s="2">
        <v>240</v>
      </c>
      <c r="D1941" s="3">
        <v>4354.41</v>
      </c>
      <c r="E1941" s="4" t="s">
        <v>12</v>
      </c>
    </row>
    <row r="1942" spans="1:5" hidden="1" x14ac:dyDescent="0.2">
      <c r="A1942" s="1">
        <v>45167</v>
      </c>
      <c r="B1942" s="2">
        <v>1166</v>
      </c>
      <c r="C1942" s="2">
        <v>252</v>
      </c>
      <c r="D1942" s="3">
        <v>3796.64</v>
      </c>
      <c r="E1942" s="4" t="s">
        <v>11</v>
      </c>
    </row>
    <row r="1943" spans="1:5" x14ac:dyDescent="0.2">
      <c r="A1943" s="1">
        <v>45167</v>
      </c>
      <c r="B1943" s="2">
        <v>1150</v>
      </c>
      <c r="C1943" s="2">
        <v>261</v>
      </c>
      <c r="D1943" s="3">
        <v>4879.1000000000004</v>
      </c>
      <c r="E1943" s="4" t="s">
        <v>12</v>
      </c>
    </row>
    <row r="1944" spans="1:5" hidden="1" x14ac:dyDescent="0.2">
      <c r="A1944" s="1">
        <v>45168</v>
      </c>
      <c r="B1944" s="2">
        <v>1170</v>
      </c>
      <c r="C1944" s="2">
        <v>220</v>
      </c>
      <c r="D1944" s="3">
        <v>3214.93</v>
      </c>
      <c r="E1944" s="4" t="s">
        <v>11</v>
      </c>
    </row>
    <row r="1945" spans="1:5" x14ac:dyDescent="0.2">
      <c r="A1945" s="1">
        <v>45168</v>
      </c>
      <c r="B1945" s="2">
        <v>1114</v>
      </c>
      <c r="C1945" s="2">
        <v>246</v>
      </c>
      <c r="D1945" s="3">
        <v>4377.22</v>
      </c>
      <c r="E1945" s="4" t="s">
        <v>12</v>
      </c>
    </row>
    <row r="1946" spans="1:5" hidden="1" x14ac:dyDescent="0.2">
      <c r="A1946" s="1">
        <v>45169</v>
      </c>
      <c r="B1946" s="2">
        <v>1192</v>
      </c>
      <c r="C1946" s="2">
        <v>234</v>
      </c>
      <c r="D1946" s="3">
        <v>2816.32</v>
      </c>
      <c r="E1946" s="4" t="s">
        <v>11</v>
      </c>
    </row>
    <row r="1947" spans="1:5" x14ac:dyDescent="0.2">
      <c r="A1947" s="1">
        <v>45169</v>
      </c>
      <c r="B1947" s="2">
        <v>1167</v>
      </c>
      <c r="C1947" s="2">
        <v>254</v>
      </c>
      <c r="D1947" s="3">
        <v>4649.05</v>
      </c>
      <c r="E1947" s="4" t="s">
        <v>12</v>
      </c>
    </row>
    <row r="1948" spans="1:5" hidden="1" x14ac:dyDescent="0.2">
      <c r="A1948" s="1">
        <v>45170</v>
      </c>
      <c r="B1948" s="2">
        <v>1169</v>
      </c>
      <c r="C1948" s="2">
        <v>219</v>
      </c>
      <c r="D1948" s="3">
        <v>2892.3</v>
      </c>
      <c r="E1948" s="4" t="s">
        <v>11</v>
      </c>
    </row>
    <row r="1949" spans="1:5" x14ac:dyDescent="0.2">
      <c r="A1949" s="1">
        <v>45170</v>
      </c>
      <c r="B1949" s="2">
        <v>1161</v>
      </c>
      <c r="C1949" s="2">
        <v>257</v>
      </c>
      <c r="D1949" s="3">
        <v>4406.75</v>
      </c>
      <c r="E1949" s="4" t="s">
        <v>12</v>
      </c>
    </row>
    <row r="1950" spans="1:5" hidden="1" x14ac:dyDescent="0.2">
      <c r="A1950" s="1">
        <v>45171</v>
      </c>
      <c r="B1950" s="2">
        <v>1210</v>
      </c>
      <c r="C1950" s="2">
        <v>238</v>
      </c>
      <c r="D1950" s="3">
        <v>3410.17</v>
      </c>
      <c r="E1950" s="4" t="s">
        <v>11</v>
      </c>
    </row>
    <row r="1951" spans="1:5" x14ac:dyDescent="0.2">
      <c r="A1951" s="1">
        <v>45171</v>
      </c>
      <c r="B1951" s="2">
        <v>1134</v>
      </c>
      <c r="C1951" s="2">
        <v>255</v>
      </c>
      <c r="D1951" s="3">
        <v>3491.14</v>
      </c>
      <c r="E1951" s="4" t="s">
        <v>12</v>
      </c>
    </row>
    <row r="1952" spans="1:5" hidden="1" x14ac:dyDescent="0.2">
      <c r="A1952" s="1">
        <v>45172</v>
      </c>
      <c r="B1952" s="2">
        <v>1271</v>
      </c>
      <c r="C1952" s="2">
        <v>237</v>
      </c>
      <c r="D1952" s="3">
        <v>4519.84</v>
      </c>
      <c r="E1952" s="4" t="s">
        <v>11</v>
      </c>
    </row>
    <row r="1953" spans="1:5" x14ac:dyDescent="0.2">
      <c r="A1953" s="1">
        <v>45172</v>
      </c>
      <c r="B1953" s="2">
        <v>1076</v>
      </c>
      <c r="C1953" s="2">
        <v>232</v>
      </c>
      <c r="D1953" s="3">
        <v>4636.33</v>
      </c>
      <c r="E1953" s="4" t="s">
        <v>12</v>
      </c>
    </row>
    <row r="1954" spans="1:5" hidden="1" x14ac:dyDescent="0.2">
      <c r="A1954" s="1">
        <v>45173</v>
      </c>
      <c r="B1954" s="2">
        <v>1180</v>
      </c>
      <c r="C1954" s="2">
        <v>205</v>
      </c>
      <c r="D1954" s="3">
        <v>3573.74</v>
      </c>
      <c r="E1954" s="4" t="s">
        <v>11</v>
      </c>
    </row>
    <row r="1955" spans="1:5" x14ac:dyDescent="0.2">
      <c r="A1955" s="1">
        <v>45173</v>
      </c>
      <c r="B1955" s="2">
        <v>1197</v>
      </c>
      <c r="C1955" s="2">
        <v>280</v>
      </c>
      <c r="D1955" s="3">
        <v>4567.09</v>
      </c>
      <c r="E1955" s="4" t="s">
        <v>12</v>
      </c>
    </row>
    <row r="1956" spans="1:5" hidden="1" x14ac:dyDescent="0.2">
      <c r="A1956" s="1">
        <v>45174</v>
      </c>
      <c r="B1956" s="2">
        <v>1242</v>
      </c>
      <c r="C1956" s="2">
        <v>227</v>
      </c>
      <c r="D1956" s="3">
        <v>2955.26</v>
      </c>
      <c r="E1956" s="4" t="s">
        <v>11</v>
      </c>
    </row>
    <row r="1957" spans="1:5" x14ac:dyDescent="0.2">
      <c r="A1957" s="1">
        <v>45174</v>
      </c>
      <c r="B1957" s="2">
        <v>1171</v>
      </c>
      <c r="C1957" s="2">
        <v>246</v>
      </c>
      <c r="D1957" s="3">
        <v>3767.15</v>
      </c>
      <c r="E1957" s="4" t="s">
        <v>12</v>
      </c>
    </row>
    <row r="1958" spans="1:5" hidden="1" x14ac:dyDescent="0.2">
      <c r="A1958" s="1">
        <v>45175</v>
      </c>
      <c r="B1958" s="2">
        <v>1169</v>
      </c>
      <c r="C1958" s="2">
        <v>225</v>
      </c>
      <c r="D1958" s="3">
        <v>4206.6499999999996</v>
      </c>
      <c r="E1958" s="4" t="s">
        <v>11</v>
      </c>
    </row>
    <row r="1959" spans="1:5" x14ac:dyDescent="0.2">
      <c r="A1959" s="1">
        <v>45175</v>
      </c>
      <c r="B1959" s="2">
        <v>1260</v>
      </c>
      <c r="C1959" s="2">
        <v>313</v>
      </c>
      <c r="D1959" s="3">
        <v>5346.05</v>
      </c>
      <c r="E1959" s="4" t="s">
        <v>12</v>
      </c>
    </row>
    <row r="1960" spans="1:5" hidden="1" x14ac:dyDescent="0.2">
      <c r="A1960" s="1">
        <v>45176</v>
      </c>
      <c r="B1960" s="2">
        <v>1189</v>
      </c>
      <c r="C1960" s="2">
        <v>249</v>
      </c>
      <c r="D1960" s="3">
        <v>4538.26</v>
      </c>
      <c r="E1960" s="4" t="s">
        <v>11</v>
      </c>
    </row>
    <row r="1961" spans="1:5" x14ac:dyDescent="0.2">
      <c r="A1961" s="1">
        <v>45176</v>
      </c>
      <c r="B1961" s="2">
        <v>1187</v>
      </c>
      <c r="C1961" s="2">
        <v>280</v>
      </c>
      <c r="D1961" s="3">
        <v>4888.37</v>
      </c>
      <c r="E1961" s="4" t="s">
        <v>12</v>
      </c>
    </row>
    <row r="1962" spans="1:5" hidden="1" x14ac:dyDescent="0.2">
      <c r="A1962" s="1">
        <v>45177</v>
      </c>
      <c r="B1962" s="2">
        <v>1201</v>
      </c>
      <c r="C1962" s="2">
        <v>225</v>
      </c>
      <c r="D1962" s="3">
        <v>3631.93</v>
      </c>
      <c r="E1962" s="4" t="s">
        <v>11</v>
      </c>
    </row>
    <row r="1963" spans="1:5" x14ac:dyDescent="0.2">
      <c r="A1963" s="1">
        <v>45177</v>
      </c>
      <c r="B1963" s="2">
        <v>1184</v>
      </c>
      <c r="C1963" s="2">
        <v>282</v>
      </c>
      <c r="D1963" s="3">
        <v>4052.68</v>
      </c>
      <c r="E1963" s="4" t="s">
        <v>12</v>
      </c>
    </row>
    <row r="1964" spans="1:5" hidden="1" x14ac:dyDescent="0.2">
      <c r="A1964" s="1">
        <v>45178</v>
      </c>
      <c r="B1964" s="2">
        <v>1243</v>
      </c>
      <c r="C1964" s="2">
        <v>219</v>
      </c>
      <c r="D1964" s="3">
        <v>2617.85</v>
      </c>
      <c r="E1964" s="4" t="s">
        <v>11</v>
      </c>
    </row>
    <row r="1965" spans="1:5" x14ac:dyDescent="0.2">
      <c r="A1965" s="1">
        <v>45178</v>
      </c>
      <c r="B1965" s="2">
        <v>1194</v>
      </c>
      <c r="C1965" s="2">
        <v>277</v>
      </c>
      <c r="D1965" s="3">
        <v>4137.6000000000004</v>
      </c>
      <c r="E1965" s="4" t="s">
        <v>12</v>
      </c>
    </row>
    <row r="1966" spans="1:5" hidden="1" x14ac:dyDescent="0.2">
      <c r="A1966" s="1">
        <v>45179</v>
      </c>
      <c r="B1966" s="2">
        <v>1147</v>
      </c>
      <c r="C1966" s="2">
        <v>218</v>
      </c>
      <c r="D1966" s="3">
        <v>3161.89</v>
      </c>
      <c r="E1966" s="4" t="s">
        <v>11</v>
      </c>
    </row>
    <row r="1967" spans="1:5" x14ac:dyDescent="0.2">
      <c r="A1967" s="1">
        <v>45179</v>
      </c>
      <c r="B1967" s="2">
        <v>1180</v>
      </c>
      <c r="C1967" s="2">
        <v>273</v>
      </c>
      <c r="D1967" s="3">
        <v>4105.9399999999996</v>
      </c>
      <c r="E1967" s="4" t="s">
        <v>12</v>
      </c>
    </row>
    <row r="1968" spans="1:5" hidden="1" x14ac:dyDescent="0.2">
      <c r="A1968" s="1">
        <v>45180</v>
      </c>
      <c r="B1968" s="2">
        <v>1218</v>
      </c>
      <c r="C1968" s="2">
        <v>229</v>
      </c>
      <c r="D1968" s="3">
        <v>3578.27</v>
      </c>
      <c r="E1968" s="4" t="s">
        <v>11</v>
      </c>
    </row>
    <row r="1969" spans="1:5" x14ac:dyDescent="0.2">
      <c r="A1969" s="1">
        <v>45180</v>
      </c>
      <c r="B1969" s="2">
        <v>1164</v>
      </c>
      <c r="C1969" s="2">
        <v>283</v>
      </c>
      <c r="D1969" s="3">
        <v>4852.75</v>
      </c>
      <c r="E1969" s="4" t="s">
        <v>12</v>
      </c>
    </row>
    <row r="1970" spans="1:5" hidden="1" x14ac:dyDescent="0.2">
      <c r="A1970" s="1">
        <v>45181</v>
      </c>
      <c r="B1970" s="2">
        <v>1231</v>
      </c>
      <c r="C1970" s="2">
        <v>230</v>
      </c>
      <c r="D1970" s="3">
        <v>2873.15</v>
      </c>
      <c r="E1970" s="4" t="s">
        <v>11</v>
      </c>
    </row>
    <row r="1971" spans="1:5" x14ac:dyDescent="0.2">
      <c r="A1971" s="1">
        <v>45181</v>
      </c>
      <c r="B1971" s="2">
        <v>1195</v>
      </c>
      <c r="C1971" s="2">
        <v>294</v>
      </c>
      <c r="D1971" s="3">
        <v>4116.63</v>
      </c>
      <c r="E1971" s="4" t="s">
        <v>12</v>
      </c>
    </row>
    <row r="1972" spans="1:5" hidden="1" x14ac:dyDescent="0.2">
      <c r="A1972" s="1">
        <v>45182</v>
      </c>
      <c r="B1972" s="2">
        <v>1169</v>
      </c>
      <c r="C1972" s="2">
        <v>216</v>
      </c>
      <c r="D1972" s="3">
        <v>3783.29</v>
      </c>
      <c r="E1972" s="4" t="s">
        <v>11</v>
      </c>
    </row>
    <row r="1973" spans="1:5" x14ac:dyDescent="0.2">
      <c r="A1973" s="1">
        <v>45182</v>
      </c>
      <c r="B1973" s="2">
        <v>1135</v>
      </c>
      <c r="C1973" s="2">
        <v>252</v>
      </c>
      <c r="D1973" s="3">
        <v>3763.14</v>
      </c>
      <c r="E1973" s="4" t="s">
        <v>12</v>
      </c>
    </row>
    <row r="1974" spans="1:5" hidden="1" x14ac:dyDescent="0.2">
      <c r="A1974" s="1">
        <v>45183</v>
      </c>
      <c r="B1974" s="2">
        <v>1254</v>
      </c>
      <c r="C1974" s="2">
        <v>221</v>
      </c>
      <c r="D1974" s="3">
        <v>3239.34</v>
      </c>
      <c r="E1974" s="4" t="s">
        <v>11</v>
      </c>
    </row>
    <row r="1975" spans="1:5" x14ac:dyDescent="0.2">
      <c r="A1975" s="1">
        <v>45183</v>
      </c>
      <c r="B1975" s="2">
        <v>1207</v>
      </c>
      <c r="C1975" s="2">
        <v>293</v>
      </c>
      <c r="D1975" s="3">
        <v>4649.26</v>
      </c>
      <c r="E1975" s="4" t="s">
        <v>12</v>
      </c>
    </row>
    <row r="1976" spans="1:5" hidden="1" x14ac:dyDescent="0.2">
      <c r="A1976" s="1">
        <v>45184</v>
      </c>
      <c r="B1976" s="2">
        <v>1133</v>
      </c>
      <c r="C1976" s="2">
        <v>218</v>
      </c>
      <c r="D1976" s="3">
        <v>3231.11</v>
      </c>
      <c r="E1976" s="4" t="s">
        <v>11</v>
      </c>
    </row>
    <row r="1977" spans="1:5" x14ac:dyDescent="0.2">
      <c r="A1977" s="1">
        <v>45184</v>
      </c>
      <c r="B1977" s="2">
        <v>1134</v>
      </c>
      <c r="C1977" s="2">
        <v>233</v>
      </c>
      <c r="D1977" s="3">
        <v>4478.3999999999996</v>
      </c>
      <c r="E1977" s="4" t="s">
        <v>12</v>
      </c>
    </row>
    <row r="1978" spans="1:5" hidden="1" x14ac:dyDescent="0.2">
      <c r="A1978" s="1">
        <v>45185</v>
      </c>
      <c r="B1978" s="2">
        <v>1222</v>
      </c>
      <c r="C1978" s="2">
        <v>235</v>
      </c>
      <c r="D1978" s="3">
        <v>4247.58</v>
      </c>
      <c r="E1978" s="4" t="s">
        <v>11</v>
      </c>
    </row>
    <row r="1979" spans="1:5" x14ac:dyDescent="0.2">
      <c r="A1979" s="1">
        <v>45185</v>
      </c>
      <c r="B1979" s="2">
        <v>1148</v>
      </c>
      <c r="C1979" s="2">
        <v>293</v>
      </c>
      <c r="D1979" s="3">
        <v>5516.67</v>
      </c>
      <c r="E1979" s="4" t="s">
        <v>12</v>
      </c>
    </row>
    <row r="1980" spans="1:5" hidden="1" x14ac:dyDescent="0.2">
      <c r="A1980" s="1">
        <v>45186</v>
      </c>
      <c r="B1980" s="2">
        <v>1194</v>
      </c>
      <c r="C1980" s="2">
        <v>235</v>
      </c>
      <c r="D1980" s="3">
        <v>2998.18</v>
      </c>
      <c r="E1980" s="4" t="s">
        <v>11</v>
      </c>
    </row>
    <row r="1981" spans="1:5" x14ac:dyDescent="0.2">
      <c r="A1981" s="1">
        <v>45186</v>
      </c>
      <c r="B1981" s="2">
        <v>1136</v>
      </c>
      <c r="C1981" s="2">
        <v>259</v>
      </c>
      <c r="D1981" s="3">
        <v>3260.93</v>
      </c>
      <c r="E1981" s="4" t="s">
        <v>12</v>
      </c>
    </row>
    <row r="1982" spans="1:5" hidden="1" x14ac:dyDescent="0.2">
      <c r="A1982" s="1">
        <v>45187</v>
      </c>
      <c r="B1982" s="2">
        <v>1250</v>
      </c>
      <c r="C1982" s="2">
        <v>244</v>
      </c>
      <c r="D1982" s="3">
        <v>4252.03</v>
      </c>
      <c r="E1982" s="4" t="s">
        <v>11</v>
      </c>
    </row>
    <row r="1983" spans="1:5" x14ac:dyDescent="0.2">
      <c r="A1983" s="1">
        <v>45187</v>
      </c>
      <c r="B1983" s="2">
        <v>1180</v>
      </c>
      <c r="C1983" s="2">
        <v>272</v>
      </c>
      <c r="D1983" s="3">
        <v>4641.8900000000003</v>
      </c>
      <c r="E1983" s="4" t="s">
        <v>12</v>
      </c>
    </row>
    <row r="1984" spans="1:5" hidden="1" x14ac:dyDescent="0.2">
      <c r="A1984" s="1">
        <v>45188</v>
      </c>
      <c r="B1984" s="2">
        <v>1219</v>
      </c>
      <c r="C1984" s="2">
        <v>241</v>
      </c>
      <c r="D1984" s="3">
        <v>3753.04</v>
      </c>
      <c r="E1984" s="4" t="s">
        <v>11</v>
      </c>
    </row>
    <row r="1985" spans="1:5" x14ac:dyDescent="0.2">
      <c r="A1985" s="1">
        <v>45188</v>
      </c>
      <c r="B1985" s="2">
        <v>1057</v>
      </c>
      <c r="C1985" s="2">
        <v>239</v>
      </c>
      <c r="D1985" s="3">
        <v>3733.85</v>
      </c>
      <c r="E1985" s="4" t="s">
        <v>12</v>
      </c>
    </row>
    <row r="1986" spans="1:5" hidden="1" x14ac:dyDescent="0.2">
      <c r="A1986" s="1">
        <v>45189</v>
      </c>
      <c r="B1986" s="2">
        <v>1203</v>
      </c>
      <c r="C1986" s="2">
        <v>228</v>
      </c>
      <c r="D1986" s="3">
        <v>2613.77</v>
      </c>
      <c r="E1986" s="4" t="s">
        <v>11</v>
      </c>
    </row>
    <row r="1987" spans="1:5" x14ac:dyDescent="0.2">
      <c r="A1987" s="1">
        <v>45189</v>
      </c>
      <c r="B1987" s="2">
        <v>1225</v>
      </c>
      <c r="C1987" s="2">
        <v>263</v>
      </c>
      <c r="D1987" s="3">
        <v>4218.28</v>
      </c>
      <c r="E1987" s="4" t="s">
        <v>12</v>
      </c>
    </row>
    <row r="1988" spans="1:5" hidden="1" x14ac:dyDescent="0.2">
      <c r="A1988" s="1">
        <v>45190</v>
      </c>
      <c r="B1988" s="2">
        <v>1183</v>
      </c>
      <c r="C1988" s="2">
        <v>221</v>
      </c>
      <c r="D1988" s="3">
        <v>2944.44</v>
      </c>
      <c r="E1988" s="4" t="s">
        <v>11</v>
      </c>
    </row>
    <row r="1989" spans="1:5" x14ac:dyDescent="0.2">
      <c r="A1989" s="1">
        <v>45190</v>
      </c>
      <c r="B1989" s="2">
        <v>1147</v>
      </c>
      <c r="C1989" s="2">
        <v>286</v>
      </c>
      <c r="D1989" s="3">
        <v>3882.36</v>
      </c>
      <c r="E1989" s="4" t="s">
        <v>12</v>
      </c>
    </row>
    <row r="1990" spans="1:5" hidden="1" x14ac:dyDescent="0.2">
      <c r="A1990" s="1">
        <v>45191</v>
      </c>
      <c r="B1990" s="2">
        <v>1155</v>
      </c>
      <c r="C1990" s="2">
        <v>214</v>
      </c>
      <c r="D1990" s="3">
        <v>3374.12</v>
      </c>
      <c r="E1990" s="4" t="s">
        <v>11</v>
      </c>
    </row>
    <row r="1991" spans="1:5" x14ac:dyDescent="0.2">
      <c r="A1991" s="1">
        <v>45191</v>
      </c>
      <c r="B1991" s="2">
        <v>1138</v>
      </c>
      <c r="C1991" s="2">
        <v>274</v>
      </c>
      <c r="D1991" s="3">
        <v>3840.88</v>
      </c>
      <c r="E1991" s="4" t="s">
        <v>12</v>
      </c>
    </row>
    <row r="1992" spans="1:5" hidden="1" x14ac:dyDescent="0.2">
      <c r="A1992" s="1">
        <v>45192</v>
      </c>
      <c r="B1992" s="2">
        <v>1219</v>
      </c>
      <c r="C1992" s="2">
        <v>229</v>
      </c>
      <c r="D1992" s="3">
        <v>3535.33</v>
      </c>
      <c r="E1992" s="4" t="s">
        <v>11</v>
      </c>
    </row>
    <row r="1993" spans="1:5" x14ac:dyDescent="0.2">
      <c r="A1993" s="1">
        <v>45192</v>
      </c>
      <c r="B1993" s="2">
        <v>1124</v>
      </c>
      <c r="C1993" s="2">
        <v>239</v>
      </c>
      <c r="D1993" s="3">
        <v>3596.76</v>
      </c>
      <c r="E1993" s="4" t="s">
        <v>12</v>
      </c>
    </row>
    <row r="1994" spans="1:5" hidden="1" x14ac:dyDescent="0.2">
      <c r="A1994" s="1">
        <v>45193</v>
      </c>
      <c r="B1994" s="2">
        <v>1199</v>
      </c>
      <c r="C1994" s="2">
        <v>241</v>
      </c>
      <c r="D1994" s="3">
        <v>3909.54</v>
      </c>
      <c r="E1994" s="4" t="s">
        <v>11</v>
      </c>
    </row>
    <row r="1995" spans="1:5" x14ac:dyDescent="0.2">
      <c r="A1995" s="1">
        <v>45193</v>
      </c>
      <c r="B1995" s="2">
        <v>1105</v>
      </c>
      <c r="C1995" s="2">
        <v>238</v>
      </c>
      <c r="D1995" s="3">
        <v>3443.16</v>
      </c>
      <c r="E1995" s="4" t="s">
        <v>12</v>
      </c>
    </row>
    <row r="1996" spans="1:5" hidden="1" x14ac:dyDescent="0.2">
      <c r="A1996" s="1">
        <v>45194</v>
      </c>
      <c r="B1996" s="2">
        <v>1180</v>
      </c>
      <c r="C1996" s="2">
        <v>224</v>
      </c>
      <c r="D1996" s="3">
        <v>4030.02</v>
      </c>
      <c r="E1996" s="4" t="s">
        <v>11</v>
      </c>
    </row>
    <row r="1997" spans="1:5" x14ac:dyDescent="0.2">
      <c r="A1997" s="1">
        <v>45194</v>
      </c>
      <c r="B1997" s="2">
        <v>1172</v>
      </c>
      <c r="C1997" s="2">
        <v>270</v>
      </c>
      <c r="D1997" s="3">
        <v>5010.3500000000004</v>
      </c>
      <c r="E1997" s="4" t="s">
        <v>12</v>
      </c>
    </row>
    <row r="1998" spans="1:5" hidden="1" x14ac:dyDescent="0.2">
      <c r="A1998" s="1">
        <v>45195</v>
      </c>
      <c r="B1998" s="2">
        <v>1235</v>
      </c>
      <c r="C1998" s="2">
        <v>233</v>
      </c>
      <c r="D1998" s="3">
        <v>3279.36</v>
      </c>
      <c r="E1998" s="4" t="s">
        <v>11</v>
      </c>
    </row>
    <row r="1999" spans="1:5" x14ac:dyDescent="0.2">
      <c r="A1999" s="1">
        <v>45195</v>
      </c>
      <c r="B1999" s="2">
        <v>1153</v>
      </c>
      <c r="C1999" s="2">
        <v>254</v>
      </c>
      <c r="D1999" s="3">
        <v>3908.02</v>
      </c>
      <c r="E1999" s="4" t="s">
        <v>12</v>
      </c>
    </row>
    <row r="2000" spans="1:5" hidden="1" x14ac:dyDescent="0.2">
      <c r="A2000" s="1">
        <v>45196</v>
      </c>
      <c r="B2000" s="2">
        <v>1190</v>
      </c>
      <c r="C2000" s="2">
        <v>250</v>
      </c>
      <c r="D2000" s="3">
        <v>3413.8</v>
      </c>
      <c r="E2000" s="4" t="s">
        <v>11</v>
      </c>
    </row>
    <row r="2001" spans="1:5" x14ac:dyDescent="0.2">
      <c r="A2001" s="1">
        <v>45196</v>
      </c>
      <c r="B2001" s="2">
        <v>1156</v>
      </c>
      <c r="C2001" s="2">
        <v>267</v>
      </c>
      <c r="D2001" s="3">
        <v>4451.6899999999996</v>
      </c>
      <c r="E2001" s="4" t="s">
        <v>12</v>
      </c>
    </row>
    <row r="2002" spans="1:5" hidden="1" x14ac:dyDescent="0.2">
      <c r="A2002" s="1">
        <v>45197</v>
      </c>
      <c r="B2002" s="2">
        <v>1174</v>
      </c>
      <c r="C2002" s="2">
        <v>223</v>
      </c>
      <c r="D2002" s="3">
        <v>3006.13</v>
      </c>
      <c r="E2002" s="4" t="s">
        <v>11</v>
      </c>
    </row>
    <row r="2003" spans="1:5" x14ac:dyDescent="0.2">
      <c r="A2003" s="1">
        <v>45197</v>
      </c>
      <c r="B2003" s="2">
        <v>1105</v>
      </c>
      <c r="C2003" s="2">
        <v>251</v>
      </c>
      <c r="D2003" s="3">
        <v>3659.57</v>
      </c>
      <c r="E2003" s="4" t="s">
        <v>12</v>
      </c>
    </row>
    <row r="2004" spans="1:5" hidden="1" x14ac:dyDescent="0.2">
      <c r="A2004" s="1">
        <v>45198</v>
      </c>
      <c r="B2004" s="2">
        <v>1222</v>
      </c>
      <c r="C2004" s="2">
        <v>233</v>
      </c>
      <c r="D2004" s="3">
        <v>3997.41</v>
      </c>
      <c r="E2004" s="4" t="s">
        <v>11</v>
      </c>
    </row>
    <row r="2005" spans="1:5" x14ac:dyDescent="0.2">
      <c r="A2005" s="1">
        <v>45198</v>
      </c>
      <c r="B2005" s="2">
        <v>1121</v>
      </c>
      <c r="C2005" s="2">
        <v>253</v>
      </c>
      <c r="D2005" s="3">
        <v>4004.37</v>
      </c>
      <c r="E2005" s="4" t="s">
        <v>12</v>
      </c>
    </row>
    <row r="2006" spans="1:5" hidden="1" x14ac:dyDescent="0.2">
      <c r="A2006" s="1">
        <v>45199</v>
      </c>
      <c r="B2006" s="2">
        <v>1164</v>
      </c>
      <c r="C2006" s="2">
        <v>211</v>
      </c>
      <c r="D2006" s="3">
        <v>2975.56</v>
      </c>
      <c r="E2006" s="4" t="s">
        <v>11</v>
      </c>
    </row>
    <row r="2007" spans="1:5" x14ac:dyDescent="0.2">
      <c r="A2007" s="1">
        <v>45199</v>
      </c>
      <c r="B2007" s="2">
        <v>1123</v>
      </c>
      <c r="C2007" s="2">
        <v>276</v>
      </c>
      <c r="D2007" s="3">
        <v>4191.83</v>
      </c>
      <c r="E2007" s="4" t="s">
        <v>12</v>
      </c>
    </row>
    <row r="2008" spans="1:5" hidden="1" x14ac:dyDescent="0.2">
      <c r="A2008" s="1">
        <v>45200</v>
      </c>
      <c r="B2008" s="2">
        <v>1227</v>
      </c>
      <c r="C2008" s="2">
        <v>259</v>
      </c>
      <c r="D2008" s="3">
        <v>4615.74</v>
      </c>
      <c r="E2008" s="4" t="s">
        <v>11</v>
      </c>
    </row>
    <row r="2009" spans="1:5" x14ac:dyDescent="0.2">
      <c r="A2009" s="1">
        <v>45200</v>
      </c>
      <c r="B2009" s="2">
        <v>1185</v>
      </c>
      <c r="C2009" s="2">
        <v>260</v>
      </c>
      <c r="D2009" s="3">
        <v>3998.95</v>
      </c>
      <c r="E2009" s="4" t="s">
        <v>12</v>
      </c>
    </row>
    <row r="2010" spans="1:5" hidden="1" x14ac:dyDescent="0.2">
      <c r="A2010" s="1">
        <v>45201</v>
      </c>
      <c r="B2010" s="2">
        <v>1162</v>
      </c>
      <c r="C2010" s="2">
        <v>218</v>
      </c>
      <c r="D2010" s="3">
        <v>3284.29</v>
      </c>
      <c r="E2010" s="4" t="s">
        <v>11</v>
      </c>
    </row>
    <row r="2011" spans="1:5" x14ac:dyDescent="0.2">
      <c r="A2011" s="1">
        <v>45201</v>
      </c>
      <c r="B2011" s="2">
        <v>1153</v>
      </c>
      <c r="C2011" s="2">
        <v>268</v>
      </c>
      <c r="D2011" s="3">
        <v>4299.38</v>
      </c>
      <c r="E2011" s="4" t="s">
        <v>12</v>
      </c>
    </row>
    <row r="2012" spans="1:5" hidden="1" x14ac:dyDescent="0.2">
      <c r="A2012" s="1">
        <v>45202</v>
      </c>
      <c r="B2012" s="2">
        <v>1145</v>
      </c>
      <c r="C2012" s="2">
        <v>202</v>
      </c>
      <c r="D2012" s="3">
        <v>3163.67</v>
      </c>
      <c r="E2012" s="4" t="s">
        <v>11</v>
      </c>
    </row>
    <row r="2013" spans="1:5" x14ac:dyDescent="0.2">
      <c r="A2013" s="1">
        <v>45202</v>
      </c>
      <c r="B2013" s="2">
        <v>1202</v>
      </c>
      <c r="C2013" s="2">
        <v>262</v>
      </c>
      <c r="D2013" s="3">
        <v>4584.88</v>
      </c>
      <c r="E2013" s="4" t="s">
        <v>12</v>
      </c>
    </row>
    <row r="2014" spans="1:5" hidden="1" x14ac:dyDescent="0.2">
      <c r="A2014" s="1">
        <v>45203</v>
      </c>
      <c r="B2014" s="2">
        <v>1178</v>
      </c>
      <c r="C2014" s="2">
        <v>243</v>
      </c>
      <c r="D2014" s="3">
        <v>2594.61</v>
      </c>
      <c r="E2014" s="4" t="s">
        <v>11</v>
      </c>
    </row>
    <row r="2015" spans="1:5" x14ac:dyDescent="0.2">
      <c r="A2015" s="1">
        <v>45203</v>
      </c>
      <c r="B2015" s="2">
        <v>1181</v>
      </c>
      <c r="C2015" s="2">
        <v>295</v>
      </c>
      <c r="D2015" s="3">
        <v>5004.6899999999996</v>
      </c>
      <c r="E2015" s="4" t="s">
        <v>12</v>
      </c>
    </row>
    <row r="2016" spans="1:5" hidden="1" x14ac:dyDescent="0.2">
      <c r="A2016" s="1">
        <v>45204</v>
      </c>
      <c r="B2016" s="2">
        <v>1231</v>
      </c>
      <c r="C2016" s="2">
        <v>237</v>
      </c>
      <c r="D2016" s="3">
        <v>4229.95</v>
      </c>
      <c r="E2016" s="4" t="s">
        <v>11</v>
      </c>
    </row>
    <row r="2017" spans="1:5" x14ac:dyDescent="0.2">
      <c r="A2017" s="1">
        <v>45204</v>
      </c>
      <c r="B2017" s="2">
        <v>1133</v>
      </c>
      <c r="C2017" s="2">
        <v>263</v>
      </c>
      <c r="D2017" s="3">
        <v>4951.6400000000003</v>
      </c>
      <c r="E2017" s="4" t="s">
        <v>12</v>
      </c>
    </row>
    <row r="2018" spans="1:5" hidden="1" x14ac:dyDescent="0.2">
      <c r="A2018" s="1">
        <v>45205</v>
      </c>
      <c r="B2018" s="2">
        <v>1199</v>
      </c>
      <c r="C2018" s="2">
        <v>235</v>
      </c>
      <c r="D2018" s="3">
        <v>3247.74</v>
      </c>
      <c r="E2018" s="4" t="s">
        <v>11</v>
      </c>
    </row>
    <row r="2019" spans="1:5" x14ac:dyDescent="0.2">
      <c r="A2019" s="1">
        <v>45205</v>
      </c>
      <c r="B2019" s="2">
        <v>1123</v>
      </c>
      <c r="C2019" s="2">
        <v>271</v>
      </c>
      <c r="D2019" s="3">
        <v>4515.42</v>
      </c>
      <c r="E2019" s="4" t="s">
        <v>12</v>
      </c>
    </row>
    <row r="2020" spans="1:5" hidden="1" x14ac:dyDescent="0.2">
      <c r="A2020" s="1">
        <v>45206</v>
      </c>
      <c r="B2020" s="2">
        <v>1218</v>
      </c>
      <c r="C2020" s="2">
        <v>223</v>
      </c>
      <c r="D2020" s="3">
        <v>2783.46</v>
      </c>
      <c r="E2020" s="4" t="s">
        <v>11</v>
      </c>
    </row>
    <row r="2021" spans="1:5" x14ac:dyDescent="0.2">
      <c r="A2021" s="1">
        <v>45206</v>
      </c>
      <c r="B2021" s="2">
        <v>1085</v>
      </c>
      <c r="C2021" s="2">
        <v>231</v>
      </c>
      <c r="D2021" s="3">
        <v>3231.54</v>
      </c>
      <c r="E2021" s="4" t="s">
        <v>12</v>
      </c>
    </row>
    <row r="2022" spans="1:5" hidden="1" x14ac:dyDescent="0.2">
      <c r="A2022" s="1">
        <v>45207</v>
      </c>
      <c r="B2022" s="2">
        <v>1218</v>
      </c>
      <c r="C2022" s="2">
        <v>248</v>
      </c>
      <c r="D2022" s="3">
        <v>3804.31</v>
      </c>
      <c r="E2022" s="4" t="s">
        <v>11</v>
      </c>
    </row>
    <row r="2023" spans="1:5" x14ac:dyDescent="0.2">
      <c r="A2023" s="1">
        <v>45207</v>
      </c>
      <c r="B2023" s="2">
        <v>1118</v>
      </c>
      <c r="C2023" s="2">
        <v>244</v>
      </c>
      <c r="D2023" s="3">
        <v>4246.49</v>
      </c>
      <c r="E2023" s="4" t="s">
        <v>12</v>
      </c>
    </row>
    <row r="2024" spans="1:5" hidden="1" x14ac:dyDescent="0.2">
      <c r="A2024" s="1">
        <v>45208</v>
      </c>
      <c r="B2024" s="2">
        <v>1236</v>
      </c>
      <c r="C2024" s="2">
        <v>213</v>
      </c>
      <c r="D2024" s="3">
        <v>3499.69</v>
      </c>
      <c r="E2024" s="4" t="s">
        <v>11</v>
      </c>
    </row>
    <row r="2025" spans="1:5" x14ac:dyDescent="0.2">
      <c r="A2025" s="1">
        <v>45208</v>
      </c>
      <c r="B2025" s="2">
        <v>1147</v>
      </c>
      <c r="C2025" s="2">
        <v>244</v>
      </c>
      <c r="D2025" s="3">
        <v>3712.04</v>
      </c>
      <c r="E2025" s="4" t="s">
        <v>12</v>
      </c>
    </row>
    <row r="2026" spans="1:5" hidden="1" x14ac:dyDescent="0.2">
      <c r="A2026" s="1">
        <v>45209</v>
      </c>
      <c r="B2026" s="2">
        <v>1139</v>
      </c>
      <c r="C2026" s="2">
        <v>227</v>
      </c>
      <c r="D2026" s="3">
        <v>3228.21</v>
      </c>
      <c r="E2026" s="4" t="s">
        <v>11</v>
      </c>
    </row>
    <row r="2027" spans="1:5" x14ac:dyDescent="0.2">
      <c r="A2027" s="1">
        <v>45209</v>
      </c>
      <c r="B2027" s="2">
        <v>1096</v>
      </c>
      <c r="C2027" s="2">
        <v>252</v>
      </c>
      <c r="D2027" s="3">
        <v>4715.33</v>
      </c>
      <c r="E2027" s="4" t="s">
        <v>12</v>
      </c>
    </row>
    <row r="2028" spans="1:5" hidden="1" x14ac:dyDescent="0.2">
      <c r="A2028" s="1">
        <v>45210</v>
      </c>
      <c r="B2028" s="2">
        <v>1172</v>
      </c>
      <c r="C2028" s="2">
        <v>195</v>
      </c>
      <c r="D2028" s="3">
        <v>2447.4899999999998</v>
      </c>
      <c r="E2028" s="4" t="s">
        <v>11</v>
      </c>
    </row>
    <row r="2029" spans="1:5" x14ac:dyDescent="0.2">
      <c r="A2029" s="1">
        <v>45210</v>
      </c>
      <c r="B2029" s="2">
        <v>1155</v>
      </c>
      <c r="C2029" s="2">
        <v>248</v>
      </c>
      <c r="D2029" s="3">
        <v>3525.18</v>
      </c>
      <c r="E2029" s="4" t="s">
        <v>12</v>
      </c>
    </row>
    <row r="2030" spans="1:5" hidden="1" x14ac:dyDescent="0.2">
      <c r="A2030" s="1">
        <v>45211</v>
      </c>
      <c r="B2030" s="2">
        <v>1238</v>
      </c>
      <c r="C2030" s="2">
        <v>232</v>
      </c>
      <c r="D2030" s="3">
        <v>3026.24</v>
      </c>
      <c r="E2030" s="4" t="s">
        <v>11</v>
      </c>
    </row>
    <row r="2031" spans="1:5" x14ac:dyDescent="0.2">
      <c r="A2031" s="1">
        <v>45211</v>
      </c>
      <c r="B2031" s="2">
        <v>1155</v>
      </c>
      <c r="C2031" s="2">
        <v>283</v>
      </c>
      <c r="D2031" s="3">
        <v>4181.37</v>
      </c>
      <c r="E2031" s="4" t="s">
        <v>12</v>
      </c>
    </row>
    <row r="2032" spans="1:5" hidden="1" x14ac:dyDescent="0.2">
      <c r="A2032" s="1">
        <v>45212</v>
      </c>
      <c r="B2032" s="2">
        <v>1174</v>
      </c>
      <c r="C2032" s="2">
        <v>219</v>
      </c>
      <c r="D2032" s="3">
        <v>3960.64</v>
      </c>
      <c r="E2032" s="4" t="s">
        <v>11</v>
      </c>
    </row>
    <row r="2033" spans="1:5" x14ac:dyDescent="0.2">
      <c r="A2033" s="1">
        <v>45212</v>
      </c>
      <c r="B2033" s="2">
        <v>1111</v>
      </c>
      <c r="C2033" s="2">
        <v>249</v>
      </c>
      <c r="D2033" s="3">
        <v>3276.9</v>
      </c>
      <c r="E2033" s="4" t="s">
        <v>12</v>
      </c>
    </row>
    <row r="2034" spans="1:5" hidden="1" x14ac:dyDescent="0.2">
      <c r="A2034" s="1">
        <v>45213</v>
      </c>
      <c r="B2034" s="2">
        <v>1197</v>
      </c>
      <c r="C2034" s="2">
        <v>233</v>
      </c>
      <c r="D2034" s="3">
        <v>3041.97</v>
      </c>
      <c r="E2034" s="4" t="s">
        <v>11</v>
      </c>
    </row>
    <row r="2035" spans="1:5" x14ac:dyDescent="0.2">
      <c r="A2035" s="1">
        <v>45213</v>
      </c>
      <c r="B2035" s="2">
        <v>1139</v>
      </c>
      <c r="C2035" s="2">
        <v>269</v>
      </c>
      <c r="D2035" s="3">
        <v>4346.8100000000004</v>
      </c>
      <c r="E2035" s="4" t="s">
        <v>12</v>
      </c>
    </row>
    <row r="2036" spans="1:5" hidden="1" x14ac:dyDescent="0.2">
      <c r="A2036" s="1">
        <v>45214</v>
      </c>
      <c r="B2036" s="2">
        <v>1148</v>
      </c>
      <c r="C2036" s="2">
        <v>267</v>
      </c>
      <c r="D2036" s="3">
        <v>3801.21</v>
      </c>
      <c r="E2036" s="4" t="s">
        <v>11</v>
      </c>
    </row>
    <row r="2037" spans="1:5" x14ac:dyDescent="0.2">
      <c r="A2037" s="1">
        <v>45214</v>
      </c>
      <c r="B2037" s="2">
        <v>1218</v>
      </c>
      <c r="C2037" s="2">
        <v>306</v>
      </c>
      <c r="D2037" s="3">
        <v>5348.96</v>
      </c>
      <c r="E2037" s="4" t="s">
        <v>12</v>
      </c>
    </row>
    <row r="2038" spans="1:5" hidden="1" x14ac:dyDescent="0.2">
      <c r="A2038" s="1">
        <v>45215</v>
      </c>
      <c r="B2038" s="2">
        <v>1173</v>
      </c>
      <c r="C2038" s="2">
        <v>220</v>
      </c>
      <c r="D2038" s="3">
        <v>3760</v>
      </c>
      <c r="E2038" s="4" t="s">
        <v>11</v>
      </c>
    </row>
    <row r="2039" spans="1:5" x14ac:dyDescent="0.2">
      <c r="A2039" s="1">
        <v>45215</v>
      </c>
      <c r="B2039" s="2">
        <v>1145</v>
      </c>
      <c r="C2039" s="2">
        <v>255</v>
      </c>
      <c r="D2039" s="3">
        <v>3977.28</v>
      </c>
      <c r="E2039" s="4" t="s">
        <v>12</v>
      </c>
    </row>
    <row r="2040" spans="1:5" hidden="1" x14ac:dyDescent="0.2">
      <c r="A2040" s="1">
        <v>45216</v>
      </c>
      <c r="B2040" s="2">
        <v>1137</v>
      </c>
      <c r="C2040" s="2">
        <v>221</v>
      </c>
      <c r="D2040" s="3">
        <v>3948.67</v>
      </c>
      <c r="E2040" s="4" t="s">
        <v>11</v>
      </c>
    </row>
    <row r="2041" spans="1:5" x14ac:dyDescent="0.2">
      <c r="A2041" s="1">
        <v>45216</v>
      </c>
      <c r="B2041" s="2">
        <v>1144</v>
      </c>
      <c r="C2041" s="2">
        <v>255</v>
      </c>
      <c r="D2041" s="3">
        <v>3131.57</v>
      </c>
      <c r="E2041" s="4" t="s">
        <v>12</v>
      </c>
    </row>
    <row r="2042" spans="1:5" hidden="1" x14ac:dyDescent="0.2">
      <c r="A2042" s="1">
        <v>45217</v>
      </c>
      <c r="B2042" s="2">
        <v>1195</v>
      </c>
      <c r="C2042" s="2">
        <v>239</v>
      </c>
      <c r="D2042" s="3">
        <v>3714.86</v>
      </c>
      <c r="E2042" s="4" t="s">
        <v>11</v>
      </c>
    </row>
    <row r="2043" spans="1:5" x14ac:dyDescent="0.2">
      <c r="A2043" s="1">
        <v>45217</v>
      </c>
      <c r="B2043" s="2">
        <v>1195</v>
      </c>
      <c r="C2043" s="2">
        <v>261</v>
      </c>
      <c r="D2043" s="3">
        <v>5006.3999999999996</v>
      </c>
      <c r="E2043" s="4" t="s">
        <v>12</v>
      </c>
    </row>
    <row r="2044" spans="1:5" hidden="1" x14ac:dyDescent="0.2">
      <c r="A2044" s="1">
        <v>45218</v>
      </c>
      <c r="B2044" s="2">
        <v>1206</v>
      </c>
      <c r="C2044" s="2">
        <v>245</v>
      </c>
      <c r="D2044" s="3">
        <v>3595.59</v>
      </c>
      <c r="E2044" s="4" t="s">
        <v>11</v>
      </c>
    </row>
    <row r="2045" spans="1:5" x14ac:dyDescent="0.2">
      <c r="A2045" s="1">
        <v>45218</v>
      </c>
      <c r="B2045" s="2">
        <v>1173</v>
      </c>
      <c r="C2045" s="2">
        <v>259</v>
      </c>
      <c r="D2045" s="3">
        <v>4763.1000000000004</v>
      </c>
      <c r="E2045" s="4" t="s">
        <v>12</v>
      </c>
    </row>
    <row r="2046" spans="1:5" hidden="1" x14ac:dyDescent="0.2">
      <c r="A2046" s="1">
        <v>45219</v>
      </c>
      <c r="B2046" s="2">
        <v>1234</v>
      </c>
      <c r="C2046" s="2">
        <v>237</v>
      </c>
      <c r="D2046" s="3">
        <v>4144.1000000000004</v>
      </c>
      <c r="E2046" s="4" t="s">
        <v>11</v>
      </c>
    </row>
    <row r="2047" spans="1:5" x14ac:dyDescent="0.2">
      <c r="A2047" s="1">
        <v>45219</v>
      </c>
      <c r="B2047" s="2">
        <v>1176</v>
      </c>
      <c r="C2047" s="2">
        <v>273</v>
      </c>
      <c r="D2047" s="3">
        <v>4765.03</v>
      </c>
      <c r="E2047" s="4" t="s">
        <v>12</v>
      </c>
    </row>
    <row r="2048" spans="1:5" hidden="1" x14ac:dyDescent="0.2">
      <c r="A2048" s="1">
        <v>45220</v>
      </c>
      <c r="B2048" s="2">
        <v>1154</v>
      </c>
      <c r="C2048" s="2">
        <v>226</v>
      </c>
      <c r="D2048" s="3">
        <v>3335.3</v>
      </c>
      <c r="E2048" s="4" t="s">
        <v>11</v>
      </c>
    </row>
    <row r="2049" spans="1:5" x14ac:dyDescent="0.2">
      <c r="A2049" s="1">
        <v>45220</v>
      </c>
      <c r="B2049" s="2">
        <v>1193</v>
      </c>
      <c r="C2049" s="2">
        <v>282</v>
      </c>
      <c r="D2049" s="3">
        <v>4922.12</v>
      </c>
      <c r="E2049" s="4" t="s">
        <v>12</v>
      </c>
    </row>
    <row r="2050" spans="1:5" hidden="1" x14ac:dyDescent="0.2">
      <c r="A2050" s="1">
        <v>45221</v>
      </c>
      <c r="B2050" s="2">
        <v>1190</v>
      </c>
      <c r="C2050" s="2">
        <v>220</v>
      </c>
      <c r="D2050" s="3">
        <v>4113.0600000000004</v>
      </c>
      <c r="E2050" s="4" t="s">
        <v>11</v>
      </c>
    </row>
    <row r="2051" spans="1:5" x14ac:dyDescent="0.2">
      <c r="A2051" s="1">
        <v>45221</v>
      </c>
      <c r="B2051" s="2">
        <v>1075</v>
      </c>
      <c r="C2051" s="2">
        <v>242</v>
      </c>
      <c r="D2051" s="3">
        <v>4448.22</v>
      </c>
      <c r="E2051" s="4" t="s">
        <v>12</v>
      </c>
    </row>
    <row r="2052" spans="1:5" hidden="1" x14ac:dyDescent="0.2">
      <c r="A2052" s="1">
        <v>45222</v>
      </c>
      <c r="B2052" s="2">
        <v>1213</v>
      </c>
      <c r="C2052" s="2">
        <v>241</v>
      </c>
      <c r="D2052" s="3">
        <v>3170.43</v>
      </c>
      <c r="E2052" s="4" t="s">
        <v>11</v>
      </c>
    </row>
    <row r="2053" spans="1:5" x14ac:dyDescent="0.2">
      <c r="A2053" s="1">
        <v>45222</v>
      </c>
      <c r="B2053" s="2">
        <v>1107</v>
      </c>
      <c r="C2053" s="2">
        <v>275</v>
      </c>
      <c r="D2053" s="3">
        <v>3949.34</v>
      </c>
      <c r="E2053" s="4" t="s">
        <v>12</v>
      </c>
    </row>
    <row r="2054" spans="1:5" hidden="1" x14ac:dyDescent="0.2">
      <c r="A2054" s="1">
        <v>45223</v>
      </c>
      <c r="B2054" s="2">
        <v>1164</v>
      </c>
      <c r="C2054" s="2">
        <v>231</v>
      </c>
      <c r="D2054" s="3">
        <v>3843.91</v>
      </c>
      <c r="E2054" s="4" t="s">
        <v>11</v>
      </c>
    </row>
    <row r="2055" spans="1:5" x14ac:dyDescent="0.2">
      <c r="A2055" s="1">
        <v>45223</v>
      </c>
      <c r="B2055" s="2">
        <v>1177</v>
      </c>
      <c r="C2055" s="2">
        <v>283</v>
      </c>
      <c r="D2055" s="3">
        <v>4263.26</v>
      </c>
      <c r="E2055" s="4" t="s">
        <v>12</v>
      </c>
    </row>
    <row r="2056" spans="1:5" hidden="1" x14ac:dyDescent="0.2">
      <c r="A2056" s="1">
        <v>45224</v>
      </c>
      <c r="B2056" s="2">
        <v>1150</v>
      </c>
      <c r="C2056" s="2">
        <v>208</v>
      </c>
      <c r="D2056" s="3">
        <v>3705.99</v>
      </c>
      <c r="E2056" s="4" t="s">
        <v>11</v>
      </c>
    </row>
    <row r="2057" spans="1:5" x14ac:dyDescent="0.2">
      <c r="A2057" s="1">
        <v>45224</v>
      </c>
      <c r="B2057" s="2">
        <v>1181</v>
      </c>
      <c r="C2057" s="2">
        <v>273</v>
      </c>
      <c r="D2057" s="3">
        <v>4299.34</v>
      </c>
      <c r="E2057" s="4" t="s">
        <v>12</v>
      </c>
    </row>
    <row r="2058" spans="1:5" hidden="1" x14ac:dyDescent="0.2">
      <c r="A2058" s="1">
        <v>45225</v>
      </c>
      <c r="B2058" s="2">
        <v>1209</v>
      </c>
      <c r="C2058" s="2">
        <v>218</v>
      </c>
      <c r="D2058" s="3">
        <v>3082.33</v>
      </c>
      <c r="E2058" s="4" t="s">
        <v>11</v>
      </c>
    </row>
    <row r="2059" spans="1:5" x14ac:dyDescent="0.2">
      <c r="A2059" s="1">
        <v>45225</v>
      </c>
      <c r="B2059" s="2">
        <v>1161</v>
      </c>
      <c r="C2059" s="2">
        <v>275</v>
      </c>
      <c r="D2059" s="3">
        <v>5504.66</v>
      </c>
      <c r="E2059" s="4" t="s">
        <v>12</v>
      </c>
    </row>
    <row r="2060" spans="1:5" hidden="1" x14ac:dyDescent="0.2">
      <c r="A2060" s="1">
        <v>45226</v>
      </c>
      <c r="B2060" s="2">
        <v>1151</v>
      </c>
      <c r="C2060" s="2">
        <v>200</v>
      </c>
      <c r="D2060" s="3">
        <v>3188.01</v>
      </c>
      <c r="E2060" s="4" t="s">
        <v>11</v>
      </c>
    </row>
    <row r="2061" spans="1:5" x14ac:dyDescent="0.2">
      <c r="A2061" s="1">
        <v>45226</v>
      </c>
      <c r="B2061" s="2">
        <v>1167</v>
      </c>
      <c r="C2061" s="2">
        <v>270</v>
      </c>
      <c r="D2061" s="3">
        <v>4375.83</v>
      </c>
      <c r="E2061" s="4" t="s">
        <v>12</v>
      </c>
    </row>
    <row r="2062" spans="1:5" hidden="1" x14ac:dyDescent="0.2">
      <c r="A2062" s="1">
        <v>45227</v>
      </c>
      <c r="B2062" s="2">
        <v>1087</v>
      </c>
      <c r="C2062" s="2">
        <v>205</v>
      </c>
      <c r="D2062" s="3">
        <v>2874.34</v>
      </c>
      <c r="E2062" s="4" t="s">
        <v>11</v>
      </c>
    </row>
    <row r="2063" spans="1:5" x14ac:dyDescent="0.2">
      <c r="A2063" s="1">
        <v>45227</v>
      </c>
      <c r="B2063" s="2">
        <v>1108</v>
      </c>
      <c r="C2063" s="2">
        <v>272</v>
      </c>
      <c r="D2063" s="3">
        <v>2858.56</v>
      </c>
      <c r="E2063" s="4" t="s">
        <v>12</v>
      </c>
    </row>
    <row r="2064" spans="1:5" hidden="1" x14ac:dyDescent="0.2">
      <c r="A2064" s="1">
        <v>45228</v>
      </c>
      <c r="B2064" s="2">
        <v>1189</v>
      </c>
      <c r="C2064" s="2">
        <v>225</v>
      </c>
      <c r="D2064" s="3">
        <v>2685.33</v>
      </c>
      <c r="E2064" s="4" t="s">
        <v>11</v>
      </c>
    </row>
    <row r="2065" spans="1:5" x14ac:dyDescent="0.2">
      <c r="A2065" s="1">
        <v>45228</v>
      </c>
      <c r="B2065" s="2">
        <v>1134</v>
      </c>
      <c r="C2065" s="2">
        <v>274</v>
      </c>
      <c r="D2065" s="3">
        <v>4531.58</v>
      </c>
      <c r="E2065" s="4" t="s">
        <v>12</v>
      </c>
    </row>
    <row r="2066" spans="1:5" hidden="1" x14ac:dyDescent="0.2">
      <c r="A2066" s="1">
        <v>45229</v>
      </c>
      <c r="B2066" s="2">
        <v>1186</v>
      </c>
      <c r="C2066" s="2">
        <v>201</v>
      </c>
      <c r="D2066" s="3">
        <v>3518.44</v>
      </c>
      <c r="E2066" s="4" t="s">
        <v>11</v>
      </c>
    </row>
    <row r="2067" spans="1:5" x14ac:dyDescent="0.2">
      <c r="A2067" s="1">
        <v>45229</v>
      </c>
      <c r="B2067" s="2">
        <v>1148</v>
      </c>
      <c r="C2067" s="2">
        <v>251</v>
      </c>
      <c r="D2067" s="3">
        <v>4586.5</v>
      </c>
      <c r="E2067" s="4" t="s">
        <v>12</v>
      </c>
    </row>
    <row r="2068" spans="1:5" hidden="1" x14ac:dyDescent="0.2">
      <c r="A2068" s="1">
        <v>45230</v>
      </c>
      <c r="B2068" s="2">
        <v>1205</v>
      </c>
      <c r="C2068" s="2">
        <v>213</v>
      </c>
      <c r="D2068" s="3">
        <v>3560.15</v>
      </c>
      <c r="E2068" s="4" t="s">
        <v>11</v>
      </c>
    </row>
    <row r="2069" spans="1:5" x14ac:dyDescent="0.2">
      <c r="A2069" s="1">
        <v>45230</v>
      </c>
      <c r="B2069" s="2">
        <v>1151</v>
      </c>
      <c r="C2069" s="2">
        <v>282</v>
      </c>
      <c r="D2069" s="3">
        <v>5371.9</v>
      </c>
      <c r="E2069" s="4" t="s">
        <v>12</v>
      </c>
    </row>
    <row r="2070" spans="1:5" hidden="1" x14ac:dyDescent="0.2">
      <c r="A2070" s="1">
        <v>45231</v>
      </c>
      <c r="B2070" s="2">
        <v>1271</v>
      </c>
      <c r="C2070" s="2">
        <v>242</v>
      </c>
      <c r="D2070" s="3">
        <v>3412.02</v>
      </c>
      <c r="E2070" s="4" t="s">
        <v>11</v>
      </c>
    </row>
    <row r="2071" spans="1:5" x14ac:dyDescent="0.2">
      <c r="A2071" s="1">
        <v>45231</v>
      </c>
      <c r="B2071" s="2">
        <v>1129</v>
      </c>
      <c r="C2071" s="2">
        <v>250</v>
      </c>
      <c r="D2071" s="3">
        <v>4203.42</v>
      </c>
      <c r="E2071" s="4" t="s">
        <v>12</v>
      </c>
    </row>
    <row r="2072" spans="1:5" hidden="1" x14ac:dyDescent="0.2">
      <c r="A2072" s="1">
        <v>45232</v>
      </c>
      <c r="B2072" s="2">
        <v>1155</v>
      </c>
      <c r="C2072" s="2">
        <v>221</v>
      </c>
      <c r="D2072" s="3">
        <v>3395.52</v>
      </c>
      <c r="E2072" s="4" t="s">
        <v>11</v>
      </c>
    </row>
    <row r="2073" spans="1:5" x14ac:dyDescent="0.2">
      <c r="A2073" s="1">
        <v>45232</v>
      </c>
      <c r="B2073" s="2">
        <v>1135</v>
      </c>
      <c r="C2073" s="2">
        <v>273</v>
      </c>
      <c r="D2073" s="3">
        <v>4854.97</v>
      </c>
      <c r="E2073" s="4" t="s">
        <v>12</v>
      </c>
    </row>
    <row r="2074" spans="1:5" hidden="1" x14ac:dyDescent="0.2">
      <c r="A2074" s="1">
        <v>45233</v>
      </c>
      <c r="B2074" s="2">
        <v>1213</v>
      </c>
      <c r="C2074" s="2">
        <v>232</v>
      </c>
      <c r="D2074" s="3">
        <v>3341.66</v>
      </c>
      <c r="E2074" s="4" t="s">
        <v>11</v>
      </c>
    </row>
    <row r="2075" spans="1:5" x14ac:dyDescent="0.2">
      <c r="A2075" s="1">
        <v>45233</v>
      </c>
      <c r="B2075" s="2">
        <v>1089</v>
      </c>
      <c r="C2075" s="2">
        <v>245</v>
      </c>
      <c r="D2075" s="3">
        <v>3580.89</v>
      </c>
      <c r="E2075" s="4" t="s">
        <v>12</v>
      </c>
    </row>
    <row r="2076" spans="1:5" hidden="1" x14ac:dyDescent="0.2">
      <c r="A2076" s="1">
        <v>45234</v>
      </c>
      <c r="B2076" s="2">
        <v>1231</v>
      </c>
      <c r="C2076" s="2">
        <v>246</v>
      </c>
      <c r="D2076" s="3">
        <v>2853.04</v>
      </c>
      <c r="E2076" s="4" t="s">
        <v>11</v>
      </c>
    </row>
    <row r="2077" spans="1:5" x14ac:dyDescent="0.2">
      <c r="A2077" s="1">
        <v>45234</v>
      </c>
      <c r="B2077" s="2">
        <v>1161</v>
      </c>
      <c r="C2077" s="2">
        <v>266</v>
      </c>
      <c r="D2077" s="3">
        <v>4455</v>
      </c>
      <c r="E2077" s="4" t="s">
        <v>12</v>
      </c>
    </row>
    <row r="2078" spans="1:5" hidden="1" x14ac:dyDescent="0.2">
      <c r="A2078" s="1">
        <v>45235</v>
      </c>
      <c r="B2078" s="2">
        <v>1197</v>
      </c>
      <c r="C2078" s="2">
        <v>214</v>
      </c>
      <c r="D2078" s="3">
        <v>3690.83</v>
      </c>
      <c r="E2078" s="4" t="s">
        <v>11</v>
      </c>
    </row>
    <row r="2079" spans="1:5" x14ac:dyDescent="0.2">
      <c r="A2079" s="1">
        <v>45235</v>
      </c>
      <c r="B2079" s="2">
        <v>1179</v>
      </c>
      <c r="C2079" s="2">
        <v>269</v>
      </c>
      <c r="D2079" s="3">
        <v>4668.22</v>
      </c>
      <c r="E2079" s="4" t="s">
        <v>12</v>
      </c>
    </row>
    <row r="2080" spans="1:5" hidden="1" x14ac:dyDescent="0.2">
      <c r="A2080" s="1">
        <v>45236</v>
      </c>
      <c r="B2080" s="2">
        <v>1203</v>
      </c>
      <c r="C2080" s="2">
        <v>261</v>
      </c>
      <c r="D2080" s="3">
        <v>3734.92</v>
      </c>
      <c r="E2080" s="4" t="s">
        <v>11</v>
      </c>
    </row>
    <row r="2081" spans="1:5" x14ac:dyDescent="0.2">
      <c r="A2081" s="1">
        <v>45236</v>
      </c>
      <c r="B2081" s="2">
        <v>1179</v>
      </c>
      <c r="C2081" s="2">
        <v>262</v>
      </c>
      <c r="D2081" s="3">
        <v>4310.96</v>
      </c>
      <c r="E2081" s="4" t="s">
        <v>12</v>
      </c>
    </row>
    <row r="2082" spans="1:5" hidden="1" x14ac:dyDescent="0.2">
      <c r="A2082" s="1">
        <v>45237</v>
      </c>
      <c r="B2082" s="2">
        <v>1211</v>
      </c>
      <c r="C2082" s="2">
        <v>256</v>
      </c>
      <c r="D2082" s="3">
        <v>3935.8</v>
      </c>
      <c r="E2082" s="4" t="s">
        <v>11</v>
      </c>
    </row>
    <row r="2083" spans="1:5" x14ac:dyDescent="0.2">
      <c r="A2083" s="1">
        <v>45237</v>
      </c>
      <c r="B2083" s="2">
        <v>1133</v>
      </c>
      <c r="C2083" s="2">
        <v>250</v>
      </c>
      <c r="D2083" s="3">
        <v>4194.21</v>
      </c>
      <c r="E2083" s="4" t="s">
        <v>12</v>
      </c>
    </row>
    <row r="2084" spans="1:5" hidden="1" x14ac:dyDescent="0.2">
      <c r="A2084" s="1">
        <v>45238</v>
      </c>
      <c r="B2084" s="2">
        <v>1217</v>
      </c>
      <c r="C2084" s="2">
        <v>225</v>
      </c>
      <c r="D2084" s="3">
        <v>3196.1</v>
      </c>
      <c r="E2084" s="4" t="s">
        <v>11</v>
      </c>
    </row>
    <row r="2085" spans="1:5" x14ac:dyDescent="0.2">
      <c r="A2085" s="1">
        <v>45238</v>
      </c>
      <c r="B2085" s="2">
        <v>1129</v>
      </c>
      <c r="C2085" s="2">
        <v>254</v>
      </c>
      <c r="D2085" s="3">
        <v>3360.66</v>
      </c>
      <c r="E2085" s="4" t="s">
        <v>12</v>
      </c>
    </row>
    <row r="2086" spans="1:5" hidden="1" x14ac:dyDescent="0.2">
      <c r="A2086" s="1">
        <v>45239</v>
      </c>
      <c r="B2086" s="2">
        <v>1141</v>
      </c>
      <c r="C2086" s="2">
        <v>223</v>
      </c>
      <c r="D2086" s="3">
        <v>3336.91</v>
      </c>
      <c r="E2086" s="4" t="s">
        <v>11</v>
      </c>
    </row>
    <row r="2087" spans="1:5" x14ac:dyDescent="0.2">
      <c r="A2087" s="1">
        <v>45239</v>
      </c>
      <c r="B2087" s="2">
        <v>1125</v>
      </c>
      <c r="C2087" s="2">
        <v>262</v>
      </c>
      <c r="D2087" s="3">
        <v>4345.68</v>
      </c>
      <c r="E2087" s="4" t="s">
        <v>12</v>
      </c>
    </row>
    <row r="2088" spans="1:5" hidden="1" x14ac:dyDescent="0.2">
      <c r="A2088" s="1">
        <v>45240</v>
      </c>
      <c r="B2088" s="2">
        <v>1146</v>
      </c>
      <c r="C2088" s="2">
        <v>188</v>
      </c>
      <c r="D2088" s="3">
        <v>3272.55</v>
      </c>
      <c r="E2088" s="4" t="s">
        <v>11</v>
      </c>
    </row>
    <row r="2089" spans="1:5" x14ac:dyDescent="0.2">
      <c r="A2089" s="1">
        <v>45240</v>
      </c>
      <c r="B2089" s="2">
        <v>1205</v>
      </c>
      <c r="C2089" s="2">
        <v>272</v>
      </c>
      <c r="D2089" s="3">
        <v>3541.83</v>
      </c>
      <c r="E2089" s="4" t="s">
        <v>12</v>
      </c>
    </row>
    <row r="2090" spans="1:5" hidden="1" x14ac:dyDescent="0.2">
      <c r="A2090" s="1">
        <v>45241</v>
      </c>
      <c r="B2090" s="2">
        <v>1163</v>
      </c>
      <c r="C2090" s="2">
        <v>228</v>
      </c>
      <c r="D2090" s="3">
        <v>2806.71</v>
      </c>
      <c r="E2090" s="4" t="s">
        <v>11</v>
      </c>
    </row>
    <row r="2091" spans="1:5" x14ac:dyDescent="0.2">
      <c r="A2091" s="1">
        <v>45241</v>
      </c>
      <c r="B2091" s="2">
        <v>1168</v>
      </c>
      <c r="C2091" s="2">
        <v>281</v>
      </c>
      <c r="D2091" s="3">
        <v>3891.79</v>
      </c>
      <c r="E2091" s="4" t="s">
        <v>12</v>
      </c>
    </row>
    <row r="2092" spans="1:5" hidden="1" x14ac:dyDescent="0.2">
      <c r="A2092" s="1">
        <v>45242</v>
      </c>
      <c r="B2092" s="2">
        <v>1193</v>
      </c>
      <c r="C2092" s="2">
        <v>216</v>
      </c>
      <c r="D2092" s="3">
        <v>3496.98</v>
      </c>
      <c r="E2092" s="4" t="s">
        <v>11</v>
      </c>
    </row>
    <row r="2093" spans="1:5" x14ac:dyDescent="0.2">
      <c r="A2093" s="1">
        <v>45242</v>
      </c>
      <c r="B2093" s="2">
        <v>1180</v>
      </c>
      <c r="C2093" s="2">
        <v>296</v>
      </c>
      <c r="D2093" s="3">
        <v>4372.9799999999996</v>
      </c>
      <c r="E2093" s="4" t="s">
        <v>12</v>
      </c>
    </row>
    <row r="2094" spans="1:5" hidden="1" x14ac:dyDescent="0.2">
      <c r="A2094" s="1">
        <v>45243</v>
      </c>
      <c r="B2094" s="2">
        <v>1211</v>
      </c>
      <c r="C2094" s="2">
        <v>241</v>
      </c>
      <c r="D2094" s="3">
        <v>3616.05</v>
      </c>
      <c r="E2094" s="4" t="s">
        <v>11</v>
      </c>
    </row>
    <row r="2095" spans="1:5" x14ac:dyDescent="0.2">
      <c r="A2095" s="1">
        <v>45243</v>
      </c>
      <c r="B2095" s="2">
        <v>1181</v>
      </c>
      <c r="C2095" s="2">
        <v>243</v>
      </c>
      <c r="D2095" s="3">
        <v>3219.71</v>
      </c>
      <c r="E2095" s="4" t="s">
        <v>12</v>
      </c>
    </row>
    <row r="2096" spans="1:5" hidden="1" x14ac:dyDescent="0.2">
      <c r="A2096" s="1">
        <v>45244</v>
      </c>
      <c r="B2096" s="2">
        <v>1184</v>
      </c>
      <c r="C2096" s="2">
        <v>223</v>
      </c>
      <c r="D2096" s="3">
        <v>3531.66</v>
      </c>
      <c r="E2096" s="4" t="s">
        <v>11</v>
      </c>
    </row>
    <row r="2097" spans="1:5" x14ac:dyDescent="0.2">
      <c r="A2097" s="1">
        <v>45244</v>
      </c>
      <c r="B2097" s="2">
        <v>1084</v>
      </c>
      <c r="C2097" s="2">
        <v>251</v>
      </c>
      <c r="D2097" s="3">
        <v>3766.68</v>
      </c>
      <c r="E2097" s="4" t="s">
        <v>12</v>
      </c>
    </row>
    <row r="2098" spans="1:5" hidden="1" x14ac:dyDescent="0.2">
      <c r="A2098" s="1">
        <v>45245</v>
      </c>
      <c r="B2098" s="2">
        <v>1204</v>
      </c>
      <c r="C2098" s="2">
        <v>222</v>
      </c>
      <c r="D2098" s="3">
        <v>3027.16</v>
      </c>
      <c r="E2098" s="4" t="s">
        <v>11</v>
      </c>
    </row>
    <row r="2099" spans="1:5" x14ac:dyDescent="0.2">
      <c r="A2099" s="1">
        <v>45245</v>
      </c>
      <c r="B2099" s="2">
        <v>1163</v>
      </c>
      <c r="C2099" s="2">
        <v>288</v>
      </c>
      <c r="D2099" s="3">
        <v>5271.75</v>
      </c>
      <c r="E2099" s="4" t="s">
        <v>12</v>
      </c>
    </row>
    <row r="2100" spans="1:5" hidden="1" x14ac:dyDescent="0.2">
      <c r="A2100" s="1">
        <v>45246</v>
      </c>
      <c r="B2100" s="2">
        <v>1238</v>
      </c>
      <c r="C2100" s="2">
        <v>224</v>
      </c>
      <c r="D2100" s="3">
        <v>3303.25</v>
      </c>
      <c r="E2100" s="4" t="s">
        <v>11</v>
      </c>
    </row>
    <row r="2101" spans="1:5" x14ac:dyDescent="0.2">
      <c r="A2101" s="1">
        <v>45246</v>
      </c>
      <c r="B2101" s="2">
        <v>1137</v>
      </c>
      <c r="C2101" s="2">
        <v>244</v>
      </c>
      <c r="D2101" s="3">
        <v>3635.06</v>
      </c>
      <c r="E2101" s="4" t="s">
        <v>12</v>
      </c>
    </row>
    <row r="2102" spans="1:5" hidden="1" x14ac:dyDescent="0.2">
      <c r="A2102" s="1">
        <v>45247</v>
      </c>
      <c r="B2102" s="2">
        <v>1203</v>
      </c>
      <c r="C2102" s="2">
        <v>226</v>
      </c>
      <c r="D2102" s="3">
        <v>1617.08</v>
      </c>
      <c r="E2102" s="4" t="s">
        <v>11</v>
      </c>
    </row>
    <row r="2103" spans="1:5" x14ac:dyDescent="0.2">
      <c r="A2103" s="1">
        <v>45247</v>
      </c>
      <c r="B2103" s="2">
        <v>1146</v>
      </c>
      <c r="C2103" s="2">
        <v>256</v>
      </c>
      <c r="D2103" s="3">
        <v>4241.3</v>
      </c>
      <c r="E2103" s="4" t="s">
        <v>12</v>
      </c>
    </row>
    <row r="2104" spans="1:5" hidden="1" x14ac:dyDescent="0.2">
      <c r="A2104" s="1">
        <v>45248</v>
      </c>
      <c r="B2104" s="2">
        <v>1288</v>
      </c>
      <c r="C2104" s="2">
        <v>252</v>
      </c>
      <c r="D2104" s="3">
        <v>3220.69</v>
      </c>
      <c r="E2104" s="4" t="s">
        <v>11</v>
      </c>
    </row>
    <row r="2105" spans="1:5" x14ac:dyDescent="0.2">
      <c r="A2105" s="1">
        <v>45248</v>
      </c>
      <c r="B2105" s="2">
        <v>1153</v>
      </c>
      <c r="C2105" s="2">
        <v>255</v>
      </c>
      <c r="D2105" s="3">
        <v>4244.8599999999997</v>
      </c>
      <c r="E2105" s="4" t="s">
        <v>12</v>
      </c>
    </row>
    <row r="2106" spans="1:5" hidden="1" x14ac:dyDescent="0.2">
      <c r="A2106" s="1">
        <v>45249</v>
      </c>
      <c r="B2106" s="2">
        <v>1191</v>
      </c>
      <c r="C2106" s="2">
        <v>222</v>
      </c>
      <c r="D2106" s="3">
        <v>3695.27</v>
      </c>
      <c r="E2106" s="4" t="s">
        <v>11</v>
      </c>
    </row>
    <row r="2107" spans="1:5" x14ac:dyDescent="0.2">
      <c r="A2107" s="1">
        <v>45249</v>
      </c>
      <c r="B2107" s="2">
        <v>1108</v>
      </c>
      <c r="C2107" s="2">
        <v>244</v>
      </c>
      <c r="D2107" s="3">
        <v>4067.63</v>
      </c>
      <c r="E2107" s="4" t="s">
        <v>12</v>
      </c>
    </row>
    <row r="2108" spans="1:5" hidden="1" x14ac:dyDescent="0.2">
      <c r="A2108" s="1">
        <v>45250</v>
      </c>
      <c r="B2108" s="2">
        <v>1230</v>
      </c>
      <c r="C2108" s="2">
        <v>266</v>
      </c>
      <c r="D2108" s="3">
        <v>3928.72</v>
      </c>
      <c r="E2108" s="4" t="s">
        <v>11</v>
      </c>
    </row>
    <row r="2109" spans="1:5" x14ac:dyDescent="0.2">
      <c r="A2109" s="1">
        <v>45250</v>
      </c>
      <c r="B2109" s="2">
        <v>1168</v>
      </c>
      <c r="C2109" s="2">
        <v>271</v>
      </c>
      <c r="D2109" s="3">
        <v>3694.77</v>
      </c>
      <c r="E2109" s="4" t="s">
        <v>12</v>
      </c>
    </row>
    <row r="2110" spans="1:5" hidden="1" x14ac:dyDescent="0.2">
      <c r="A2110" s="1">
        <v>45251</v>
      </c>
      <c r="B2110" s="2">
        <v>1176</v>
      </c>
      <c r="C2110" s="2">
        <v>242</v>
      </c>
      <c r="D2110" s="3">
        <v>2627.09</v>
      </c>
      <c r="E2110" s="4" t="s">
        <v>11</v>
      </c>
    </row>
    <row r="2111" spans="1:5" x14ac:dyDescent="0.2">
      <c r="A2111" s="1">
        <v>45251</v>
      </c>
      <c r="B2111" s="2">
        <v>1115</v>
      </c>
      <c r="C2111" s="2">
        <v>264</v>
      </c>
      <c r="D2111" s="3">
        <v>4115.8</v>
      </c>
      <c r="E2111" s="4" t="s">
        <v>12</v>
      </c>
    </row>
    <row r="2112" spans="1:5" hidden="1" x14ac:dyDescent="0.2">
      <c r="A2112" s="1">
        <v>45252</v>
      </c>
      <c r="B2112" s="2">
        <v>1257</v>
      </c>
      <c r="C2112" s="2">
        <v>244</v>
      </c>
      <c r="D2112" s="3">
        <v>3715.78</v>
      </c>
      <c r="E2112" s="4" t="s">
        <v>11</v>
      </c>
    </row>
    <row r="2113" spans="1:5" x14ac:dyDescent="0.2">
      <c r="A2113" s="1">
        <v>45252</v>
      </c>
      <c r="B2113" s="2">
        <v>1170</v>
      </c>
      <c r="C2113" s="2">
        <v>246</v>
      </c>
      <c r="D2113" s="3">
        <v>3936.89</v>
      </c>
      <c r="E2113" s="4" t="s">
        <v>12</v>
      </c>
    </row>
    <row r="2114" spans="1:5" hidden="1" x14ac:dyDescent="0.2">
      <c r="A2114" s="1">
        <v>45253</v>
      </c>
      <c r="B2114" s="2">
        <v>1179</v>
      </c>
      <c r="C2114" s="2">
        <v>221</v>
      </c>
      <c r="D2114" s="3">
        <v>2568.89</v>
      </c>
      <c r="E2114" s="4" t="s">
        <v>11</v>
      </c>
    </row>
    <row r="2115" spans="1:5" x14ac:dyDescent="0.2">
      <c r="A2115" s="1">
        <v>45253</v>
      </c>
      <c r="B2115" s="2">
        <v>1114</v>
      </c>
      <c r="C2115" s="2">
        <v>285</v>
      </c>
      <c r="D2115" s="3">
        <v>4217.57</v>
      </c>
      <c r="E2115" s="4" t="s">
        <v>12</v>
      </c>
    </row>
    <row r="2116" spans="1:5" hidden="1" x14ac:dyDescent="0.2">
      <c r="A2116" s="1">
        <v>45254</v>
      </c>
      <c r="B2116" s="2">
        <v>1179</v>
      </c>
      <c r="C2116" s="2">
        <v>229</v>
      </c>
      <c r="D2116" s="3">
        <v>4426.8100000000004</v>
      </c>
      <c r="E2116" s="4" t="s">
        <v>11</v>
      </c>
    </row>
    <row r="2117" spans="1:5" x14ac:dyDescent="0.2">
      <c r="A2117" s="1">
        <v>45254</v>
      </c>
      <c r="B2117" s="2">
        <v>1171</v>
      </c>
      <c r="C2117" s="2">
        <v>272</v>
      </c>
      <c r="D2117" s="3">
        <v>4925.71</v>
      </c>
      <c r="E2117" s="4" t="s">
        <v>12</v>
      </c>
    </row>
    <row r="2118" spans="1:5" hidden="1" x14ac:dyDescent="0.2">
      <c r="A2118" s="1">
        <v>45255</v>
      </c>
      <c r="B2118" s="2">
        <v>1218</v>
      </c>
      <c r="C2118" s="2">
        <v>230</v>
      </c>
      <c r="D2118" s="3">
        <v>3251.74</v>
      </c>
      <c r="E2118" s="4" t="s">
        <v>11</v>
      </c>
    </row>
    <row r="2119" spans="1:5" x14ac:dyDescent="0.2">
      <c r="A2119" s="1">
        <v>45255</v>
      </c>
      <c r="B2119" s="2">
        <v>1187</v>
      </c>
      <c r="C2119" s="2">
        <v>281</v>
      </c>
      <c r="D2119" s="3">
        <v>4361.8999999999996</v>
      </c>
      <c r="E2119" s="4" t="s">
        <v>12</v>
      </c>
    </row>
    <row r="2120" spans="1:5" hidden="1" x14ac:dyDescent="0.2">
      <c r="A2120" s="1">
        <v>45256</v>
      </c>
      <c r="B2120" s="2">
        <v>1225</v>
      </c>
      <c r="C2120" s="2">
        <v>246</v>
      </c>
      <c r="D2120" s="3">
        <v>4027.89</v>
      </c>
      <c r="E2120" s="4" t="s">
        <v>11</v>
      </c>
    </row>
    <row r="2121" spans="1:5" x14ac:dyDescent="0.2">
      <c r="A2121" s="1">
        <v>45256</v>
      </c>
      <c r="B2121" s="2">
        <v>1183</v>
      </c>
      <c r="C2121" s="2">
        <v>283</v>
      </c>
      <c r="D2121" s="3">
        <v>4164.7299999999996</v>
      </c>
      <c r="E2121" s="4" t="s">
        <v>12</v>
      </c>
    </row>
    <row r="2122" spans="1:5" hidden="1" x14ac:dyDescent="0.2">
      <c r="A2122" s="1">
        <v>45257</v>
      </c>
      <c r="B2122" s="2">
        <v>1216</v>
      </c>
      <c r="C2122" s="2">
        <v>235</v>
      </c>
      <c r="D2122" s="3">
        <v>3774.48</v>
      </c>
      <c r="E2122" s="4" t="s">
        <v>11</v>
      </c>
    </row>
    <row r="2123" spans="1:5" x14ac:dyDescent="0.2">
      <c r="A2123" s="1">
        <v>45257</v>
      </c>
      <c r="B2123" s="2">
        <v>1138</v>
      </c>
      <c r="C2123" s="2">
        <v>246</v>
      </c>
      <c r="D2123" s="3">
        <v>3407.99</v>
      </c>
      <c r="E2123" s="4" t="s">
        <v>12</v>
      </c>
    </row>
    <row r="2124" spans="1:5" hidden="1" x14ac:dyDescent="0.2">
      <c r="A2124" s="1">
        <v>45258</v>
      </c>
      <c r="B2124" s="2">
        <v>1160</v>
      </c>
      <c r="C2124" s="2">
        <v>214</v>
      </c>
      <c r="D2124" s="3">
        <v>4021.54</v>
      </c>
      <c r="E2124" s="4" t="s">
        <v>11</v>
      </c>
    </row>
    <row r="2125" spans="1:5" x14ac:dyDescent="0.2">
      <c r="A2125" s="1">
        <v>45258</v>
      </c>
      <c r="B2125" s="2">
        <v>1165</v>
      </c>
      <c r="C2125" s="2">
        <v>252</v>
      </c>
      <c r="D2125" s="3">
        <v>3346.14</v>
      </c>
      <c r="E2125" s="4" t="s">
        <v>12</v>
      </c>
    </row>
    <row r="2126" spans="1:5" hidden="1" x14ac:dyDescent="0.2">
      <c r="A2126" s="1">
        <v>45259</v>
      </c>
      <c r="B2126" s="2">
        <v>1212</v>
      </c>
      <c r="C2126" s="2">
        <v>221</v>
      </c>
      <c r="D2126" s="3">
        <v>3253</v>
      </c>
      <c r="E2126" s="4" t="s">
        <v>11</v>
      </c>
    </row>
    <row r="2127" spans="1:5" x14ac:dyDescent="0.2">
      <c r="A2127" s="1">
        <v>45259</v>
      </c>
      <c r="B2127" s="2">
        <v>1110</v>
      </c>
      <c r="C2127" s="2">
        <v>263</v>
      </c>
      <c r="D2127" s="3">
        <v>4031.52</v>
      </c>
      <c r="E2127" s="4" t="s">
        <v>12</v>
      </c>
    </row>
    <row r="2128" spans="1:5" hidden="1" x14ac:dyDescent="0.2">
      <c r="A2128" s="1">
        <v>45260</v>
      </c>
      <c r="B2128" s="2">
        <v>1140</v>
      </c>
      <c r="C2128" s="2">
        <v>224</v>
      </c>
      <c r="D2128" s="3">
        <v>4082.57</v>
      </c>
      <c r="E2128" s="4" t="s">
        <v>11</v>
      </c>
    </row>
    <row r="2129" spans="1:5" x14ac:dyDescent="0.2">
      <c r="A2129" s="1">
        <v>45260</v>
      </c>
      <c r="B2129" s="2">
        <v>1164</v>
      </c>
      <c r="C2129" s="2">
        <v>284</v>
      </c>
      <c r="D2129" s="3">
        <v>5081.68</v>
      </c>
      <c r="E2129" s="4" t="s">
        <v>12</v>
      </c>
    </row>
    <row r="2130" spans="1:5" hidden="1" x14ac:dyDescent="0.2">
      <c r="A2130" s="1">
        <v>45261</v>
      </c>
      <c r="B2130" s="2">
        <v>1178</v>
      </c>
      <c r="C2130" s="2">
        <v>235</v>
      </c>
      <c r="D2130" s="3">
        <v>4024.05</v>
      </c>
      <c r="E2130" s="4" t="s">
        <v>11</v>
      </c>
    </row>
    <row r="2131" spans="1:5" x14ac:dyDescent="0.2">
      <c r="A2131" s="1">
        <v>45261</v>
      </c>
      <c r="B2131" s="2">
        <v>1196</v>
      </c>
      <c r="C2131" s="2">
        <v>272</v>
      </c>
      <c r="D2131" s="3">
        <v>5121.2299999999996</v>
      </c>
      <c r="E2131" s="4" t="s">
        <v>12</v>
      </c>
    </row>
    <row r="2132" spans="1:5" hidden="1" x14ac:dyDescent="0.2">
      <c r="A2132" s="1">
        <v>45262</v>
      </c>
      <c r="B2132" s="2">
        <v>1218</v>
      </c>
      <c r="C2132" s="2">
        <v>226</v>
      </c>
      <c r="D2132" s="3">
        <v>3305.45</v>
      </c>
      <c r="E2132" s="4" t="s">
        <v>11</v>
      </c>
    </row>
    <row r="2133" spans="1:5" x14ac:dyDescent="0.2">
      <c r="A2133" s="1">
        <v>45262</v>
      </c>
      <c r="B2133" s="2">
        <v>1158</v>
      </c>
      <c r="C2133" s="2">
        <v>295</v>
      </c>
      <c r="D2133" s="3">
        <v>4776.32</v>
      </c>
      <c r="E2133" s="4" t="s">
        <v>12</v>
      </c>
    </row>
    <row r="2134" spans="1:5" hidden="1" x14ac:dyDescent="0.2">
      <c r="A2134" s="1">
        <v>45263</v>
      </c>
      <c r="B2134" s="2">
        <v>1150</v>
      </c>
      <c r="C2134" s="2">
        <v>233</v>
      </c>
      <c r="D2134" s="3">
        <v>3516.73</v>
      </c>
      <c r="E2134" s="4" t="s">
        <v>11</v>
      </c>
    </row>
    <row r="2135" spans="1:5" x14ac:dyDescent="0.2">
      <c r="A2135" s="1">
        <v>45263</v>
      </c>
      <c r="B2135" s="2">
        <v>1139</v>
      </c>
      <c r="C2135" s="2">
        <v>264</v>
      </c>
      <c r="D2135" s="3">
        <v>3948.97</v>
      </c>
      <c r="E2135" s="4" t="s">
        <v>12</v>
      </c>
    </row>
    <row r="2136" spans="1:5" hidden="1" x14ac:dyDescent="0.2">
      <c r="A2136" s="1">
        <v>45264</v>
      </c>
      <c r="B2136" s="2">
        <v>1168</v>
      </c>
      <c r="C2136" s="2">
        <v>194</v>
      </c>
      <c r="D2136" s="3">
        <v>3031.08</v>
      </c>
      <c r="E2136" s="4" t="s">
        <v>11</v>
      </c>
    </row>
    <row r="2137" spans="1:5" x14ac:dyDescent="0.2">
      <c r="A2137" s="1">
        <v>45264</v>
      </c>
      <c r="B2137" s="2">
        <v>1139</v>
      </c>
      <c r="C2137" s="2">
        <v>264</v>
      </c>
      <c r="D2137" s="3">
        <v>4677.17</v>
      </c>
      <c r="E2137" s="4" t="s">
        <v>12</v>
      </c>
    </row>
    <row r="2138" spans="1:5" hidden="1" x14ac:dyDescent="0.2">
      <c r="A2138" s="1">
        <v>45265</v>
      </c>
      <c r="B2138" s="2">
        <v>1220</v>
      </c>
      <c r="C2138" s="2">
        <v>239</v>
      </c>
      <c r="D2138" s="3">
        <v>3492.75</v>
      </c>
      <c r="E2138" s="4" t="s">
        <v>11</v>
      </c>
    </row>
    <row r="2139" spans="1:5" x14ac:dyDescent="0.2">
      <c r="A2139" s="1">
        <v>45265</v>
      </c>
      <c r="B2139" s="2">
        <v>1147</v>
      </c>
      <c r="C2139" s="2">
        <v>270</v>
      </c>
      <c r="D2139" s="3">
        <v>3357.66</v>
      </c>
      <c r="E2139" s="4" t="s">
        <v>12</v>
      </c>
    </row>
    <row r="2140" spans="1:5" hidden="1" x14ac:dyDescent="0.2">
      <c r="A2140" s="1">
        <v>45266</v>
      </c>
      <c r="B2140" s="2">
        <v>1210</v>
      </c>
      <c r="C2140" s="2">
        <v>240</v>
      </c>
      <c r="D2140" s="3">
        <v>3172.87</v>
      </c>
      <c r="E2140" s="4" t="s">
        <v>11</v>
      </c>
    </row>
    <row r="2141" spans="1:5" x14ac:dyDescent="0.2">
      <c r="A2141" s="1">
        <v>45266</v>
      </c>
      <c r="B2141" s="2">
        <v>1204</v>
      </c>
      <c r="C2141" s="2">
        <v>277</v>
      </c>
      <c r="D2141" s="3">
        <v>3899.73</v>
      </c>
      <c r="E2141" s="4" t="s">
        <v>12</v>
      </c>
    </row>
    <row r="2142" spans="1:5" hidden="1" x14ac:dyDescent="0.2">
      <c r="A2142" s="1">
        <v>45267</v>
      </c>
      <c r="B2142" s="2">
        <v>1160</v>
      </c>
      <c r="C2142" s="2">
        <v>226</v>
      </c>
      <c r="D2142" s="3">
        <v>3701.2</v>
      </c>
      <c r="E2142" s="4" t="s">
        <v>11</v>
      </c>
    </row>
    <row r="2143" spans="1:5" x14ac:dyDescent="0.2">
      <c r="A2143" s="1">
        <v>45267</v>
      </c>
      <c r="B2143" s="2">
        <v>1157</v>
      </c>
      <c r="C2143" s="2">
        <v>286</v>
      </c>
      <c r="D2143" s="3">
        <v>4441.8599999999997</v>
      </c>
      <c r="E2143" s="4" t="s">
        <v>12</v>
      </c>
    </row>
    <row r="2144" spans="1:5" hidden="1" x14ac:dyDescent="0.2">
      <c r="A2144" s="1">
        <v>45268</v>
      </c>
      <c r="B2144" s="2">
        <v>1132</v>
      </c>
      <c r="C2144" s="2">
        <v>204</v>
      </c>
      <c r="D2144" s="3">
        <v>3404.87</v>
      </c>
      <c r="E2144" s="4" t="s">
        <v>11</v>
      </c>
    </row>
    <row r="2145" spans="1:5" x14ac:dyDescent="0.2">
      <c r="A2145" s="1">
        <v>45268</v>
      </c>
      <c r="B2145" s="2">
        <v>1141</v>
      </c>
      <c r="C2145" s="2">
        <v>260</v>
      </c>
      <c r="D2145" s="3">
        <v>4473.97</v>
      </c>
      <c r="E2145" s="4" t="s">
        <v>12</v>
      </c>
    </row>
    <row r="2146" spans="1:5" hidden="1" x14ac:dyDescent="0.2">
      <c r="A2146" s="1">
        <v>45269</v>
      </c>
      <c r="B2146" s="2">
        <v>1184</v>
      </c>
      <c r="C2146" s="2">
        <v>226</v>
      </c>
      <c r="D2146" s="3">
        <v>3627.72</v>
      </c>
      <c r="E2146" s="4" t="s">
        <v>11</v>
      </c>
    </row>
    <row r="2147" spans="1:5" x14ac:dyDescent="0.2">
      <c r="A2147" s="1">
        <v>45269</v>
      </c>
      <c r="B2147" s="2">
        <v>1140</v>
      </c>
      <c r="C2147" s="2">
        <v>261</v>
      </c>
      <c r="D2147" s="3">
        <v>4303.3100000000004</v>
      </c>
      <c r="E2147" s="4" t="s">
        <v>12</v>
      </c>
    </row>
    <row r="2148" spans="1:5" hidden="1" x14ac:dyDescent="0.2">
      <c r="A2148" s="1">
        <v>45270</v>
      </c>
      <c r="B2148" s="2">
        <v>1178</v>
      </c>
      <c r="C2148" s="2">
        <v>216</v>
      </c>
      <c r="D2148" s="3">
        <v>3859.33</v>
      </c>
      <c r="E2148" s="4" t="s">
        <v>11</v>
      </c>
    </row>
    <row r="2149" spans="1:5" x14ac:dyDescent="0.2">
      <c r="A2149" s="1">
        <v>45270</v>
      </c>
      <c r="B2149" s="2">
        <v>1126</v>
      </c>
      <c r="C2149" s="2">
        <v>268</v>
      </c>
      <c r="D2149" s="3">
        <v>4390.62</v>
      </c>
      <c r="E2149" s="4" t="s">
        <v>12</v>
      </c>
    </row>
    <row r="2150" spans="1:5" hidden="1" x14ac:dyDescent="0.2">
      <c r="A2150" s="1">
        <v>45271</v>
      </c>
      <c r="B2150" s="2">
        <v>1238</v>
      </c>
      <c r="C2150" s="2">
        <v>245</v>
      </c>
      <c r="D2150" s="3">
        <v>3382.28</v>
      </c>
      <c r="E2150" s="4" t="s">
        <v>11</v>
      </c>
    </row>
    <row r="2151" spans="1:5" x14ac:dyDescent="0.2">
      <c r="A2151" s="1">
        <v>45271</v>
      </c>
      <c r="B2151" s="2">
        <v>1134</v>
      </c>
      <c r="C2151" s="2">
        <v>252</v>
      </c>
      <c r="D2151" s="3">
        <v>4087.65</v>
      </c>
      <c r="E2151" s="4" t="s">
        <v>12</v>
      </c>
    </row>
    <row r="2152" spans="1:5" hidden="1" x14ac:dyDescent="0.2">
      <c r="A2152" s="1">
        <v>45272</v>
      </c>
      <c r="B2152" s="2">
        <v>1226</v>
      </c>
      <c r="C2152" s="2">
        <v>244</v>
      </c>
      <c r="D2152" s="3">
        <v>4061.62</v>
      </c>
      <c r="E2152" s="4" t="s">
        <v>11</v>
      </c>
    </row>
    <row r="2153" spans="1:5" x14ac:dyDescent="0.2">
      <c r="A2153" s="1">
        <v>45272</v>
      </c>
      <c r="B2153" s="2">
        <v>1164</v>
      </c>
      <c r="C2153" s="2">
        <v>272</v>
      </c>
      <c r="D2153" s="3">
        <v>4374.6000000000004</v>
      </c>
      <c r="E2153" s="4" t="s">
        <v>12</v>
      </c>
    </row>
    <row r="2154" spans="1:5" hidden="1" x14ac:dyDescent="0.2">
      <c r="A2154" s="1">
        <v>45273</v>
      </c>
      <c r="B2154" s="2">
        <v>1201</v>
      </c>
      <c r="C2154" s="2">
        <v>212</v>
      </c>
      <c r="D2154" s="3">
        <v>2457.2399999999998</v>
      </c>
      <c r="E2154" s="4" t="s">
        <v>11</v>
      </c>
    </row>
    <row r="2155" spans="1:5" x14ac:dyDescent="0.2">
      <c r="A2155" s="1">
        <v>45273</v>
      </c>
      <c r="B2155" s="2">
        <v>1176</v>
      </c>
      <c r="C2155" s="2">
        <v>251</v>
      </c>
      <c r="D2155" s="3">
        <v>3974.27</v>
      </c>
      <c r="E2155" s="4" t="s">
        <v>12</v>
      </c>
    </row>
    <row r="2156" spans="1:5" hidden="1" x14ac:dyDescent="0.2">
      <c r="A2156" s="1">
        <v>45274</v>
      </c>
      <c r="B2156" s="2">
        <v>1164</v>
      </c>
      <c r="C2156" s="2">
        <v>231</v>
      </c>
      <c r="D2156" s="3">
        <v>3324.39</v>
      </c>
      <c r="E2156" s="4" t="s">
        <v>11</v>
      </c>
    </row>
    <row r="2157" spans="1:5" x14ac:dyDescent="0.2">
      <c r="A2157" s="1">
        <v>45274</v>
      </c>
      <c r="B2157" s="2">
        <v>1166</v>
      </c>
      <c r="C2157" s="2">
        <v>270</v>
      </c>
      <c r="D2157" s="3">
        <v>4151.0200000000004</v>
      </c>
      <c r="E2157" s="4" t="s">
        <v>12</v>
      </c>
    </row>
    <row r="2158" spans="1:5" hidden="1" x14ac:dyDescent="0.2">
      <c r="A2158" s="1">
        <v>45275</v>
      </c>
      <c r="B2158" s="2">
        <v>1137</v>
      </c>
      <c r="C2158" s="2">
        <v>204</v>
      </c>
      <c r="D2158" s="3">
        <v>2722.06</v>
      </c>
      <c r="E2158" s="4" t="s">
        <v>11</v>
      </c>
    </row>
    <row r="2159" spans="1:5" x14ac:dyDescent="0.2">
      <c r="A2159" s="1">
        <v>45275</v>
      </c>
      <c r="B2159" s="2">
        <v>1203</v>
      </c>
      <c r="C2159" s="2">
        <v>292</v>
      </c>
      <c r="D2159" s="3">
        <v>4742.2</v>
      </c>
      <c r="E2159" s="4" t="s">
        <v>12</v>
      </c>
    </row>
    <row r="2160" spans="1:5" hidden="1" x14ac:dyDescent="0.2">
      <c r="A2160" s="1">
        <v>45276</v>
      </c>
      <c r="B2160" s="2">
        <v>1169</v>
      </c>
      <c r="C2160" s="2">
        <v>243</v>
      </c>
      <c r="D2160" s="3">
        <v>3536.83</v>
      </c>
      <c r="E2160" s="4" t="s">
        <v>11</v>
      </c>
    </row>
    <row r="2161" spans="1:5" x14ac:dyDescent="0.2">
      <c r="A2161" s="1">
        <v>45276</v>
      </c>
      <c r="B2161" s="2">
        <v>1122</v>
      </c>
      <c r="C2161" s="2">
        <v>273</v>
      </c>
      <c r="D2161" s="3">
        <v>3449.65</v>
      </c>
      <c r="E2161" s="4" t="s">
        <v>12</v>
      </c>
    </row>
    <row r="2162" spans="1:5" hidden="1" x14ac:dyDescent="0.2">
      <c r="A2162" s="1">
        <v>45277</v>
      </c>
      <c r="B2162" s="2">
        <v>1251</v>
      </c>
      <c r="C2162" s="2">
        <v>221</v>
      </c>
      <c r="D2162" s="3">
        <v>3120.12</v>
      </c>
      <c r="E2162" s="4" t="s">
        <v>11</v>
      </c>
    </row>
    <row r="2163" spans="1:5" x14ac:dyDescent="0.2">
      <c r="A2163" s="1">
        <v>45277</v>
      </c>
      <c r="B2163" s="2">
        <v>1114</v>
      </c>
      <c r="C2163" s="2">
        <v>248</v>
      </c>
      <c r="D2163" s="3">
        <v>3414.24</v>
      </c>
      <c r="E2163" s="4" t="s">
        <v>12</v>
      </c>
    </row>
    <row r="2164" spans="1:5" hidden="1" x14ac:dyDescent="0.2">
      <c r="A2164" s="1">
        <v>45278</v>
      </c>
      <c r="B2164" s="2">
        <v>1169</v>
      </c>
      <c r="C2164" s="2">
        <v>212</v>
      </c>
      <c r="D2164" s="3">
        <v>3963.83</v>
      </c>
      <c r="E2164" s="4" t="s">
        <v>11</v>
      </c>
    </row>
    <row r="2165" spans="1:5" x14ac:dyDescent="0.2">
      <c r="A2165" s="1">
        <v>45278</v>
      </c>
      <c r="B2165" s="2">
        <v>1177</v>
      </c>
      <c r="C2165" s="2">
        <v>270</v>
      </c>
      <c r="D2165" s="3">
        <v>3613.87</v>
      </c>
      <c r="E2165" s="4" t="s">
        <v>12</v>
      </c>
    </row>
    <row r="2166" spans="1:5" hidden="1" x14ac:dyDescent="0.2">
      <c r="A2166" s="1">
        <v>45279</v>
      </c>
      <c r="B2166" s="2">
        <v>1179</v>
      </c>
      <c r="C2166" s="2">
        <v>213</v>
      </c>
      <c r="D2166" s="3">
        <v>3008.05</v>
      </c>
      <c r="E2166" s="4" t="s">
        <v>11</v>
      </c>
    </row>
    <row r="2167" spans="1:5" x14ac:dyDescent="0.2">
      <c r="A2167" s="1">
        <v>45279</v>
      </c>
      <c r="B2167" s="2">
        <v>1147</v>
      </c>
      <c r="C2167" s="2">
        <v>246</v>
      </c>
      <c r="D2167" s="3">
        <v>3375.58</v>
      </c>
      <c r="E2167" s="4" t="s">
        <v>12</v>
      </c>
    </row>
    <row r="2168" spans="1:5" hidden="1" x14ac:dyDescent="0.2">
      <c r="A2168" s="1">
        <v>45280</v>
      </c>
      <c r="B2168" s="2">
        <v>1228</v>
      </c>
      <c r="C2168" s="2">
        <v>232</v>
      </c>
      <c r="D2168" s="3">
        <v>4132.22</v>
      </c>
      <c r="E2168" s="4" t="s">
        <v>11</v>
      </c>
    </row>
    <row r="2169" spans="1:5" x14ac:dyDescent="0.2">
      <c r="A2169" s="1">
        <v>45280</v>
      </c>
      <c r="B2169" s="2">
        <v>1146</v>
      </c>
      <c r="C2169" s="2">
        <v>271</v>
      </c>
      <c r="D2169" s="3">
        <v>4444.8</v>
      </c>
      <c r="E2169" s="4" t="s">
        <v>12</v>
      </c>
    </row>
    <row r="2170" spans="1:5" hidden="1" x14ac:dyDescent="0.2">
      <c r="A2170" s="1">
        <v>45281</v>
      </c>
      <c r="B2170" s="2">
        <v>1191</v>
      </c>
      <c r="C2170" s="2">
        <v>234</v>
      </c>
      <c r="D2170" s="3">
        <v>3184.06</v>
      </c>
      <c r="E2170" s="4" t="s">
        <v>11</v>
      </c>
    </row>
    <row r="2171" spans="1:5" x14ac:dyDescent="0.2">
      <c r="A2171" s="1">
        <v>45281</v>
      </c>
      <c r="B2171" s="2">
        <v>1156</v>
      </c>
      <c r="C2171" s="2">
        <v>247</v>
      </c>
      <c r="D2171" s="3">
        <v>4872.91</v>
      </c>
      <c r="E2171" s="4" t="s">
        <v>12</v>
      </c>
    </row>
    <row r="2172" spans="1:5" hidden="1" x14ac:dyDescent="0.2">
      <c r="A2172" s="1">
        <v>45282</v>
      </c>
      <c r="B2172" s="2">
        <v>1235</v>
      </c>
      <c r="C2172" s="2">
        <v>235</v>
      </c>
      <c r="D2172" s="3">
        <v>4701.49</v>
      </c>
      <c r="E2172" s="4" t="s">
        <v>11</v>
      </c>
    </row>
    <row r="2173" spans="1:5" x14ac:dyDescent="0.2">
      <c r="A2173" s="1">
        <v>45282</v>
      </c>
      <c r="B2173" s="2">
        <v>1128</v>
      </c>
      <c r="C2173" s="2">
        <v>270</v>
      </c>
      <c r="D2173" s="3">
        <v>4058.65</v>
      </c>
      <c r="E2173" s="4" t="s">
        <v>12</v>
      </c>
    </row>
    <row r="2174" spans="1:5" hidden="1" x14ac:dyDescent="0.2">
      <c r="A2174" s="1">
        <v>45283</v>
      </c>
      <c r="B2174" s="2">
        <v>1193</v>
      </c>
      <c r="C2174" s="2">
        <v>217</v>
      </c>
      <c r="D2174" s="3">
        <v>3395.77</v>
      </c>
      <c r="E2174" s="4" t="s">
        <v>11</v>
      </c>
    </row>
    <row r="2175" spans="1:5" x14ac:dyDescent="0.2">
      <c r="A2175" s="1">
        <v>45283</v>
      </c>
      <c r="B2175" s="2">
        <v>1215</v>
      </c>
      <c r="C2175" s="2">
        <v>273</v>
      </c>
      <c r="D2175" s="3">
        <v>3802.16</v>
      </c>
      <c r="E2175" s="4" t="s">
        <v>12</v>
      </c>
    </row>
    <row r="2176" spans="1:5" hidden="1" x14ac:dyDescent="0.2">
      <c r="A2176" s="1">
        <v>45284</v>
      </c>
      <c r="B2176" s="2">
        <v>1187</v>
      </c>
      <c r="C2176" s="2">
        <v>235</v>
      </c>
      <c r="D2176" s="3">
        <v>2964.11</v>
      </c>
      <c r="E2176" s="4" t="s">
        <v>11</v>
      </c>
    </row>
    <row r="2177" spans="1:5" x14ac:dyDescent="0.2">
      <c r="A2177" s="1">
        <v>45284</v>
      </c>
      <c r="B2177" s="2">
        <v>1130</v>
      </c>
      <c r="C2177" s="2">
        <v>286</v>
      </c>
      <c r="D2177" s="3">
        <v>3527.43</v>
      </c>
      <c r="E2177" s="4" t="s">
        <v>12</v>
      </c>
    </row>
    <row r="2178" spans="1:5" hidden="1" x14ac:dyDescent="0.2">
      <c r="A2178" s="1">
        <v>45285</v>
      </c>
      <c r="B2178" s="2">
        <v>1166</v>
      </c>
      <c r="C2178" s="2">
        <v>234</v>
      </c>
      <c r="D2178" s="3">
        <v>2962.76</v>
      </c>
      <c r="E2178" s="4" t="s">
        <v>11</v>
      </c>
    </row>
    <row r="2179" spans="1:5" x14ac:dyDescent="0.2">
      <c r="A2179" s="1">
        <v>45285</v>
      </c>
      <c r="B2179" s="2">
        <v>1145</v>
      </c>
      <c r="C2179" s="2">
        <v>235</v>
      </c>
      <c r="D2179" s="3">
        <v>3689.43</v>
      </c>
      <c r="E2179" s="4" t="s">
        <v>12</v>
      </c>
    </row>
    <row r="2180" spans="1:5" hidden="1" x14ac:dyDescent="0.2">
      <c r="A2180" s="1">
        <v>45286</v>
      </c>
      <c r="B2180" s="2">
        <v>1142</v>
      </c>
      <c r="C2180" s="2">
        <v>216</v>
      </c>
      <c r="D2180" s="3">
        <v>3273.3</v>
      </c>
      <c r="E2180" s="4" t="s">
        <v>11</v>
      </c>
    </row>
    <row r="2181" spans="1:5" x14ac:dyDescent="0.2">
      <c r="A2181" s="1">
        <v>45286</v>
      </c>
      <c r="B2181" s="2">
        <v>1133</v>
      </c>
      <c r="C2181" s="2">
        <v>274</v>
      </c>
      <c r="D2181" s="3">
        <v>4962.5200000000004</v>
      </c>
      <c r="E2181" s="4" t="s">
        <v>12</v>
      </c>
    </row>
    <row r="2182" spans="1:5" hidden="1" x14ac:dyDescent="0.2">
      <c r="A2182" s="1">
        <v>45287</v>
      </c>
      <c r="B2182" s="2">
        <v>1183</v>
      </c>
      <c r="C2182" s="2">
        <v>235</v>
      </c>
      <c r="D2182" s="3">
        <v>4239.09</v>
      </c>
      <c r="E2182" s="4" t="s">
        <v>11</v>
      </c>
    </row>
    <row r="2183" spans="1:5" x14ac:dyDescent="0.2">
      <c r="A2183" s="1">
        <v>45287</v>
      </c>
      <c r="B2183" s="2">
        <v>1134</v>
      </c>
      <c r="C2183" s="2">
        <v>267</v>
      </c>
      <c r="D2183" s="3">
        <v>4334.3</v>
      </c>
      <c r="E2183" s="4" t="s">
        <v>12</v>
      </c>
    </row>
    <row r="2184" spans="1:5" hidden="1" x14ac:dyDescent="0.2">
      <c r="A2184" s="1">
        <v>45288</v>
      </c>
      <c r="B2184" s="2">
        <v>1222</v>
      </c>
      <c r="C2184" s="2">
        <v>245</v>
      </c>
      <c r="D2184" s="3">
        <v>3636.82</v>
      </c>
      <c r="E2184" s="4" t="s">
        <v>11</v>
      </c>
    </row>
    <row r="2185" spans="1:5" x14ac:dyDescent="0.2">
      <c r="A2185" s="1">
        <v>45288</v>
      </c>
      <c r="B2185" s="2">
        <v>1162</v>
      </c>
      <c r="C2185" s="2">
        <v>284</v>
      </c>
      <c r="D2185" s="3">
        <v>4856.16</v>
      </c>
      <c r="E2185" s="4" t="s">
        <v>12</v>
      </c>
    </row>
    <row r="2186" spans="1:5" hidden="1" x14ac:dyDescent="0.2">
      <c r="A2186" s="1">
        <v>45289</v>
      </c>
      <c r="B2186" s="2">
        <v>1227</v>
      </c>
      <c r="C2186" s="2">
        <v>243</v>
      </c>
      <c r="D2186" s="3">
        <v>3024.34</v>
      </c>
      <c r="E2186" s="4" t="s">
        <v>11</v>
      </c>
    </row>
    <row r="2187" spans="1:5" x14ac:dyDescent="0.2">
      <c r="A2187" s="1">
        <v>45289</v>
      </c>
      <c r="B2187" s="2">
        <v>1166</v>
      </c>
      <c r="C2187" s="2">
        <v>247</v>
      </c>
      <c r="D2187" s="3">
        <v>3416.9</v>
      </c>
      <c r="E2187" s="4" t="s">
        <v>12</v>
      </c>
    </row>
    <row r="2188" spans="1:5" hidden="1" x14ac:dyDescent="0.2">
      <c r="A2188" s="1">
        <v>45290</v>
      </c>
      <c r="B2188" s="2">
        <v>1187</v>
      </c>
      <c r="C2188" s="2">
        <v>222</v>
      </c>
      <c r="D2188" s="3">
        <v>3181.44</v>
      </c>
      <c r="E2188" s="4" t="s">
        <v>11</v>
      </c>
    </row>
    <row r="2189" spans="1:5" x14ac:dyDescent="0.2">
      <c r="A2189" s="1">
        <v>45290</v>
      </c>
      <c r="B2189" s="2">
        <v>1193</v>
      </c>
      <c r="C2189" s="2">
        <v>276</v>
      </c>
      <c r="D2189" s="3">
        <v>4728.2299999999996</v>
      </c>
      <c r="E2189" s="4" t="s">
        <v>12</v>
      </c>
    </row>
    <row r="2190" spans="1:5" hidden="1" x14ac:dyDescent="0.2">
      <c r="A2190" s="1">
        <v>45291</v>
      </c>
      <c r="B2190" s="2">
        <v>1231</v>
      </c>
      <c r="C2190" s="2">
        <v>231</v>
      </c>
      <c r="D2190" s="3">
        <v>3464.72</v>
      </c>
      <c r="E2190" s="4" t="s">
        <v>11</v>
      </c>
    </row>
    <row r="2191" spans="1:5" x14ac:dyDescent="0.2">
      <c r="A2191" s="1">
        <v>45291</v>
      </c>
      <c r="B2191" s="2">
        <v>1139</v>
      </c>
      <c r="C2191" s="2">
        <v>250</v>
      </c>
      <c r="D2191" s="3">
        <v>4598.3100000000004</v>
      </c>
      <c r="E2191" s="4" t="s">
        <v>12</v>
      </c>
    </row>
    <row r="2192" spans="1:5" hidden="1" x14ac:dyDescent="0.2">
      <c r="A2192" s="1">
        <v>45292</v>
      </c>
      <c r="B2192" s="2">
        <v>1245</v>
      </c>
      <c r="C2192" s="2">
        <v>229</v>
      </c>
      <c r="D2192" s="3">
        <v>2558.69</v>
      </c>
      <c r="E2192" s="4" t="s">
        <v>11</v>
      </c>
    </row>
    <row r="2193" spans="1:5" x14ac:dyDescent="0.2">
      <c r="A2193" s="1">
        <v>45292</v>
      </c>
      <c r="B2193" s="2">
        <v>1144</v>
      </c>
      <c r="C2193" s="2">
        <v>268</v>
      </c>
      <c r="D2193" s="3">
        <v>3770.74</v>
      </c>
      <c r="E2193" s="4" t="s">
        <v>12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2931-48D5-7547-932C-3F6CC3271DB8}">
  <dimension ref="A1:F1096"/>
  <sheetViews>
    <sheetView workbookViewId="0">
      <selection activeCell="I12" sqref="I12"/>
    </sheetView>
  </sheetViews>
  <sheetFormatPr baseColWidth="10" defaultRowHeight="16" x14ac:dyDescent="0.2"/>
  <cols>
    <col min="1" max="1" width="8.83203125" style="31" customWidth="1"/>
    <col min="2" max="2" width="15" customWidth="1"/>
    <col min="3" max="3" width="6.6640625" customWidth="1"/>
    <col min="4" max="4" width="5.1640625" customWidth="1"/>
    <col min="5" max="5" width="8.1640625" bestFit="1" customWidth="1"/>
    <col min="6" max="6" width="5" customWidth="1"/>
  </cols>
  <sheetData>
    <row r="1" spans="1:6" x14ac:dyDescent="0.2">
      <c r="A1" s="31" cm="1">
        <f t="array" ref="A1:F1096">_xlfn._xlws.FILTER(campaignData[], campaignData[Campaign New]="B", "No Data")</f>
        <v>44197</v>
      </c>
      <c r="B1" t="str">
        <v>New_Campaign</v>
      </c>
      <c r="C1">
        <v>1160</v>
      </c>
      <c r="D1">
        <v>241</v>
      </c>
      <c r="E1">
        <v>3743.15</v>
      </c>
      <c r="F1" t="str">
        <v>B</v>
      </c>
    </row>
    <row r="2" spans="1:6" x14ac:dyDescent="0.2">
      <c r="A2" s="31">
        <v>44198</v>
      </c>
      <c r="B2" t="str">
        <v>New_Campaign</v>
      </c>
      <c r="C2">
        <v>1143</v>
      </c>
      <c r="D2">
        <v>285</v>
      </c>
      <c r="E2">
        <v>3469.43</v>
      </c>
      <c r="F2" t="str">
        <v>B</v>
      </c>
    </row>
    <row r="3" spans="1:6" x14ac:dyDescent="0.2">
      <c r="A3" s="31">
        <v>44199</v>
      </c>
      <c r="B3" t="str">
        <v>New_Campaign</v>
      </c>
      <c r="C3">
        <v>1159</v>
      </c>
      <c r="D3">
        <v>287</v>
      </c>
      <c r="E3">
        <v>3774.19</v>
      </c>
      <c r="F3" t="str">
        <v>B</v>
      </c>
    </row>
    <row r="4" spans="1:6" x14ac:dyDescent="0.2">
      <c r="A4" s="31">
        <v>44200</v>
      </c>
      <c r="B4" t="str">
        <v>New_Campaign</v>
      </c>
      <c r="C4">
        <v>1125</v>
      </c>
      <c r="D4">
        <v>257</v>
      </c>
      <c r="E4">
        <v>3568.34</v>
      </c>
      <c r="F4" t="str">
        <v>B</v>
      </c>
    </row>
    <row r="5" spans="1:6" x14ac:dyDescent="0.2">
      <c r="A5" s="31">
        <v>44201</v>
      </c>
      <c r="B5" t="str">
        <v>New_Campaign</v>
      </c>
      <c r="C5">
        <v>1095</v>
      </c>
      <c r="D5">
        <v>245</v>
      </c>
      <c r="E5">
        <v>4003.97</v>
      </c>
      <c r="F5" t="str">
        <v>B</v>
      </c>
    </row>
    <row r="6" spans="1:6" x14ac:dyDescent="0.2">
      <c r="A6" s="31">
        <v>44202</v>
      </c>
      <c r="B6" t="str">
        <v>New_Campaign</v>
      </c>
      <c r="C6">
        <v>1108</v>
      </c>
      <c r="D6">
        <v>231</v>
      </c>
      <c r="E6">
        <v>2881.48</v>
      </c>
      <c r="F6" t="str">
        <v>B</v>
      </c>
    </row>
    <row r="7" spans="1:6" x14ac:dyDescent="0.2">
      <c r="A7" s="31">
        <v>44203</v>
      </c>
      <c r="B7" t="str">
        <v>New_Campaign</v>
      </c>
      <c r="C7">
        <v>1178</v>
      </c>
      <c r="D7">
        <v>283</v>
      </c>
      <c r="E7">
        <v>5055.1000000000004</v>
      </c>
      <c r="F7" t="str">
        <v>B</v>
      </c>
    </row>
    <row r="8" spans="1:6" x14ac:dyDescent="0.2">
      <c r="A8" s="31">
        <v>44204</v>
      </c>
      <c r="B8" t="str">
        <v>New_Campaign</v>
      </c>
      <c r="C8">
        <v>1173</v>
      </c>
      <c r="D8">
        <v>255</v>
      </c>
      <c r="E8">
        <v>3469.93</v>
      </c>
      <c r="F8" t="str">
        <v>B</v>
      </c>
    </row>
    <row r="9" spans="1:6" x14ac:dyDescent="0.2">
      <c r="A9" s="31">
        <v>44205</v>
      </c>
      <c r="B9" t="str">
        <v>New_Campaign</v>
      </c>
      <c r="C9">
        <v>1131</v>
      </c>
      <c r="D9">
        <v>284</v>
      </c>
      <c r="E9">
        <v>4374.16</v>
      </c>
      <c r="F9" t="str">
        <v>B</v>
      </c>
    </row>
    <row r="10" spans="1:6" x14ac:dyDescent="0.2">
      <c r="A10" s="31">
        <v>44206</v>
      </c>
      <c r="B10" t="str">
        <v>New_Campaign</v>
      </c>
      <c r="C10">
        <v>1213</v>
      </c>
      <c r="D10">
        <v>282</v>
      </c>
      <c r="E10">
        <v>4229.01</v>
      </c>
      <c r="F10" t="str">
        <v>B</v>
      </c>
    </row>
    <row r="11" spans="1:6" x14ac:dyDescent="0.2">
      <c r="A11" s="31">
        <v>44207</v>
      </c>
      <c r="B11" t="str">
        <v>New_Campaign</v>
      </c>
      <c r="C11">
        <v>1121</v>
      </c>
      <c r="D11">
        <v>244</v>
      </c>
      <c r="E11">
        <v>3744.1</v>
      </c>
      <c r="F11" t="str">
        <v>B</v>
      </c>
    </row>
    <row r="12" spans="1:6" x14ac:dyDescent="0.2">
      <c r="A12" s="31">
        <v>44208</v>
      </c>
      <c r="B12" t="str">
        <v>New_Campaign</v>
      </c>
      <c r="C12">
        <v>1152</v>
      </c>
      <c r="D12">
        <v>254</v>
      </c>
      <c r="E12">
        <v>4269.26</v>
      </c>
      <c r="F12" t="str">
        <v>B</v>
      </c>
    </row>
    <row r="13" spans="1:6" x14ac:dyDescent="0.2">
      <c r="A13" s="31">
        <v>44209</v>
      </c>
      <c r="B13" t="str">
        <v>New_Campaign</v>
      </c>
      <c r="C13">
        <v>1075</v>
      </c>
      <c r="D13">
        <v>270</v>
      </c>
      <c r="E13">
        <v>5650.15</v>
      </c>
      <c r="F13" t="str">
        <v>B</v>
      </c>
    </row>
    <row r="14" spans="1:6" x14ac:dyDescent="0.2">
      <c r="A14" s="31">
        <v>44210</v>
      </c>
      <c r="B14" t="str">
        <v>New_Campaign</v>
      </c>
      <c r="C14">
        <v>1163</v>
      </c>
      <c r="D14">
        <v>248</v>
      </c>
      <c r="E14">
        <v>3272.68</v>
      </c>
      <c r="F14" t="str">
        <v>B</v>
      </c>
    </row>
    <row r="15" spans="1:6" x14ac:dyDescent="0.2">
      <c r="A15" s="31">
        <v>44211</v>
      </c>
      <c r="B15" t="str">
        <v>New_Campaign</v>
      </c>
      <c r="C15">
        <v>1164</v>
      </c>
      <c r="D15">
        <v>247</v>
      </c>
      <c r="E15">
        <v>3985.87</v>
      </c>
      <c r="F15" t="str">
        <v>B</v>
      </c>
    </row>
    <row r="16" spans="1:6" x14ac:dyDescent="0.2">
      <c r="A16" s="31">
        <v>44212</v>
      </c>
      <c r="B16" t="str">
        <v>New_Campaign</v>
      </c>
      <c r="C16">
        <v>1185</v>
      </c>
      <c r="D16">
        <v>288</v>
      </c>
      <c r="E16">
        <v>3899.02</v>
      </c>
      <c r="F16" t="str">
        <v>B</v>
      </c>
    </row>
    <row r="17" spans="1:6" x14ac:dyDescent="0.2">
      <c r="A17" s="31">
        <v>44213</v>
      </c>
      <c r="B17" t="str">
        <v>New_Campaign</v>
      </c>
      <c r="C17">
        <v>1198</v>
      </c>
      <c r="D17">
        <v>300</v>
      </c>
      <c r="E17">
        <v>4978.1899999999996</v>
      </c>
      <c r="F17" t="str">
        <v>B</v>
      </c>
    </row>
    <row r="18" spans="1:6" x14ac:dyDescent="0.2">
      <c r="A18" s="31">
        <v>44214</v>
      </c>
      <c r="B18" t="str">
        <v>New_Campaign</v>
      </c>
      <c r="C18">
        <v>1155</v>
      </c>
      <c r="D18">
        <v>286</v>
      </c>
      <c r="E18">
        <v>4167.3900000000003</v>
      </c>
      <c r="F18" t="str">
        <v>B</v>
      </c>
    </row>
    <row r="19" spans="1:6" x14ac:dyDescent="0.2">
      <c r="A19" s="31">
        <v>44215</v>
      </c>
      <c r="B19" t="str">
        <v>New_Campaign</v>
      </c>
      <c r="C19">
        <v>1166</v>
      </c>
      <c r="D19">
        <v>262</v>
      </c>
      <c r="E19">
        <v>4408.3</v>
      </c>
      <c r="F19" t="str">
        <v>B</v>
      </c>
    </row>
    <row r="20" spans="1:6" x14ac:dyDescent="0.2">
      <c r="A20" s="31">
        <v>44216</v>
      </c>
      <c r="B20" t="str">
        <v>New_Campaign</v>
      </c>
      <c r="C20">
        <v>1182</v>
      </c>
      <c r="D20">
        <v>283</v>
      </c>
      <c r="E20">
        <v>4996.1899999999996</v>
      </c>
      <c r="F20" t="str">
        <v>B</v>
      </c>
    </row>
    <row r="21" spans="1:6" x14ac:dyDescent="0.2">
      <c r="A21" s="31">
        <v>44217</v>
      </c>
      <c r="B21" t="str">
        <v>New_Campaign</v>
      </c>
      <c r="C21">
        <v>1206</v>
      </c>
      <c r="D21">
        <v>251</v>
      </c>
      <c r="E21">
        <v>4258.2</v>
      </c>
      <c r="F21" t="str">
        <v>B</v>
      </c>
    </row>
    <row r="22" spans="1:6" x14ac:dyDescent="0.2">
      <c r="A22" s="31">
        <v>44218</v>
      </c>
      <c r="B22" t="str">
        <v>New_Campaign</v>
      </c>
      <c r="C22">
        <v>1190</v>
      </c>
      <c r="D22">
        <v>264</v>
      </c>
      <c r="E22">
        <v>3424.16</v>
      </c>
      <c r="F22" t="str">
        <v>B</v>
      </c>
    </row>
    <row r="23" spans="1:6" x14ac:dyDescent="0.2">
      <c r="A23" s="31">
        <v>44219</v>
      </c>
      <c r="B23" t="str">
        <v>New_Campaign</v>
      </c>
      <c r="C23">
        <v>1196</v>
      </c>
      <c r="D23">
        <v>282</v>
      </c>
      <c r="E23">
        <v>3867.36</v>
      </c>
      <c r="F23" t="str">
        <v>B</v>
      </c>
    </row>
    <row r="24" spans="1:6" x14ac:dyDescent="0.2">
      <c r="A24" s="31">
        <v>44220</v>
      </c>
      <c r="B24" t="str">
        <v>New_Campaign</v>
      </c>
      <c r="C24">
        <v>1170</v>
      </c>
      <c r="D24">
        <v>289</v>
      </c>
      <c r="E24">
        <v>5280.36</v>
      </c>
      <c r="F24" t="str">
        <v>B</v>
      </c>
    </row>
    <row r="25" spans="1:6" x14ac:dyDescent="0.2">
      <c r="A25" s="31">
        <v>44221</v>
      </c>
      <c r="B25" t="str">
        <v>New_Campaign</v>
      </c>
      <c r="C25">
        <v>1128</v>
      </c>
      <c r="D25">
        <v>259</v>
      </c>
      <c r="E25">
        <v>3176.76</v>
      </c>
      <c r="F25" t="str">
        <v>B</v>
      </c>
    </row>
    <row r="26" spans="1:6" x14ac:dyDescent="0.2">
      <c r="A26" s="31">
        <v>44222</v>
      </c>
      <c r="B26" t="str">
        <v>New_Campaign</v>
      </c>
      <c r="C26">
        <v>1162</v>
      </c>
      <c r="D26">
        <v>255</v>
      </c>
      <c r="E26">
        <v>4426.59</v>
      </c>
      <c r="F26" t="str">
        <v>B</v>
      </c>
    </row>
    <row r="27" spans="1:6" x14ac:dyDescent="0.2">
      <c r="A27" s="31">
        <v>44223</v>
      </c>
      <c r="B27" t="str">
        <v>New_Campaign</v>
      </c>
      <c r="C27">
        <v>1144</v>
      </c>
      <c r="D27">
        <v>238</v>
      </c>
      <c r="E27">
        <v>4213.76</v>
      </c>
      <c r="F27" t="str">
        <v>B</v>
      </c>
    </row>
    <row r="28" spans="1:6" x14ac:dyDescent="0.2">
      <c r="A28" s="31">
        <v>44224</v>
      </c>
      <c r="B28" t="str">
        <v>New_Campaign</v>
      </c>
      <c r="C28">
        <v>1155</v>
      </c>
      <c r="D28">
        <v>239</v>
      </c>
      <c r="E28">
        <v>3511.71</v>
      </c>
      <c r="F28" t="str">
        <v>B</v>
      </c>
    </row>
    <row r="29" spans="1:6" x14ac:dyDescent="0.2">
      <c r="A29" s="31">
        <v>44225</v>
      </c>
      <c r="B29" t="str">
        <v>New_Campaign</v>
      </c>
      <c r="C29">
        <v>1069</v>
      </c>
      <c r="D29">
        <v>263</v>
      </c>
      <c r="E29">
        <v>3835.77</v>
      </c>
      <c r="F29" t="str">
        <v>B</v>
      </c>
    </row>
    <row r="30" spans="1:6" x14ac:dyDescent="0.2">
      <c r="A30" s="31">
        <v>44226</v>
      </c>
      <c r="B30" t="str">
        <v>New_Campaign</v>
      </c>
      <c r="C30">
        <v>1163</v>
      </c>
      <c r="D30">
        <v>266</v>
      </c>
      <c r="E30">
        <v>3495.16</v>
      </c>
      <c r="F30" t="str">
        <v>B</v>
      </c>
    </row>
    <row r="31" spans="1:6" x14ac:dyDescent="0.2">
      <c r="A31" s="31">
        <v>44227</v>
      </c>
      <c r="B31" t="str">
        <v>New_Campaign</v>
      </c>
      <c r="C31">
        <v>1219</v>
      </c>
      <c r="D31">
        <v>278</v>
      </c>
      <c r="E31">
        <v>4114.28</v>
      </c>
      <c r="F31" t="str">
        <v>B</v>
      </c>
    </row>
    <row r="32" spans="1:6" x14ac:dyDescent="0.2">
      <c r="A32" s="31">
        <v>44228</v>
      </c>
      <c r="B32" t="str">
        <v>New_Campaign</v>
      </c>
      <c r="C32">
        <v>1088</v>
      </c>
      <c r="D32">
        <v>261</v>
      </c>
      <c r="E32">
        <v>3850.95</v>
      </c>
      <c r="F32" t="str">
        <v>B</v>
      </c>
    </row>
    <row r="33" spans="1:6" x14ac:dyDescent="0.2">
      <c r="A33" s="31">
        <v>44229</v>
      </c>
      <c r="B33" t="str">
        <v>New_Campaign</v>
      </c>
      <c r="C33">
        <v>1174</v>
      </c>
      <c r="D33">
        <v>277</v>
      </c>
      <c r="E33">
        <v>4602.24</v>
      </c>
      <c r="F33" t="str">
        <v>B</v>
      </c>
    </row>
    <row r="34" spans="1:6" x14ac:dyDescent="0.2">
      <c r="A34" s="31">
        <v>44230</v>
      </c>
      <c r="B34" t="str">
        <v>New_Campaign</v>
      </c>
      <c r="C34">
        <v>1192</v>
      </c>
      <c r="D34">
        <v>253</v>
      </c>
      <c r="E34">
        <v>3945.69</v>
      </c>
      <c r="F34" t="str">
        <v>B</v>
      </c>
    </row>
    <row r="35" spans="1:6" x14ac:dyDescent="0.2">
      <c r="A35" s="31">
        <v>44231</v>
      </c>
      <c r="B35" t="str">
        <v>New_Campaign</v>
      </c>
      <c r="C35">
        <v>1227</v>
      </c>
      <c r="D35">
        <v>297</v>
      </c>
      <c r="E35">
        <v>4674.7</v>
      </c>
      <c r="F35" t="str">
        <v>B</v>
      </c>
    </row>
    <row r="36" spans="1:6" x14ac:dyDescent="0.2">
      <c r="A36" s="31">
        <v>44232</v>
      </c>
      <c r="B36" t="str">
        <v>New_Campaign</v>
      </c>
      <c r="C36">
        <v>1144</v>
      </c>
      <c r="D36">
        <v>275</v>
      </c>
      <c r="E36">
        <v>4027.56</v>
      </c>
      <c r="F36" t="str">
        <v>B</v>
      </c>
    </row>
    <row r="37" spans="1:6" x14ac:dyDescent="0.2">
      <c r="A37" s="31">
        <v>44233</v>
      </c>
      <c r="B37" t="str">
        <v>New_Campaign</v>
      </c>
      <c r="C37">
        <v>1088</v>
      </c>
      <c r="D37">
        <v>234</v>
      </c>
      <c r="E37">
        <v>3506.75</v>
      </c>
      <c r="F37" t="str">
        <v>B</v>
      </c>
    </row>
    <row r="38" spans="1:6" x14ac:dyDescent="0.2">
      <c r="A38" s="31">
        <v>44234</v>
      </c>
      <c r="B38" t="str">
        <v>New_Campaign</v>
      </c>
      <c r="C38">
        <v>1179</v>
      </c>
      <c r="D38">
        <v>264</v>
      </c>
      <c r="E38">
        <v>4111.3</v>
      </c>
      <c r="F38" t="str">
        <v>B</v>
      </c>
    </row>
    <row r="39" spans="1:6" x14ac:dyDescent="0.2">
      <c r="A39" s="31">
        <v>44235</v>
      </c>
      <c r="B39" t="str">
        <v>New_Campaign</v>
      </c>
      <c r="C39">
        <v>1175</v>
      </c>
      <c r="D39">
        <v>258</v>
      </c>
      <c r="E39">
        <v>3701.15</v>
      </c>
      <c r="F39" t="str">
        <v>B</v>
      </c>
    </row>
    <row r="40" spans="1:6" x14ac:dyDescent="0.2">
      <c r="A40" s="31">
        <v>44236</v>
      </c>
      <c r="B40" t="str">
        <v>New_Campaign</v>
      </c>
      <c r="C40">
        <v>1146</v>
      </c>
      <c r="D40">
        <v>263</v>
      </c>
      <c r="E40">
        <v>4712.58</v>
      </c>
      <c r="F40" t="str">
        <v>B</v>
      </c>
    </row>
    <row r="41" spans="1:6" x14ac:dyDescent="0.2">
      <c r="A41" s="31">
        <v>44237</v>
      </c>
      <c r="B41" t="str">
        <v>New_Campaign</v>
      </c>
      <c r="C41">
        <v>1146</v>
      </c>
      <c r="D41">
        <v>285</v>
      </c>
      <c r="E41">
        <v>4218.3500000000004</v>
      </c>
      <c r="F41" t="str">
        <v>B</v>
      </c>
    </row>
    <row r="42" spans="1:6" x14ac:dyDescent="0.2">
      <c r="A42" s="31">
        <v>44238</v>
      </c>
      <c r="B42" t="str">
        <v>New_Campaign</v>
      </c>
      <c r="C42">
        <v>1205</v>
      </c>
      <c r="D42">
        <v>246</v>
      </c>
      <c r="E42">
        <v>4178.0200000000004</v>
      </c>
      <c r="F42" t="str">
        <v>B</v>
      </c>
    </row>
    <row r="43" spans="1:6" x14ac:dyDescent="0.2">
      <c r="A43" s="31">
        <v>44239</v>
      </c>
      <c r="B43" t="str">
        <v>New_Campaign</v>
      </c>
      <c r="C43">
        <v>1159</v>
      </c>
      <c r="D43">
        <v>295</v>
      </c>
      <c r="E43">
        <v>4443.1899999999996</v>
      </c>
      <c r="F43" t="str">
        <v>B</v>
      </c>
    </row>
    <row r="44" spans="1:6" x14ac:dyDescent="0.2">
      <c r="A44" s="31">
        <v>44240</v>
      </c>
      <c r="B44" t="str">
        <v>New_Campaign</v>
      </c>
      <c r="C44">
        <v>1190</v>
      </c>
      <c r="D44">
        <v>289</v>
      </c>
      <c r="E44">
        <v>4651.1499999999996</v>
      </c>
      <c r="F44" t="str">
        <v>B</v>
      </c>
    </row>
    <row r="45" spans="1:6" x14ac:dyDescent="0.2">
      <c r="A45" s="31">
        <v>44241</v>
      </c>
      <c r="B45" t="str">
        <v>New_Campaign</v>
      </c>
      <c r="C45">
        <v>1102</v>
      </c>
      <c r="D45">
        <v>254</v>
      </c>
      <c r="E45">
        <v>4713.0600000000004</v>
      </c>
      <c r="F45" t="str">
        <v>B</v>
      </c>
    </row>
    <row r="46" spans="1:6" x14ac:dyDescent="0.2">
      <c r="A46" s="31">
        <v>44242</v>
      </c>
      <c r="B46" t="str">
        <v>New_Campaign</v>
      </c>
      <c r="C46">
        <v>1107</v>
      </c>
      <c r="D46">
        <v>247</v>
      </c>
      <c r="E46">
        <v>4431.96</v>
      </c>
      <c r="F46" t="str">
        <v>B</v>
      </c>
    </row>
    <row r="47" spans="1:6" x14ac:dyDescent="0.2">
      <c r="A47" s="31">
        <v>44243</v>
      </c>
      <c r="B47" t="str">
        <v>New_Campaign</v>
      </c>
      <c r="C47">
        <v>1139</v>
      </c>
      <c r="D47">
        <v>285</v>
      </c>
      <c r="E47">
        <v>3557.52</v>
      </c>
      <c r="F47" t="str">
        <v>B</v>
      </c>
    </row>
    <row r="48" spans="1:6" x14ac:dyDescent="0.2">
      <c r="A48" s="31">
        <v>44244</v>
      </c>
      <c r="B48" t="str">
        <v>New_Campaign</v>
      </c>
      <c r="C48">
        <v>1146</v>
      </c>
      <c r="D48">
        <v>275</v>
      </c>
      <c r="E48">
        <v>4369.45</v>
      </c>
      <c r="F48" t="str">
        <v>B</v>
      </c>
    </row>
    <row r="49" spans="1:6" x14ac:dyDescent="0.2">
      <c r="A49" s="31">
        <v>44245</v>
      </c>
      <c r="B49" t="str">
        <v>New_Campaign</v>
      </c>
      <c r="C49">
        <v>1115</v>
      </c>
      <c r="D49">
        <v>277</v>
      </c>
      <c r="E49">
        <v>3911.31</v>
      </c>
      <c r="F49" t="str">
        <v>B</v>
      </c>
    </row>
    <row r="50" spans="1:6" x14ac:dyDescent="0.2">
      <c r="A50" s="31">
        <v>44246</v>
      </c>
      <c r="B50" t="str">
        <v>New_Campaign</v>
      </c>
      <c r="C50">
        <v>1114</v>
      </c>
      <c r="D50">
        <v>248</v>
      </c>
      <c r="E50">
        <v>3574.74</v>
      </c>
      <c r="F50" t="str">
        <v>B</v>
      </c>
    </row>
    <row r="51" spans="1:6" x14ac:dyDescent="0.2">
      <c r="A51" s="31">
        <v>44247</v>
      </c>
      <c r="B51" t="str">
        <v>New_Campaign</v>
      </c>
      <c r="C51">
        <v>1195</v>
      </c>
      <c r="D51">
        <v>270</v>
      </c>
      <c r="E51">
        <v>4435.55</v>
      </c>
      <c r="F51" t="str">
        <v>B</v>
      </c>
    </row>
    <row r="52" spans="1:6" x14ac:dyDescent="0.2">
      <c r="A52" s="31">
        <v>44248</v>
      </c>
      <c r="B52" t="str">
        <v>New_Campaign</v>
      </c>
      <c r="C52">
        <v>1161</v>
      </c>
      <c r="D52">
        <v>266</v>
      </c>
      <c r="E52">
        <v>3031.38</v>
      </c>
      <c r="F52" t="str">
        <v>B</v>
      </c>
    </row>
    <row r="53" spans="1:6" x14ac:dyDescent="0.2">
      <c r="A53" s="31">
        <v>44249</v>
      </c>
      <c r="B53" t="str">
        <v>New_Campaign</v>
      </c>
      <c r="C53">
        <v>1153</v>
      </c>
      <c r="D53">
        <v>266</v>
      </c>
      <c r="E53">
        <v>3747.65</v>
      </c>
      <c r="F53" t="str">
        <v>B</v>
      </c>
    </row>
    <row r="54" spans="1:6" x14ac:dyDescent="0.2">
      <c r="A54" s="31">
        <v>44250</v>
      </c>
      <c r="B54" t="str">
        <v>New_Campaign</v>
      </c>
      <c r="C54">
        <v>1181</v>
      </c>
      <c r="D54">
        <v>259</v>
      </c>
      <c r="E54">
        <v>4600.6899999999996</v>
      </c>
      <c r="F54" t="str">
        <v>B</v>
      </c>
    </row>
    <row r="55" spans="1:6" x14ac:dyDescent="0.2">
      <c r="A55" s="31">
        <v>44251</v>
      </c>
      <c r="B55" t="str">
        <v>New_Campaign</v>
      </c>
      <c r="C55">
        <v>1164</v>
      </c>
      <c r="D55">
        <v>255</v>
      </c>
      <c r="E55">
        <v>3374.77</v>
      </c>
      <c r="F55" t="str">
        <v>B</v>
      </c>
    </row>
    <row r="56" spans="1:6" x14ac:dyDescent="0.2">
      <c r="A56" s="31">
        <v>44252</v>
      </c>
      <c r="B56" t="str">
        <v>New_Campaign</v>
      </c>
      <c r="C56">
        <v>1116</v>
      </c>
      <c r="D56">
        <v>239</v>
      </c>
      <c r="E56">
        <v>3591.15</v>
      </c>
      <c r="F56" t="str">
        <v>B</v>
      </c>
    </row>
    <row r="57" spans="1:6" x14ac:dyDescent="0.2">
      <c r="A57" s="31">
        <v>44253</v>
      </c>
      <c r="B57" t="str">
        <v>New_Campaign</v>
      </c>
      <c r="C57">
        <v>1185</v>
      </c>
      <c r="D57">
        <v>260</v>
      </c>
      <c r="E57">
        <v>3688.07</v>
      </c>
      <c r="F57" t="str">
        <v>B</v>
      </c>
    </row>
    <row r="58" spans="1:6" x14ac:dyDescent="0.2">
      <c r="A58" s="31">
        <v>44254</v>
      </c>
      <c r="B58" t="str">
        <v>New_Campaign</v>
      </c>
      <c r="C58">
        <v>1132</v>
      </c>
      <c r="D58">
        <v>275</v>
      </c>
      <c r="E58">
        <v>4713.83</v>
      </c>
      <c r="F58" t="str">
        <v>B</v>
      </c>
    </row>
    <row r="59" spans="1:6" x14ac:dyDescent="0.2">
      <c r="A59" s="31">
        <v>44255</v>
      </c>
      <c r="B59" t="str">
        <v>New_Campaign</v>
      </c>
      <c r="C59">
        <v>1153</v>
      </c>
      <c r="D59">
        <v>275</v>
      </c>
      <c r="E59">
        <v>3733.94</v>
      </c>
      <c r="F59" t="str">
        <v>B</v>
      </c>
    </row>
    <row r="60" spans="1:6" x14ac:dyDescent="0.2">
      <c r="A60" s="31">
        <v>44256</v>
      </c>
      <c r="B60" t="str">
        <v>New_Campaign</v>
      </c>
      <c r="C60">
        <v>1147</v>
      </c>
      <c r="D60">
        <v>253</v>
      </c>
      <c r="E60">
        <v>4777.43</v>
      </c>
      <c r="F60" t="str">
        <v>B</v>
      </c>
    </row>
    <row r="61" spans="1:6" x14ac:dyDescent="0.2">
      <c r="A61" s="31">
        <v>44257</v>
      </c>
      <c r="B61" t="str">
        <v>New_Campaign</v>
      </c>
      <c r="C61">
        <v>1157</v>
      </c>
      <c r="D61">
        <v>250</v>
      </c>
      <c r="E61">
        <v>3922.16</v>
      </c>
      <c r="F61" t="str">
        <v>B</v>
      </c>
    </row>
    <row r="62" spans="1:6" x14ac:dyDescent="0.2">
      <c r="A62" s="31">
        <v>44258</v>
      </c>
      <c r="B62" t="str">
        <v>New_Campaign</v>
      </c>
      <c r="C62">
        <v>1136</v>
      </c>
      <c r="D62">
        <v>255</v>
      </c>
      <c r="E62">
        <v>5138.45</v>
      </c>
      <c r="F62" t="str">
        <v>B</v>
      </c>
    </row>
    <row r="63" spans="1:6" x14ac:dyDescent="0.2">
      <c r="A63" s="31">
        <v>44259</v>
      </c>
      <c r="B63" t="str">
        <v>New_Campaign</v>
      </c>
      <c r="C63">
        <v>1122</v>
      </c>
      <c r="D63">
        <v>259</v>
      </c>
      <c r="E63">
        <v>5012.3900000000003</v>
      </c>
      <c r="F63" t="str">
        <v>B</v>
      </c>
    </row>
    <row r="64" spans="1:6" x14ac:dyDescent="0.2">
      <c r="A64" s="31">
        <v>44260</v>
      </c>
      <c r="B64" t="str">
        <v>New_Campaign</v>
      </c>
      <c r="C64">
        <v>1108</v>
      </c>
      <c r="D64">
        <v>266</v>
      </c>
      <c r="E64">
        <v>4864.4799999999996</v>
      </c>
      <c r="F64" t="str">
        <v>B</v>
      </c>
    </row>
    <row r="65" spans="1:6" x14ac:dyDescent="0.2">
      <c r="A65" s="31">
        <v>44261</v>
      </c>
      <c r="B65" t="str">
        <v>New_Campaign</v>
      </c>
      <c r="C65">
        <v>1177</v>
      </c>
      <c r="D65">
        <v>261</v>
      </c>
      <c r="E65">
        <v>3729.12</v>
      </c>
      <c r="F65" t="str">
        <v>B</v>
      </c>
    </row>
    <row r="66" spans="1:6" x14ac:dyDescent="0.2">
      <c r="A66" s="31">
        <v>44262</v>
      </c>
      <c r="B66" t="str">
        <v>New_Campaign</v>
      </c>
      <c r="C66">
        <v>1122</v>
      </c>
      <c r="D66">
        <v>244</v>
      </c>
      <c r="E66">
        <v>4088.12</v>
      </c>
      <c r="F66" t="str">
        <v>B</v>
      </c>
    </row>
    <row r="67" spans="1:6" x14ac:dyDescent="0.2">
      <c r="A67" s="31">
        <v>44263</v>
      </c>
      <c r="B67" t="str">
        <v>New_Campaign</v>
      </c>
      <c r="C67">
        <v>1146</v>
      </c>
      <c r="D67">
        <v>253</v>
      </c>
      <c r="E67">
        <v>4805</v>
      </c>
      <c r="F67" t="str">
        <v>B</v>
      </c>
    </row>
    <row r="68" spans="1:6" x14ac:dyDescent="0.2">
      <c r="A68" s="31">
        <v>44264</v>
      </c>
      <c r="B68" t="str">
        <v>New_Campaign</v>
      </c>
      <c r="C68">
        <v>1170</v>
      </c>
      <c r="D68">
        <v>251</v>
      </c>
      <c r="E68">
        <v>4380.33</v>
      </c>
      <c r="F68" t="str">
        <v>B</v>
      </c>
    </row>
    <row r="69" spans="1:6" x14ac:dyDescent="0.2">
      <c r="A69" s="31">
        <v>44265</v>
      </c>
      <c r="B69" t="str">
        <v>New_Campaign</v>
      </c>
      <c r="C69">
        <v>1105</v>
      </c>
      <c r="D69">
        <v>268</v>
      </c>
      <c r="E69">
        <v>4220.58</v>
      </c>
      <c r="F69" t="str">
        <v>B</v>
      </c>
    </row>
    <row r="70" spans="1:6" x14ac:dyDescent="0.2">
      <c r="A70" s="31">
        <v>44266</v>
      </c>
      <c r="B70" t="str">
        <v>New_Campaign</v>
      </c>
      <c r="C70">
        <v>1154</v>
      </c>
      <c r="D70">
        <v>270</v>
      </c>
      <c r="E70">
        <v>3426.38</v>
      </c>
      <c r="F70" t="str">
        <v>B</v>
      </c>
    </row>
    <row r="71" spans="1:6" x14ac:dyDescent="0.2">
      <c r="A71" s="31">
        <v>44267</v>
      </c>
      <c r="B71" t="str">
        <v>New_Campaign</v>
      </c>
      <c r="C71">
        <v>1150</v>
      </c>
      <c r="D71">
        <v>289</v>
      </c>
      <c r="E71">
        <v>4466.37</v>
      </c>
      <c r="F71" t="str">
        <v>B</v>
      </c>
    </row>
    <row r="72" spans="1:6" x14ac:dyDescent="0.2">
      <c r="A72" s="31">
        <v>44268</v>
      </c>
      <c r="B72" t="str">
        <v>New_Campaign</v>
      </c>
      <c r="C72">
        <v>1150</v>
      </c>
      <c r="D72">
        <v>246</v>
      </c>
      <c r="E72">
        <v>3391.59</v>
      </c>
      <c r="F72" t="str">
        <v>B</v>
      </c>
    </row>
    <row r="73" spans="1:6" x14ac:dyDescent="0.2">
      <c r="A73" s="31">
        <v>44269</v>
      </c>
      <c r="B73" t="str">
        <v>New_Campaign</v>
      </c>
      <c r="C73">
        <v>1156</v>
      </c>
      <c r="D73">
        <v>263</v>
      </c>
      <c r="E73">
        <v>3922.16</v>
      </c>
      <c r="F73" t="str">
        <v>B</v>
      </c>
    </row>
    <row r="74" spans="1:6" x14ac:dyDescent="0.2">
      <c r="A74" s="31">
        <v>44270</v>
      </c>
      <c r="B74" t="str">
        <v>New_Campaign</v>
      </c>
      <c r="C74">
        <v>1138</v>
      </c>
      <c r="D74">
        <v>277</v>
      </c>
      <c r="E74">
        <v>4226.22</v>
      </c>
      <c r="F74" t="str">
        <v>B</v>
      </c>
    </row>
    <row r="75" spans="1:6" x14ac:dyDescent="0.2">
      <c r="A75" s="31">
        <v>44271</v>
      </c>
      <c r="B75" t="str">
        <v>New_Campaign</v>
      </c>
      <c r="C75">
        <v>1182</v>
      </c>
      <c r="D75">
        <v>293</v>
      </c>
      <c r="E75">
        <v>4026.38</v>
      </c>
      <c r="F75" t="str">
        <v>B</v>
      </c>
    </row>
    <row r="76" spans="1:6" x14ac:dyDescent="0.2">
      <c r="A76" s="31">
        <v>44272</v>
      </c>
      <c r="B76" t="str">
        <v>New_Campaign</v>
      </c>
      <c r="C76">
        <v>1129</v>
      </c>
      <c r="D76">
        <v>257</v>
      </c>
      <c r="E76">
        <v>4428.59</v>
      </c>
      <c r="F76" t="str">
        <v>B</v>
      </c>
    </row>
    <row r="77" spans="1:6" x14ac:dyDescent="0.2">
      <c r="A77" s="31">
        <v>44273</v>
      </c>
      <c r="B77" t="str">
        <v>New_Campaign</v>
      </c>
      <c r="C77">
        <v>1185</v>
      </c>
      <c r="D77">
        <v>272</v>
      </c>
      <c r="E77">
        <v>4251.41</v>
      </c>
      <c r="F77" t="str">
        <v>B</v>
      </c>
    </row>
    <row r="78" spans="1:6" x14ac:dyDescent="0.2">
      <c r="A78" s="31">
        <v>44274</v>
      </c>
      <c r="B78" t="str">
        <v>New_Campaign</v>
      </c>
      <c r="C78">
        <v>1129</v>
      </c>
      <c r="D78">
        <v>254</v>
      </c>
      <c r="E78">
        <v>4925.8</v>
      </c>
      <c r="F78" t="str">
        <v>B</v>
      </c>
    </row>
    <row r="79" spans="1:6" x14ac:dyDescent="0.2">
      <c r="A79" s="31">
        <v>44275</v>
      </c>
      <c r="B79" t="str">
        <v>New_Campaign</v>
      </c>
      <c r="C79">
        <v>1163</v>
      </c>
      <c r="D79">
        <v>250</v>
      </c>
      <c r="E79">
        <v>3144.92</v>
      </c>
      <c r="F79" t="str">
        <v>B</v>
      </c>
    </row>
    <row r="80" spans="1:6" x14ac:dyDescent="0.2">
      <c r="A80" s="31">
        <v>44276</v>
      </c>
      <c r="B80" t="str">
        <v>New_Campaign</v>
      </c>
      <c r="C80">
        <v>1127</v>
      </c>
      <c r="D80">
        <v>264</v>
      </c>
      <c r="E80">
        <v>3707.42</v>
      </c>
      <c r="F80" t="str">
        <v>B</v>
      </c>
    </row>
    <row r="81" spans="1:6" x14ac:dyDescent="0.2">
      <c r="A81" s="31">
        <v>44277</v>
      </c>
      <c r="B81" t="str">
        <v>New_Campaign</v>
      </c>
      <c r="C81">
        <v>1160</v>
      </c>
      <c r="D81">
        <v>249</v>
      </c>
      <c r="E81">
        <v>4473.38</v>
      </c>
      <c r="F81" t="str">
        <v>B</v>
      </c>
    </row>
    <row r="82" spans="1:6" x14ac:dyDescent="0.2">
      <c r="A82" s="31">
        <v>44278</v>
      </c>
      <c r="B82" t="str">
        <v>New_Campaign</v>
      </c>
      <c r="C82">
        <v>1093</v>
      </c>
      <c r="D82">
        <v>251</v>
      </c>
      <c r="E82">
        <v>3651.68</v>
      </c>
      <c r="F82" t="str">
        <v>B</v>
      </c>
    </row>
    <row r="83" spans="1:6" x14ac:dyDescent="0.2">
      <c r="A83" s="31">
        <v>44279</v>
      </c>
      <c r="B83" t="str">
        <v>New_Campaign</v>
      </c>
      <c r="C83">
        <v>1166</v>
      </c>
      <c r="D83">
        <v>255</v>
      </c>
      <c r="E83">
        <v>5422.51</v>
      </c>
      <c r="F83" t="str">
        <v>B</v>
      </c>
    </row>
    <row r="84" spans="1:6" x14ac:dyDescent="0.2">
      <c r="A84" s="31">
        <v>44280</v>
      </c>
      <c r="B84" t="str">
        <v>New_Campaign</v>
      </c>
      <c r="C84">
        <v>1100</v>
      </c>
      <c r="D84">
        <v>240</v>
      </c>
      <c r="E84">
        <v>3502.48</v>
      </c>
      <c r="F84" t="str">
        <v>B</v>
      </c>
    </row>
    <row r="85" spans="1:6" x14ac:dyDescent="0.2">
      <c r="A85" s="31">
        <v>44281</v>
      </c>
      <c r="B85" t="str">
        <v>New_Campaign</v>
      </c>
      <c r="C85">
        <v>1127</v>
      </c>
      <c r="D85">
        <v>272</v>
      </c>
      <c r="E85">
        <v>4881.07</v>
      </c>
      <c r="F85" t="str">
        <v>B</v>
      </c>
    </row>
    <row r="86" spans="1:6" x14ac:dyDescent="0.2">
      <c r="A86" s="31">
        <v>44282</v>
      </c>
      <c r="B86" t="str">
        <v>New_Campaign</v>
      </c>
      <c r="C86">
        <v>1183</v>
      </c>
      <c r="D86">
        <v>269</v>
      </c>
      <c r="E86">
        <v>4632.5</v>
      </c>
      <c r="F86" t="str">
        <v>B</v>
      </c>
    </row>
    <row r="87" spans="1:6" x14ac:dyDescent="0.2">
      <c r="A87" s="31">
        <v>44283</v>
      </c>
      <c r="B87" t="str">
        <v>New_Campaign</v>
      </c>
      <c r="C87">
        <v>1210</v>
      </c>
      <c r="D87">
        <v>244</v>
      </c>
      <c r="E87">
        <v>4417.9399999999996</v>
      </c>
      <c r="F87" t="str">
        <v>B</v>
      </c>
    </row>
    <row r="88" spans="1:6" x14ac:dyDescent="0.2">
      <c r="A88" s="31">
        <v>44284</v>
      </c>
      <c r="B88" t="str">
        <v>New_Campaign</v>
      </c>
      <c r="C88">
        <v>1122</v>
      </c>
      <c r="D88">
        <v>242</v>
      </c>
      <c r="E88">
        <v>3648.26</v>
      </c>
      <c r="F88" t="str">
        <v>B</v>
      </c>
    </row>
    <row r="89" spans="1:6" x14ac:dyDescent="0.2">
      <c r="A89" s="31">
        <v>44285</v>
      </c>
      <c r="B89" t="str">
        <v>New_Campaign</v>
      </c>
      <c r="C89">
        <v>1132</v>
      </c>
      <c r="D89">
        <v>269</v>
      </c>
      <c r="E89">
        <v>4409.75</v>
      </c>
      <c r="F89" t="str">
        <v>B</v>
      </c>
    </row>
    <row r="90" spans="1:6" x14ac:dyDescent="0.2">
      <c r="A90" s="31">
        <v>44286</v>
      </c>
      <c r="B90" t="str">
        <v>New_Campaign</v>
      </c>
      <c r="C90">
        <v>1148</v>
      </c>
      <c r="D90">
        <v>259</v>
      </c>
      <c r="E90">
        <v>4874.04</v>
      </c>
      <c r="F90" t="str">
        <v>B</v>
      </c>
    </row>
    <row r="91" spans="1:6" x14ac:dyDescent="0.2">
      <c r="A91" s="31">
        <v>44287</v>
      </c>
      <c r="B91" t="str">
        <v>New_Campaign</v>
      </c>
      <c r="C91">
        <v>1129</v>
      </c>
      <c r="D91">
        <v>260</v>
      </c>
      <c r="E91">
        <v>3682.3</v>
      </c>
      <c r="F91" t="str">
        <v>B</v>
      </c>
    </row>
    <row r="92" spans="1:6" x14ac:dyDescent="0.2">
      <c r="A92" s="31">
        <v>44288</v>
      </c>
      <c r="B92" t="str">
        <v>New_Campaign</v>
      </c>
      <c r="C92">
        <v>1222</v>
      </c>
      <c r="D92">
        <v>303</v>
      </c>
      <c r="E92">
        <v>4718.32</v>
      </c>
      <c r="F92" t="str">
        <v>B</v>
      </c>
    </row>
    <row r="93" spans="1:6" x14ac:dyDescent="0.2">
      <c r="A93" s="31">
        <v>44289</v>
      </c>
      <c r="B93" t="str">
        <v>New_Campaign</v>
      </c>
      <c r="C93">
        <v>1120</v>
      </c>
      <c r="D93">
        <v>233</v>
      </c>
      <c r="E93">
        <v>3480.56</v>
      </c>
      <c r="F93" t="str">
        <v>B</v>
      </c>
    </row>
    <row r="94" spans="1:6" x14ac:dyDescent="0.2">
      <c r="A94" s="31">
        <v>44290</v>
      </c>
      <c r="B94" t="str">
        <v>New_Campaign</v>
      </c>
      <c r="C94">
        <v>1185</v>
      </c>
      <c r="D94">
        <v>266</v>
      </c>
      <c r="E94">
        <v>4506.79</v>
      </c>
      <c r="F94" t="str">
        <v>B</v>
      </c>
    </row>
    <row r="95" spans="1:6" x14ac:dyDescent="0.2">
      <c r="A95" s="31">
        <v>44291</v>
      </c>
      <c r="B95" t="str">
        <v>New_Campaign</v>
      </c>
      <c r="C95">
        <v>1198</v>
      </c>
      <c r="D95">
        <v>288</v>
      </c>
      <c r="E95">
        <v>4384.68</v>
      </c>
      <c r="F95" t="str">
        <v>B</v>
      </c>
    </row>
    <row r="96" spans="1:6" x14ac:dyDescent="0.2">
      <c r="A96" s="31">
        <v>44292</v>
      </c>
      <c r="B96" t="str">
        <v>New_Campaign</v>
      </c>
      <c r="C96">
        <v>1092</v>
      </c>
      <c r="D96">
        <v>231</v>
      </c>
      <c r="E96">
        <v>4525.09</v>
      </c>
      <c r="F96" t="str">
        <v>B</v>
      </c>
    </row>
    <row r="97" spans="1:6" x14ac:dyDescent="0.2">
      <c r="A97" s="31">
        <v>44293</v>
      </c>
      <c r="B97" t="str">
        <v>New_Campaign</v>
      </c>
      <c r="C97">
        <v>1168</v>
      </c>
      <c r="D97">
        <v>255</v>
      </c>
      <c r="E97">
        <v>4612.5200000000004</v>
      </c>
      <c r="F97" t="str">
        <v>B</v>
      </c>
    </row>
    <row r="98" spans="1:6" x14ac:dyDescent="0.2">
      <c r="A98" s="31">
        <v>44294</v>
      </c>
      <c r="B98" t="str">
        <v>New_Campaign</v>
      </c>
      <c r="C98">
        <v>1134</v>
      </c>
      <c r="D98">
        <v>245</v>
      </c>
      <c r="E98">
        <v>3991.89</v>
      </c>
      <c r="F98" t="str">
        <v>B</v>
      </c>
    </row>
    <row r="99" spans="1:6" x14ac:dyDescent="0.2">
      <c r="A99" s="31">
        <v>44295</v>
      </c>
      <c r="B99" t="str">
        <v>New_Campaign</v>
      </c>
      <c r="C99">
        <v>1163</v>
      </c>
      <c r="D99">
        <v>279</v>
      </c>
      <c r="E99">
        <v>4489.91</v>
      </c>
      <c r="F99" t="str">
        <v>B</v>
      </c>
    </row>
    <row r="100" spans="1:6" x14ac:dyDescent="0.2">
      <c r="A100" s="31">
        <v>44296</v>
      </c>
      <c r="B100" t="str">
        <v>New_Campaign</v>
      </c>
      <c r="C100">
        <v>1163</v>
      </c>
      <c r="D100">
        <v>246</v>
      </c>
      <c r="E100">
        <v>4073.28</v>
      </c>
      <c r="F100" t="str">
        <v>B</v>
      </c>
    </row>
    <row r="101" spans="1:6" x14ac:dyDescent="0.2">
      <c r="A101" s="31">
        <v>44297</v>
      </c>
      <c r="B101" t="str">
        <v>New_Campaign</v>
      </c>
      <c r="C101">
        <v>1135</v>
      </c>
      <c r="D101">
        <v>239</v>
      </c>
      <c r="E101">
        <v>3489.34</v>
      </c>
      <c r="F101" t="str">
        <v>B</v>
      </c>
    </row>
    <row r="102" spans="1:6" x14ac:dyDescent="0.2">
      <c r="A102" s="31">
        <v>44298</v>
      </c>
      <c r="B102" t="str">
        <v>New_Campaign</v>
      </c>
      <c r="C102">
        <v>1168</v>
      </c>
      <c r="D102">
        <v>251</v>
      </c>
      <c r="E102">
        <v>3982.99</v>
      </c>
      <c r="F102" t="str">
        <v>B</v>
      </c>
    </row>
    <row r="103" spans="1:6" x14ac:dyDescent="0.2">
      <c r="A103" s="31">
        <v>44299</v>
      </c>
      <c r="B103" t="str">
        <v>New_Campaign</v>
      </c>
      <c r="C103">
        <v>1092</v>
      </c>
      <c r="D103">
        <v>225</v>
      </c>
      <c r="E103">
        <v>3918.76</v>
      </c>
      <c r="F103" t="str">
        <v>B</v>
      </c>
    </row>
    <row r="104" spans="1:6" x14ac:dyDescent="0.2">
      <c r="A104" s="31">
        <v>44300</v>
      </c>
      <c r="B104" t="str">
        <v>New_Campaign</v>
      </c>
      <c r="C104">
        <v>1140</v>
      </c>
      <c r="D104">
        <v>296</v>
      </c>
      <c r="E104">
        <v>4102.51</v>
      </c>
      <c r="F104" t="str">
        <v>B</v>
      </c>
    </row>
    <row r="105" spans="1:6" x14ac:dyDescent="0.2">
      <c r="A105" s="31">
        <v>44301</v>
      </c>
      <c r="B105" t="str">
        <v>New_Campaign</v>
      </c>
      <c r="C105">
        <v>1193</v>
      </c>
      <c r="D105">
        <v>316</v>
      </c>
      <c r="E105">
        <v>5968.46</v>
      </c>
      <c r="F105" t="str">
        <v>B</v>
      </c>
    </row>
    <row r="106" spans="1:6" x14ac:dyDescent="0.2">
      <c r="A106" s="31">
        <v>44302</v>
      </c>
      <c r="B106" t="str">
        <v>New_Campaign</v>
      </c>
      <c r="C106">
        <v>1182</v>
      </c>
      <c r="D106">
        <v>274</v>
      </c>
      <c r="E106">
        <v>4772.53</v>
      </c>
      <c r="F106" t="str">
        <v>B</v>
      </c>
    </row>
    <row r="107" spans="1:6" x14ac:dyDescent="0.2">
      <c r="A107" s="31">
        <v>44303</v>
      </c>
      <c r="B107" t="str">
        <v>New_Campaign</v>
      </c>
      <c r="C107">
        <v>1126</v>
      </c>
      <c r="D107">
        <v>260</v>
      </c>
      <c r="E107">
        <v>3805.85</v>
      </c>
      <c r="F107" t="str">
        <v>B</v>
      </c>
    </row>
    <row r="108" spans="1:6" x14ac:dyDescent="0.2">
      <c r="A108" s="31">
        <v>44304</v>
      </c>
      <c r="B108" t="str">
        <v>New_Campaign</v>
      </c>
      <c r="C108">
        <v>1180</v>
      </c>
      <c r="D108">
        <v>289</v>
      </c>
      <c r="E108">
        <v>4869.91</v>
      </c>
      <c r="F108" t="str">
        <v>B</v>
      </c>
    </row>
    <row r="109" spans="1:6" x14ac:dyDescent="0.2">
      <c r="A109" s="31">
        <v>44305</v>
      </c>
      <c r="B109" t="str">
        <v>New_Campaign</v>
      </c>
      <c r="C109">
        <v>1133</v>
      </c>
      <c r="D109">
        <v>254</v>
      </c>
      <c r="E109">
        <v>4077.66</v>
      </c>
      <c r="F109" t="str">
        <v>B</v>
      </c>
    </row>
    <row r="110" spans="1:6" x14ac:dyDescent="0.2">
      <c r="A110" s="31">
        <v>44306</v>
      </c>
      <c r="B110" t="str">
        <v>New_Campaign</v>
      </c>
      <c r="C110">
        <v>1182</v>
      </c>
      <c r="D110">
        <v>276</v>
      </c>
      <c r="E110">
        <v>4769.75</v>
      </c>
      <c r="F110" t="str">
        <v>B</v>
      </c>
    </row>
    <row r="111" spans="1:6" x14ac:dyDescent="0.2">
      <c r="A111" s="31">
        <v>44307</v>
      </c>
      <c r="B111" t="str">
        <v>New_Campaign</v>
      </c>
      <c r="C111">
        <v>1171</v>
      </c>
      <c r="D111">
        <v>260</v>
      </c>
      <c r="E111">
        <v>3823.59</v>
      </c>
      <c r="F111" t="str">
        <v>B</v>
      </c>
    </row>
    <row r="112" spans="1:6" x14ac:dyDescent="0.2">
      <c r="A112" s="31">
        <v>44308</v>
      </c>
      <c r="B112" t="str">
        <v>New_Campaign</v>
      </c>
      <c r="C112">
        <v>1152</v>
      </c>
      <c r="D112">
        <v>267</v>
      </c>
      <c r="E112">
        <v>3903.97</v>
      </c>
      <c r="F112" t="str">
        <v>B</v>
      </c>
    </row>
    <row r="113" spans="1:6" x14ac:dyDescent="0.2">
      <c r="A113" s="31">
        <v>44309</v>
      </c>
      <c r="B113" t="str">
        <v>New_Campaign</v>
      </c>
      <c r="C113">
        <v>1166</v>
      </c>
      <c r="D113">
        <v>272</v>
      </c>
      <c r="E113">
        <v>4039.91</v>
      </c>
      <c r="F113" t="str">
        <v>B</v>
      </c>
    </row>
    <row r="114" spans="1:6" x14ac:dyDescent="0.2">
      <c r="A114" s="31">
        <v>44310</v>
      </c>
      <c r="B114" t="str">
        <v>New_Campaign</v>
      </c>
      <c r="C114">
        <v>1194</v>
      </c>
      <c r="D114">
        <v>263</v>
      </c>
      <c r="E114">
        <v>3330.32</v>
      </c>
      <c r="F114" t="str">
        <v>B</v>
      </c>
    </row>
    <row r="115" spans="1:6" x14ac:dyDescent="0.2">
      <c r="A115" s="31">
        <v>44311</v>
      </c>
      <c r="B115" t="str">
        <v>New_Campaign</v>
      </c>
      <c r="C115">
        <v>1202</v>
      </c>
      <c r="D115">
        <v>271</v>
      </c>
      <c r="E115">
        <v>4315.13</v>
      </c>
      <c r="F115" t="str">
        <v>B</v>
      </c>
    </row>
    <row r="116" spans="1:6" x14ac:dyDescent="0.2">
      <c r="A116" s="31">
        <v>44312</v>
      </c>
      <c r="B116" t="str">
        <v>New_Campaign</v>
      </c>
      <c r="C116">
        <v>1172</v>
      </c>
      <c r="D116">
        <v>270</v>
      </c>
      <c r="E116">
        <v>4533.7299999999996</v>
      </c>
      <c r="F116" t="str">
        <v>B</v>
      </c>
    </row>
    <row r="117" spans="1:6" x14ac:dyDescent="0.2">
      <c r="A117" s="31">
        <v>44313</v>
      </c>
      <c r="B117" t="str">
        <v>New_Campaign</v>
      </c>
      <c r="C117">
        <v>1136</v>
      </c>
      <c r="D117">
        <v>257</v>
      </c>
      <c r="E117">
        <v>2647.85</v>
      </c>
      <c r="F117" t="str">
        <v>B</v>
      </c>
    </row>
    <row r="118" spans="1:6" x14ac:dyDescent="0.2">
      <c r="A118" s="31">
        <v>44314</v>
      </c>
      <c r="B118" t="str">
        <v>New_Campaign</v>
      </c>
      <c r="C118">
        <v>1122</v>
      </c>
      <c r="D118">
        <v>251</v>
      </c>
      <c r="E118">
        <v>4255.47</v>
      </c>
      <c r="F118" t="str">
        <v>B</v>
      </c>
    </row>
    <row r="119" spans="1:6" x14ac:dyDescent="0.2">
      <c r="A119" s="31">
        <v>44315</v>
      </c>
      <c r="B119" t="str">
        <v>New_Campaign</v>
      </c>
      <c r="C119">
        <v>1113</v>
      </c>
      <c r="D119">
        <v>237</v>
      </c>
      <c r="E119">
        <v>4195.01</v>
      </c>
      <c r="F119" t="str">
        <v>B</v>
      </c>
    </row>
    <row r="120" spans="1:6" x14ac:dyDescent="0.2">
      <c r="A120" s="31">
        <v>44316</v>
      </c>
      <c r="B120" t="str">
        <v>New_Campaign</v>
      </c>
      <c r="C120">
        <v>1126</v>
      </c>
      <c r="D120">
        <v>256</v>
      </c>
      <c r="E120">
        <v>3995.47</v>
      </c>
      <c r="F120" t="str">
        <v>B</v>
      </c>
    </row>
    <row r="121" spans="1:6" x14ac:dyDescent="0.2">
      <c r="A121" s="31">
        <v>44317</v>
      </c>
      <c r="B121" t="str">
        <v>New_Campaign</v>
      </c>
      <c r="C121">
        <v>1064</v>
      </c>
      <c r="D121">
        <v>271</v>
      </c>
      <c r="E121">
        <v>3252.98</v>
      </c>
      <c r="F121" t="str">
        <v>B</v>
      </c>
    </row>
    <row r="122" spans="1:6" x14ac:dyDescent="0.2">
      <c r="A122" s="31">
        <v>44318</v>
      </c>
      <c r="B122" t="str">
        <v>New_Campaign</v>
      </c>
      <c r="C122">
        <v>1108</v>
      </c>
      <c r="D122">
        <v>249</v>
      </c>
      <c r="E122">
        <v>3914.48</v>
      </c>
      <c r="F122" t="str">
        <v>B</v>
      </c>
    </row>
    <row r="123" spans="1:6" x14ac:dyDescent="0.2">
      <c r="A123" s="31">
        <v>44319</v>
      </c>
      <c r="B123" t="str">
        <v>New_Campaign</v>
      </c>
      <c r="C123">
        <v>1194</v>
      </c>
      <c r="D123">
        <v>243</v>
      </c>
      <c r="E123">
        <v>4818.22</v>
      </c>
      <c r="F123" t="str">
        <v>B</v>
      </c>
    </row>
    <row r="124" spans="1:6" x14ac:dyDescent="0.2">
      <c r="A124" s="31">
        <v>44320</v>
      </c>
      <c r="B124" t="str">
        <v>New_Campaign</v>
      </c>
      <c r="C124">
        <v>1120</v>
      </c>
      <c r="D124">
        <v>256</v>
      </c>
      <c r="E124">
        <v>4703.76</v>
      </c>
      <c r="F124" t="str">
        <v>B</v>
      </c>
    </row>
    <row r="125" spans="1:6" x14ac:dyDescent="0.2">
      <c r="A125" s="31">
        <v>44321</v>
      </c>
      <c r="B125" t="str">
        <v>New_Campaign</v>
      </c>
      <c r="C125">
        <v>1156</v>
      </c>
      <c r="D125">
        <v>284</v>
      </c>
      <c r="E125">
        <v>4783.6499999999996</v>
      </c>
      <c r="F125" t="str">
        <v>B</v>
      </c>
    </row>
    <row r="126" spans="1:6" x14ac:dyDescent="0.2">
      <c r="A126" s="31">
        <v>44322</v>
      </c>
      <c r="B126" t="str">
        <v>New_Campaign</v>
      </c>
      <c r="C126">
        <v>1154</v>
      </c>
      <c r="D126">
        <v>269</v>
      </c>
      <c r="E126">
        <v>4371.5600000000004</v>
      </c>
      <c r="F126" t="str">
        <v>B</v>
      </c>
    </row>
    <row r="127" spans="1:6" x14ac:dyDescent="0.2">
      <c r="A127" s="31">
        <v>44323</v>
      </c>
      <c r="B127" t="str">
        <v>New_Campaign</v>
      </c>
      <c r="C127">
        <v>1121</v>
      </c>
      <c r="D127">
        <v>265</v>
      </c>
      <c r="E127">
        <v>3538.76</v>
      </c>
      <c r="F127" t="str">
        <v>B</v>
      </c>
    </row>
    <row r="128" spans="1:6" x14ac:dyDescent="0.2">
      <c r="A128" s="31">
        <v>44324</v>
      </c>
      <c r="B128" t="str">
        <v>New_Campaign</v>
      </c>
      <c r="C128">
        <v>1138</v>
      </c>
      <c r="D128">
        <v>271</v>
      </c>
      <c r="E128">
        <v>5577.69</v>
      </c>
      <c r="F128" t="str">
        <v>B</v>
      </c>
    </row>
    <row r="129" spans="1:6" x14ac:dyDescent="0.2">
      <c r="A129" s="31">
        <v>44325</v>
      </c>
      <c r="B129" t="str">
        <v>New_Campaign</v>
      </c>
      <c r="C129">
        <v>1123</v>
      </c>
      <c r="D129">
        <v>235</v>
      </c>
      <c r="E129">
        <v>3892.16</v>
      </c>
      <c r="F129" t="str">
        <v>B</v>
      </c>
    </row>
    <row r="130" spans="1:6" x14ac:dyDescent="0.2">
      <c r="A130" s="31">
        <v>44326</v>
      </c>
      <c r="B130" t="str">
        <v>New_Campaign</v>
      </c>
      <c r="C130">
        <v>1183</v>
      </c>
      <c r="D130">
        <v>268</v>
      </c>
      <c r="E130">
        <v>3696.48</v>
      </c>
      <c r="F130" t="str">
        <v>B</v>
      </c>
    </row>
    <row r="131" spans="1:6" x14ac:dyDescent="0.2">
      <c r="A131" s="31">
        <v>44327</v>
      </c>
      <c r="B131" t="str">
        <v>New_Campaign</v>
      </c>
      <c r="C131">
        <v>1115</v>
      </c>
      <c r="D131">
        <v>240</v>
      </c>
      <c r="E131">
        <v>3375.19</v>
      </c>
      <c r="F131" t="str">
        <v>B</v>
      </c>
    </row>
    <row r="132" spans="1:6" x14ac:dyDescent="0.2">
      <c r="A132" s="31">
        <v>44328</v>
      </c>
      <c r="B132" t="str">
        <v>New_Campaign</v>
      </c>
      <c r="C132">
        <v>1228</v>
      </c>
      <c r="D132">
        <v>286</v>
      </c>
      <c r="E132">
        <v>5356.29</v>
      </c>
      <c r="F132" t="str">
        <v>B</v>
      </c>
    </row>
    <row r="133" spans="1:6" x14ac:dyDescent="0.2">
      <c r="A133" s="31">
        <v>44329</v>
      </c>
      <c r="B133" t="str">
        <v>New_Campaign</v>
      </c>
      <c r="C133">
        <v>1186</v>
      </c>
      <c r="D133">
        <v>246</v>
      </c>
      <c r="E133">
        <v>4376.3</v>
      </c>
      <c r="F133" t="str">
        <v>B</v>
      </c>
    </row>
    <row r="134" spans="1:6" x14ac:dyDescent="0.2">
      <c r="A134" s="31">
        <v>44330</v>
      </c>
      <c r="B134" t="str">
        <v>New_Campaign</v>
      </c>
      <c r="C134">
        <v>1120</v>
      </c>
      <c r="D134">
        <v>240</v>
      </c>
      <c r="E134">
        <v>4038.62</v>
      </c>
      <c r="F134" t="str">
        <v>B</v>
      </c>
    </row>
    <row r="135" spans="1:6" x14ac:dyDescent="0.2">
      <c r="A135" s="31">
        <v>44331</v>
      </c>
      <c r="B135" t="str">
        <v>New_Campaign</v>
      </c>
      <c r="C135">
        <v>1170</v>
      </c>
      <c r="D135">
        <v>267</v>
      </c>
      <c r="E135">
        <v>5649.56</v>
      </c>
      <c r="F135" t="str">
        <v>B</v>
      </c>
    </row>
    <row r="136" spans="1:6" x14ac:dyDescent="0.2">
      <c r="A136" s="31">
        <v>44332</v>
      </c>
      <c r="B136" t="str">
        <v>New_Campaign</v>
      </c>
      <c r="C136">
        <v>1094</v>
      </c>
      <c r="D136">
        <v>250</v>
      </c>
      <c r="E136">
        <v>3898.21</v>
      </c>
      <c r="F136" t="str">
        <v>B</v>
      </c>
    </row>
    <row r="137" spans="1:6" x14ac:dyDescent="0.2">
      <c r="A137" s="31">
        <v>44333</v>
      </c>
      <c r="B137" t="str">
        <v>New_Campaign</v>
      </c>
      <c r="C137">
        <v>1196</v>
      </c>
      <c r="D137">
        <v>289</v>
      </c>
      <c r="E137">
        <v>3724.69</v>
      </c>
      <c r="F137" t="str">
        <v>B</v>
      </c>
    </row>
    <row r="138" spans="1:6" x14ac:dyDescent="0.2">
      <c r="A138" s="31">
        <v>44334</v>
      </c>
      <c r="B138" t="str">
        <v>New_Campaign</v>
      </c>
      <c r="C138">
        <v>1156</v>
      </c>
      <c r="D138">
        <v>254</v>
      </c>
      <c r="E138">
        <v>4035.67</v>
      </c>
      <c r="F138" t="str">
        <v>B</v>
      </c>
    </row>
    <row r="139" spans="1:6" x14ac:dyDescent="0.2">
      <c r="A139" s="31">
        <v>44335</v>
      </c>
      <c r="B139" t="str">
        <v>New_Campaign</v>
      </c>
      <c r="C139">
        <v>1166</v>
      </c>
      <c r="D139">
        <v>296</v>
      </c>
      <c r="E139">
        <v>5467.77</v>
      </c>
      <c r="F139" t="str">
        <v>B</v>
      </c>
    </row>
    <row r="140" spans="1:6" x14ac:dyDescent="0.2">
      <c r="A140" s="31">
        <v>44336</v>
      </c>
      <c r="B140" t="str">
        <v>New_Campaign</v>
      </c>
      <c r="C140">
        <v>1095</v>
      </c>
      <c r="D140">
        <v>235</v>
      </c>
      <c r="E140">
        <v>3944.86</v>
      </c>
      <c r="F140" t="str">
        <v>B</v>
      </c>
    </row>
    <row r="141" spans="1:6" x14ac:dyDescent="0.2">
      <c r="A141" s="31">
        <v>44337</v>
      </c>
      <c r="B141" t="str">
        <v>New_Campaign</v>
      </c>
      <c r="C141">
        <v>1094</v>
      </c>
      <c r="D141">
        <v>266</v>
      </c>
      <c r="E141">
        <v>3547.78</v>
      </c>
      <c r="F141" t="str">
        <v>B</v>
      </c>
    </row>
    <row r="142" spans="1:6" x14ac:dyDescent="0.2">
      <c r="A142" s="31">
        <v>44338</v>
      </c>
      <c r="B142" t="str">
        <v>New_Campaign</v>
      </c>
      <c r="C142">
        <v>1103</v>
      </c>
      <c r="D142">
        <v>245</v>
      </c>
      <c r="E142">
        <v>4330.8599999999997</v>
      </c>
      <c r="F142" t="str">
        <v>B</v>
      </c>
    </row>
    <row r="143" spans="1:6" x14ac:dyDescent="0.2">
      <c r="A143" s="31">
        <v>44339</v>
      </c>
      <c r="B143" t="str">
        <v>New_Campaign</v>
      </c>
      <c r="C143">
        <v>1135</v>
      </c>
      <c r="D143">
        <v>265</v>
      </c>
      <c r="E143">
        <v>3763.81</v>
      </c>
      <c r="F143" t="str">
        <v>B</v>
      </c>
    </row>
    <row r="144" spans="1:6" x14ac:dyDescent="0.2">
      <c r="A144" s="31">
        <v>44340</v>
      </c>
      <c r="B144" t="str">
        <v>New_Campaign</v>
      </c>
      <c r="C144">
        <v>1114</v>
      </c>
      <c r="D144">
        <v>269</v>
      </c>
      <c r="E144">
        <v>4604.1000000000004</v>
      </c>
      <c r="F144" t="str">
        <v>B</v>
      </c>
    </row>
    <row r="145" spans="1:6" x14ac:dyDescent="0.2">
      <c r="A145" s="31">
        <v>44341</v>
      </c>
      <c r="B145" t="str">
        <v>New_Campaign</v>
      </c>
      <c r="C145">
        <v>1131</v>
      </c>
      <c r="D145">
        <v>276</v>
      </c>
      <c r="E145">
        <v>4708.3900000000003</v>
      </c>
      <c r="F145" t="str">
        <v>B</v>
      </c>
    </row>
    <row r="146" spans="1:6" x14ac:dyDescent="0.2">
      <c r="A146" s="31">
        <v>44342</v>
      </c>
      <c r="B146" t="str">
        <v>New_Campaign</v>
      </c>
      <c r="C146">
        <v>1080</v>
      </c>
      <c r="D146">
        <v>285</v>
      </c>
      <c r="E146">
        <v>5409.71</v>
      </c>
      <c r="F146" t="str">
        <v>B</v>
      </c>
    </row>
    <row r="147" spans="1:6" x14ac:dyDescent="0.2">
      <c r="A147" s="31">
        <v>44343</v>
      </c>
      <c r="B147" t="str">
        <v>New_Campaign</v>
      </c>
      <c r="C147">
        <v>1184</v>
      </c>
      <c r="D147">
        <v>267</v>
      </c>
      <c r="E147">
        <v>4363</v>
      </c>
      <c r="F147" t="str">
        <v>B</v>
      </c>
    </row>
    <row r="148" spans="1:6" x14ac:dyDescent="0.2">
      <c r="A148" s="31">
        <v>44344</v>
      </c>
      <c r="B148" t="str">
        <v>New_Campaign</v>
      </c>
      <c r="C148">
        <v>1137</v>
      </c>
      <c r="D148">
        <v>268</v>
      </c>
      <c r="E148">
        <v>4167.53</v>
      </c>
      <c r="F148" t="str">
        <v>B</v>
      </c>
    </row>
    <row r="149" spans="1:6" x14ac:dyDescent="0.2">
      <c r="A149" s="31">
        <v>44345</v>
      </c>
      <c r="B149" t="str">
        <v>New_Campaign</v>
      </c>
      <c r="C149">
        <v>1153</v>
      </c>
      <c r="D149">
        <v>259</v>
      </c>
      <c r="E149">
        <v>4346.95</v>
      </c>
      <c r="F149" t="str">
        <v>B</v>
      </c>
    </row>
    <row r="150" spans="1:6" x14ac:dyDescent="0.2">
      <c r="A150" s="31">
        <v>44346</v>
      </c>
      <c r="B150" t="str">
        <v>New_Campaign</v>
      </c>
      <c r="C150">
        <v>1098</v>
      </c>
      <c r="D150">
        <v>249</v>
      </c>
      <c r="E150">
        <v>3905.05</v>
      </c>
      <c r="F150" t="str">
        <v>B</v>
      </c>
    </row>
    <row r="151" spans="1:6" x14ac:dyDescent="0.2">
      <c r="A151" s="31">
        <v>44347</v>
      </c>
      <c r="B151" t="str">
        <v>New_Campaign</v>
      </c>
      <c r="C151">
        <v>1199</v>
      </c>
      <c r="D151">
        <v>254</v>
      </c>
      <c r="E151">
        <v>3957.66</v>
      </c>
      <c r="F151" t="str">
        <v>B</v>
      </c>
    </row>
    <row r="152" spans="1:6" x14ac:dyDescent="0.2">
      <c r="A152" s="31">
        <v>44348</v>
      </c>
      <c r="B152" t="str">
        <v>New_Campaign</v>
      </c>
      <c r="C152">
        <v>1166</v>
      </c>
      <c r="D152">
        <v>278</v>
      </c>
      <c r="E152">
        <v>4111.22</v>
      </c>
      <c r="F152" t="str">
        <v>B</v>
      </c>
    </row>
    <row r="153" spans="1:6" x14ac:dyDescent="0.2">
      <c r="A153" s="31">
        <v>44349</v>
      </c>
      <c r="B153" t="str">
        <v>New_Campaign</v>
      </c>
      <c r="C153">
        <v>1064</v>
      </c>
      <c r="D153">
        <v>230</v>
      </c>
      <c r="E153">
        <v>3742.81</v>
      </c>
      <c r="F153" t="str">
        <v>B</v>
      </c>
    </row>
    <row r="154" spans="1:6" x14ac:dyDescent="0.2">
      <c r="A154" s="31">
        <v>44350</v>
      </c>
      <c r="B154" t="str">
        <v>New_Campaign</v>
      </c>
      <c r="C154">
        <v>1166</v>
      </c>
      <c r="D154">
        <v>273</v>
      </c>
      <c r="E154">
        <v>4009.34</v>
      </c>
      <c r="F154" t="str">
        <v>B</v>
      </c>
    </row>
    <row r="155" spans="1:6" x14ac:dyDescent="0.2">
      <c r="A155" s="31">
        <v>44351</v>
      </c>
      <c r="B155" t="str">
        <v>New_Campaign</v>
      </c>
      <c r="C155">
        <v>1162</v>
      </c>
      <c r="D155">
        <v>272</v>
      </c>
      <c r="E155">
        <v>3940.3</v>
      </c>
      <c r="F155" t="str">
        <v>B</v>
      </c>
    </row>
    <row r="156" spans="1:6" x14ac:dyDescent="0.2">
      <c r="A156" s="31">
        <v>44352</v>
      </c>
      <c r="B156" t="str">
        <v>New_Campaign</v>
      </c>
      <c r="C156">
        <v>1158</v>
      </c>
      <c r="D156">
        <v>262</v>
      </c>
      <c r="E156">
        <v>4678.1899999999996</v>
      </c>
      <c r="F156" t="str">
        <v>B</v>
      </c>
    </row>
    <row r="157" spans="1:6" x14ac:dyDescent="0.2">
      <c r="A157" s="31">
        <v>44353</v>
      </c>
      <c r="B157" t="str">
        <v>New_Campaign</v>
      </c>
      <c r="C157">
        <v>1221</v>
      </c>
      <c r="D157">
        <v>281</v>
      </c>
      <c r="E157">
        <v>3876</v>
      </c>
      <c r="F157" t="str">
        <v>B</v>
      </c>
    </row>
    <row r="158" spans="1:6" x14ac:dyDescent="0.2">
      <c r="A158" s="31">
        <v>44354</v>
      </c>
      <c r="B158" t="str">
        <v>New_Campaign</v>
      </c>
      <c r="C158">
        <v>1176</v>
      </c>
      <c r="D158">
        <v>262</v>
      </c>
      <c r="E158">
        <v>4340.07</v>
      </c>
      <c r="F158" t="str">
        <v>B</v>
      </c>
    </row>
    <row r="159" spans="1:6" x14ac:dyDescent="0.2">
      <c r="A159" s="31">
        <v>44355</v>
      </c>
      <c r="B159" t="str">
        <v>New_Campaign</v>
      </c>
      <c r="C159">
        <v>1150</v>
      </c>
      <c r="D159">
        <v>252</v>
      </c>
      <c r="E159">
        <v>4327.53</v>
      </c>
      <c r="F159" t="str">
        <v>B</v>
      </c>
    </row>
    <row r="160" spans="1:6" x14ac:dyDescent="0.2">
      <c r="A160" s="31">
        <v>44356</v>
      </c>
      <c r="B160" t="str">
        <v>New_Campaign</v>
      </c>
      <c r="C160">
        <v>1163</v>
      </c>
      <c r="D160">
        <v>261</v>
      </c>
      <c r="E160">
        <v>4374.96</v>
      </c>
      <c r="F160" t="str">
        <v>B</v>
      </c>
    </row>
    <row r="161" spans="1:6" x14ac:dyDescent="0.2">
      <c r="A161" s="31">
        <v>44357</v>
      </c>
      <c r="B161" t="str">
        <v>New_Campaign</v>
      </c>
      <c r="C161">
        <v>1161</v>
      </c>
      <c r="D161">
        <v>260</v>
      </c>
      <c r="E161">
        <v>4365.2299999999996</v>
      </c>
      <c r="F161" t="str">
        <v>B</v>
      </c>
    </row>
    <row r="162" spans="1:6" x14ac:dyDescent="0.2">
      <c r="A162" s="31">
        <v>44358</v>
      </c>
      <c r="B162" t="str">
        <v>New_Campaign</v>
      </c>
      <c r="C162">
        <v>1235</v>
      </c>
      <c r="D162">
        <v>294</v>
      </c>
      <c r="E162">
        <v>5085.1899999999996</v>
      </c>
      <c r="F162" t="str">
        <v>B</v>
      </c>
    </row>
    <row r="163" spans="1:6" x14ac:dyDescent="0.2">
      <c r="A163" s="31">
        <v>44359</v>
      </c>
      <c r="B163" t="str">
        <v>New_Campaign</v>
      </c>
      <c r="C163">
        <v>1139</v>
      </c>
      <c r="D163">
        <v>243</v>
      </c>
      <c r="E163">
        <v>4341.24</v>
      </c>
      <c r="F163" t="str">
        <v>B</v>
      </c>
    </row>
    <row r="164" spans="1:6" x14ac:dyDescent="0.2">
      <c r="A164" s="31">
        <v>44360</v>
      </c>
      <c r="B164" t="str">
        <v>New_Campaign</v>
      </c>
      <c r="C164">
        <v>1164</v>
      </c>
      <c r="D164">
        <v>276</v>
      </c>
      <c r="E164">
        <v>5828.13</v>
      </c>
      <c r="F164" t="str">
        <v>B</v>
      </c>
    </row>
    <row r="165" spans="1:6" x14ac:dyDescent="0.2">
      <c r="A165" s="31">
        <v>44361</v>
      </c>
      <c r="B165" t="str">
        <v>New_Campaign</v>
      </c>
      <c r="C165">
        <v>1080</v>
      </c>
      <c r="D165">
        <v>262</v>
      </c>
      <c r="E165">
        <v>4190.2299999999996</v>
      </c>
      <c r="F165" t="str">
        <v>B</v>
      </c>
    </row>
    <row r="166" spans="1:6" x14ac:dyDescent="0.2">
      <c r="A166" s="31">
        <v>44362</v>
      </c>
      <c r="B166" t="str">
        <v>New_Campaign</v>
      </c>
      <c r="C166">
        <v>1164</v>
      </c>
      <c r="D166">
        <v>272</v>
      </c>
      <c r="E166">
        <v>4695.16</v>
      </c>
      <c r="F166" t="str">
        <v>B</v>
      </c>
    </row>
    <row r="167" spans="1:6" x14ac:dyDescent="0.2">
      <c r="A167" s="31">
        <v>44363</v>
      </c>
      <c r="B167" t="str">
        <v>New_Campaign</v>
      </c>
      <c r="C167">
        <v>1115</v>
      </c>
      <c r="D167">
        <v>269</v>
      </c>
      <c r="E167">
        <v>5134.2700000000004</v>
      </c>
      <c r="F167" t="str">
        <v>B</v>
      </c>
    </row>
    <row r="168" spans="1:6" x14ac:dyDescent="0.2">
      <c r="A168" s="31">
        <v>44364</v>
      </c>
      <c r="B168" t="str">
        <v>New_Campaign</v>
      </c>
      <c r="C168">
        <v>1195</v>
      </c>
      <c r="D168">
        <v>260</v>
      </c>
      <c r="E168">
        <v>3330.75</v>
      </c>
      <c r="F168" t="str">
        <v>B</v>
      </c>
    </row>
    <row r="169" spans="1:6" x14ac:dyDescent="0.2">
      <c r="A169" s="31">
        <v>44365</v>
      </c>
      <c r="B169" t="str">
        <v>New_Campaign</v>
      </c>
      <c r="C169">
        <v>1144</v>
      </c>
      <c r="D169">
        <v>258</v>
      </c>
      <c r="E169">
        <v>5042.4799999999996</v>
      </c>
      <c r="F169" t="str">
        <v>B</v>
      </c>
    </row>
    <row r="170" spans="1:6" x14ac:dyDescent="0.2">
      <c r="A170" s="31">
        <v>44366</v>
      </c>
      <c r="B170" t="str">
        <v>New_Campaign</v>
      </c>
      <c r="C170">
        <v>1125</v>
      </c>
      <c r="D170">
        <v>281</v>
      </c>
      <c r="E170">
        <v>4381.54</v>
      </c>
      <c r="F170" t="str">
        <v>B</v>
      </c>
    </row>
    <row r="171" spans="1:6" x14ac:dyDescent="0.2">
      <c r="A171" s="31">
        <v>44367</v>
      </c>
      <c r="B171" t="str">
        <v>New_Campaign</v>
      </c>
      <c r="C171">
        <v>1051</v>
      </c>
      <c r="D171">
        <v>264</v>
      </c>
      <c r="E171">
        <v>3829.47</v>
      </c>
      <c r="F171" t="str">
        <v>B</v>
      </c>
    </row>
    <row r="172" spans="1:6" x14ac:dyDescent="0.2">
      <c r="A172" s="31">
        <v>44368</v>
      </c>
      <c r="B172" t="str">
        <v>New_Campaign</v>
      </c>
      <c r="C172">
        <v>1217</v>
      </c>
      <c r="D172">
        <v>291</v>
      </c>
      <c r="E172">
        <v>4956.28</v>
      </c>
      <c r="F172" t="str">
        <v>B</v>
      </c>
    </row>
    <row r="173" spans="1:6" x14ac:dyDescent="0.2">
      <c r="A173" s="31">
        <v>44369</v>
      </c>
      <c r="B173" t="str">
        <v>New_Campaign</v>
      </c>
      <c r="C173">
        <v>1161</v>
      </c>
      <c r="D173">
        <v>268</v>
      </c>
      <c r="E173">
        <v>4268.8999999999996</v>
      </c>
      <c r="F173" t="str">
        <v>B</v>
      </c>
    </row>
    <row r="174" spans="1:6" x14ac:dyDescent="0.2">
      <c r="A174" s="31">
        <v>44370</v>
      </c>
      <c r="B174" t="str">
        <v>New_Campaign</v>
      </c>
      <c r="C174">
        <v>1192</v>
      </c>
      <c r="D174">
        <v>257</v>
      </c>
      <c r="E174">
        <v>4143.7</v>
      </c>
      <c r="F174" t="str">
        <v>B</v>
      </c>
    </row>
    <row r="175" spans="1:6" x14ac:dyDescent="0.2">
      <c r="A175" s="31">
        <v>44371</v>
      </c>
      <c r="B175" t="str">
        <v>New_Campaign</v>
      </c>
      <c r="C175">
        <v>1146</v>
      </c>
      <c r="D175">
        <v>275</v>
      </c>
      <c r="E175">
        <v>4897.16</v>
      </c>
      <c r="F175" t="str">
        <v>B</v>
      </c>
    </row>
    <row r="176" spans="1:6" x14ac:dyDescent="0.2">
      <c r="A176" s="31">
        <v>44372</v>
      </c>
      <c r="B176" t="str">
        <v>New_Campaign</v>
      </c>
      <c r="C176">
        <v>1112</v>
      </c>
      <c r="D176">
        <v>248</v>
      </c>
      <c r="E176">
        <v>3571.6</v>
      </c>
      <c r="F176" t="str">
        <v>B</v>
      </c>
    </row>
    <row r="177" spans="1:6" x14ac:dyDescent="0.2">
      <c r="A177" s="31">
        <v>44373</v>
      </c>
      <c r="B177" t="str">
        <v>New_Campaign</v>
      </c>
      <c r="C177">
        <v>1154</v>
      </c>
      <c r="D177">
        <v>251</v>
      </c>
      <c r="E177">
        <v>3976.93</v>
      </c>
      <c r="F177" t="str">
        <v>B</v>
      </c>
    </row>
    <row r="178" spans="1:6" x14ac:dyDescent="0.2">
      <c r="A178" s="31">
        <v>44374</v>
      </c>
      <c r="B178" t="str">
        <v>New_Campaign</v>
      </c>
      <c r="C178">
        <v>1157</v>
      </c>
      <c r="D178">
        <v>291</v>
      </c>
      <c r="E178">
        <v>4267.1400000000003</v>
      </c>
      <c r="F178" t="str">
        <v>B</v>
      </c>
    </row>
    <row r="179" spans="1:6" x14ac:dyDescent="0.2">
      <c r="A179" s="31">
        <v>44375</v>
      </c>
      <c r="B179" t="str">
        <v>New_Campaign</v>
      </c>
      <c r="C179">
        <v>1115</v>
      </c>
      <c r="D179">
        <v>229</v>
      </c>
      <c r="E179">
        <v>3479.13</v>
      </c>
      <c r="F179" t="str">
        <v>B</v>
      </c>
    </row>
    <row r="180" spans="1:6" x14ac:dyDescent="0.2">
      <c r="A180" s="31">
        <v>44376</v>
      </c>
      <c r="B180" t="str">
        <v>New_Campaign</v>
      </c>
      <c r="C180">
        <v>1163</v>
      </c>
      <c r="D180">
        <v>286</v>
      </c>
      <c r="E180">
        <v>5383.79</v>
      </c>
      <c r="F180" t="str">
        <v>B</v>
      </c>
    </row>
    <row r="181" spans="1:6" x14ac:dyDescent="0.2">
      <c r="A181" s="31">
        <v>44377</v>
      </c>
      <c r="B181" t="str">
        <v>New_Campaign</v>
      </c>
      <c r="C181">
        <v>1091</v>
      </c>
      <c r="D181">
        <v>236</v>
      </c>
      <c r="E181">
        <v>3929.78</v>
      </c>
      <c r="F181" t="str">
        <v>B</v>
      </c>
    </row>
    <row r="182" spans="1:6" x14ac:dyDescent="0.2">
      <c r="A182" s="31">
        <v>44378</v>
      </c>
      <c r="B182" t="str">
        <v>New_Campaign</v>
      </c>
      <c r="C182">
        <v>1146</v>
      </c>
      <c r="D182">
        <v>261</v>
      </c>
      <c r="E182">
        <v>4114.37</v>
      </c>
      <c r="F182" t="str">
        <v>B</v>
      </c>
    </row>
    <row r="183" spans="1:6" x14ac:dyDescent="0.2">
      <c r="A183" s="31">
        <v>44379</v>
      </c>
      <c r="B183" t="str">
        <v>New_Campaign</v>
      </c>
      <c r="C183">
        <v>1145</v>
      </c>
      <c r="D183">
        <v>273</v>
      </c>
      <c r="E183">
        <v>3864.36</v>
      </c>
      <c r="F183" t="str">
        <v>B</v>
      </c>
    </row>
    <row r="184" spans="1:6" x14ac:dyDescent="0.2">
      <c r="A184" s="31">
        <v>44380</v>
      </c>
      <c r="B184" t="str">
        <v>New_Campaign</v>
      </c>
      <c r="C184">
        <v>1167</v>
      </c>
      <c r="D184">
        <v>245</v>
      </c>
      <c r="E184">
        <v>4078.94</v>
      </c>
      <c r="F184" t="str">
        <v>B</v>
      </c>
    </row>
    <row r="185" spans="1:6" x14ac:dyDescent="0.2">
      <c r="A185" s="31">
        <v>44381</v>
      </c>
      <c r="B185" t="str">
        <v>New_Campaign</v>
      </c>
      <c r="C185">
        <v>1169</v>
      </c>
      <c r="D185">
        <v>276</v>
      </c>
      <c r="E185">
        <v>3673.02</v>
      </c>
      <c r="F185" t="str">
        <v>B</v>
      </c>
    </row>
    <row r="186" spans="1:6" x14ac:dyDescent="0.2">
      <c r="A186" s="31">
        <v>44382</v>
      </c>
      <c r="B186" t="str">
        <v>New_Campaign</v>
      </c>
      <c r="C186">
        <v>1102</v>
      </c>
      <c r="D186">
        <v>249</v>
      </c>
      <c r="E186">
        <v>4930.1400000000003</v>
      </c>
      <c r="F186" t="str">
        <v>B</v>
      </c>
    </row>
    <row r="187" spans="1:6" x14ac:dyDescent="0.2">
      <c r="A187" s="31">
        <v>44383</v>
      </c>
      <c r="B187" t="str">
        <v>New_Campaign</v>
      </c>
      <c r="C187">
        <v>1175</v>
      </c>
      <c r="D187">
        <v>258</v>
      </c>
      <c r="E187">
        <v>4081.28</v>
      </c>
      <c r="F187" t="str">
        <v>B</v>
      </c>
    </row>
    <row r="188" spans="1:6" x14ac:dyDescent="0.2">
      <c r="A188" s="31">
        <v>44384</v>
      </c>
      <c r="B188" t="str">
        <v>New_Campaign</v>
      </c>
      <c r="C188">
        <v>1187</v>
      </c>
      <c r="D188">
        <v>290</v>
      </c>
      <c r="E188">
        <v>5269.87</v>
      </c>
      <c r="F188" t="str">
        <v>B</v>
      </c>
    </row>
    <row r="189" spans="1:6" x14ac:dyDescent="0.2">
      <c r="A189" s="31">
        <v>44385</v>
      </c>
      <c r="B189" t="str">
        <v>New_Campaign</v>
      </c>
      <c r="C189">
        <v>1130</v>
      </c>
      <c r="D189">
        <v>264</v>
      </c>
      <c r="E189">
        <v>4063.92</v>
      </c>
      <c r="F189" t="str">
        <v>B</v>
      </c>
    </row>
    <row r="190" spans="1:6" x14ac:dyDescent="0.2">
      <c r="A190" s="31">
        <v>44386</v>
      </c>
      <c r="B190" t="str">
        <v>New_Campaign</v>
      </c>
      <c r="C190">
        <v>1181</v>
      </c>
      <c r="D190">
        <v>268</v>
      </c>
      <c r="E190">
        <v>4197.51</v>
      </c>
      <c r="F190" t="str">
        <v>B</v>
      </c>
    </row>
    <row r="191" spans="1:6" x14ac:dyDescent="0.2">
      <c r="A191" s="31">
        <v>44387</v>
      </c>
      <c r="B191" t="str">
        <v>New_Campaign</v>
      </c>
      <c r="C191">
        <v>1097</v>
      </c>
      <c r="D191">
        <v>262</v>
      </c>
      <c r="E191">
        <v>4316.91</v>
      </c>
      <c r="F191" t="str">
        <v>B</v>
      </c>
    </row>
    <row r="192" spans="1:6" x14ac:dyDescent="0.2">
      <c r="A192" s="31">
        <v>44388</v>
      </c>
      <c r="B192" t="str">
        <v>New_Campaign</v>
      </c>
      <c r="C192">
        <v>1159</v>
      </c>
      <c r="D192">
        <v>262</v>
      </c>
      <c r="E192">
        <v>4881.0200000000004</v>
      </c>
      <c r="F192" t="str">
        <v>B</v>
      </c>
    </row>
    <row r="193" spans="1:6" x14ac:dyDescent="0.2">
      <c r="A193" s="31">
        <v>44389</v>
      </c>
      <c r="B193" t="str">
        <v>New_Campaign</v>
      </c>
      <c r="C193">
        <v>1175</v>
      </c>
      <c r="D193">
        <v>295</v>
      </c>
      <c r="E193">
        <v>5045.38</v>
      </c>
      <c r="F193" t="str">
        <v>B</v>
      </c>
    </row>
    <row r="194" spans="1:6" x14ac:dyDescent="0.2">
      <c r="A194" s="31">
        <v>44390</v>
      </c>
      <c r="B194" t="str">
        <v>New_Campaign</v>
      </c>
      <c r="C194">
        <v>1148</v>
      </c>
      <c r="D194">
        <v>282</v>
      </c>
      <c r="E194">
        <v>4121.47</v>
      </c>
      <c r="F194" t="str">
        <v>B</v>
      </c>
    </row>
    <row r="195" spans="1:6" x14ac:dyDescent="0.2">
      <c r="A195" s="31">
        <v>44391</v>
      </c>
      <c r="B195" t="str">
        <v>New_Campaign</v>
      </c>
      <c r="C195">
        <v>1183</v>
      </c>
      <c r="D195">
        <v>286</v>
      </c>
      <c r="E195">
        <v>4145.7700000000004</v>
      </c>
      <c r="F195" t="str">
        <v>B</v>
      </c>
    </row>
    <row r="196" spans="1:6" x14ac:dyDescent="0.2">
      <c r="A196" s="31">
        <v>44392</v>
      </c>
      <c r="B196" t="str">
        <v>New_Campaign</v>
      </c>
      <c r="C196">
        <v>1151</v>
      </c>
      <c r="D196">
        <v>265</v>
      </c>
      <c r="E196">
        <v>3818.11</v>
      </c>
      <c r="F196" t="str">
        <v>B</v>
      </c>
    </row>
    <row r="197" spans="1:6" x14ac:dyDescent="0.2">
      <c r="A197" s="31">
        <v>44393</v>
      </c>
      <c r="B197" t="str">
        <v>New_Campaign</v>
      </c>
      <c r="C197">
        <v>1160</v>
      </c>
      <c r="D197">
        <v>273</v>
      </c>
      <c r="E197">
        <v>4645.76</v>
      </c>
      <c r="F197" t="str">
        <v>B</v>
      </c>
    </row>
    <row r="198" spans="1:6" x14ac:dyDescent="0.2">
      <c r="A198" s="31">
        <v>44394</v>
      </c>
      <c r="B198" t="str">
        <v>New_Campaign</v>
      </c>
      <c r="C198">
        <v>1102</v>
      </c>
      <c r="D198">
        <v>262</v>
      </c>
      <c r="E198">
        <v>4661.9399999999996</v>
      </c>
      <c r="F198" t="str">
        <v>B</v>
      </c>
    </row>
    <row r="199" spans="1:6" x14ac:dyDescent="0.2">
      <c r="A199" s="31">
        <v>44395</v>
      </c>
      <c r="B199" t="str">
        <v>New_Campaign</v>
      </c>
      <c r="C199">
        <v>1220</v>
      </c>
      <c r="D199">
        <v>256</v>
      </c>
      <c r="E199">
        <v>3763.2</v>
      </c>
      <c r="F199" t="str">
        <v>B</v>
      </c>
    </row>
    <row r="200" spans="1:6" x14ac:dyDescent="0.2">
      <c r="A200" s="31">
        <v>44396</v>
      </c>
      <c r="B200" t="str">
        <v>New_Campaign</v>
      </c>
      <c r="C200">
        <v>1173</v>
      </c>
      <c r="D200">
        <v>293</v>
      </c>
      <c r="E200">
        <v>4856.25</v>
      </c>
      <c r="F200" t="str">
        <v>B</v>
      </c>
    </row>
    <row r="201" spans="1:6" x14ac:dyDescent="0.2">
      <c r="A201" s="31">
        <v>44397</v>
      </c>
      <c r="B201" t="str">
        <v>New_Campaign</v>
      </c>
      <c r="C201">
        <v>1157</v>
      </c>
      <c r="D201">
        <v>256</v>
      </c>
      <c r="E201">
        <v>3132.49</v>
      </c>
      <c r="F201" t="str">
        <v>B</v>
      </c>
    </row>
    <row r="202" spans="1:6" x14ac:dyDescent="0.2">
      <c r="A202" s="31">
        <v>44398</v>
      </c>
      <c r="B202" t="str">
        <v>New_Campaign</v>
      </c>
      <c r="C202">
        <v>1130</v>
      </c>
      <c r="D202">
        <v>257</v>
      </c>
      <c r="E202">
        <v>4584.45</v>
      </c>
      <c r="F202" t="str">
        <v>B</v>
      </c>
    </row>
    <row r="203" spans="1:6" x14ac:dyDescent="0.2">
      <c r="A203" s="31">
        <v>44399</v>
      </c>
      <c r="B203" t="str">
        <v>New_Campaign</v>
      </c>
      <c r="C203">
        <v>1137</v>
      </c>
      <c r="D203">
        <v>272</v>
      </c>
      <c r="E203">
        <v>3400.8</v>
      </c>
      <c r="F203" t="str">
        <v>B</v>
      </c>
    </row>
    <row r="204" spans="1:6" x14ac:dyDescent="0.2">
      <c r="A204" s="31">
        <v>44400</v>
      </c>
      <c r="B204" t="str">
        <v>New_Campaign</v>
      </c>
      <c r="C204">
        <v>1134</v>
      </c>
      <c r="D204">
        <v>270</v>
      </c>
      <c r="E204">
        <v>5073.67</v>
      </c>
      <c r="F204" t="str">
        <v>B</v>
      </c>
    </row>
    <row r="205" spans="1:6" x14ac:dyDescent="0.2">
      <c r="A205" s="31">
        <v>44401</v>
      </c>
      <c r="B205" t="str">
        <v>New_Campaign</v>
      </c>
      <c r="C205">
        <v>1169</v>
      </c>
      <c r="D205">
        <v>289</v>
      </c>
      <c r="E205">
        <v>4785.93</v>
      </c>
      <c r="F205" t="str">
        <v>B</v>
      </c>
    </row>
    <row r="206" spans="1:6" x14ac:dyDescent="0.2">
      <c r="A206" s="31">
        <v>44402</v>
      </c>
      <c r="B206" t="str">
        <v>New_Campaign</v>
      </c>
      <c r="C206">
        <v>1112</v>
      </c>
      <c r="D206">
        <v>248</v>
      </c>
      <c r="E206">
        <v>3784.47</v>
      </c>
      <c r="F206" t="str">
        <v>B</v>
      </c>
    </row>
    <row r="207" spans="1:6" x14ac:dyDescent="0.2">
      <c r="A207" s="31">
        <v>44403</v>
      </c>
      <c r="B207" t="str">
        <v>New_Campaign</v>
      </c>
      <c r="C207">
        <v>1160</v>
      </c>
      <c r="D207">
        <v>304</v>
      </c>
      <c r="E207">
        <v>4661.04</v>
      </c>
      <c r="F207" t="str">
        <v>B</v>
      </c>
    </row>
    <row r="208" spans="1:6" x14ac:dyDescent="0.2">
      <c r="A208" s="31">
        <v>44404</v>
      </c>
      <c r="B208" t="str">
        <v>New_Campaign</v>
      </c>
      <c r="C208">
        <v>1155</v>
      </c>
      <c r="D208">
        <v>275</v>
      </c>
      <c r="E208">
        <v>4478.62</v>
      </c>
      <c r="F208" t="str">
        <v>B</v>
      </c>
    </row>
    <row r="209" spans="1:6" x14ac:dyDescent="0.2">
      <c r="A209" s="31">
        <v>44405</v>
      </c>
      <c r="B209" t="str">
        <v>New_Campaign</v>
      </c>
      <c r="C209">
        <v>1158</v>
      </c>
      <c r="D209">
        <v>267</v>
      </c>
      <c r="E209">
        <v>4671.38</v>
      </c>
      <c r="F209" t="str">
        <v>B</v>
      </c>
    </row>
    <row r="210" spans="1:6" x14ac:dyDescent="0.2">
      <c r="A210" s="31">
        <v>44406</v>
      </c>
      <c r="B210" t="str">
        <v>New_Campaign</v>
      </c>
      <c r="C210">
        <v>1140</v>
      </c>
      <c r="D210">
        <v>267</v>
      </c>
      <c r="E210">
        <v>4537.24</v>
      </c>
      <c r="F210" t="str">
        <v>B</v>
      </c>
    </row>
    <row r="211" spans="1:6" x14ac:dyDescent="0.2">
      <c r="A211" s="31">
        <v>44407</v>
      </c>
      <c r="B211" t="str">
        <v>New_Campaign</v>
      </c>
      <c r="C211">
        <v>1105</v>
      </c>
      <c r="D211">
        <v>241</v>
      </c>
      <c r="E211">
        <v>3667.23</v>
      </c>
      <c r="F211" t="str">
        <v>B</v>
      </c>
    </row>
    <row r="212" spans="1:6" x14ac:dyDescent="0.2">
      <c r="A212" s="31">
        <v>44408</v>
      </c>
      <c r="B212" t="str">
        <v>New_Campaign</v>
      </c>
      <c r="C212">
        <v>1159</v>
      </c>
      <c r="D212">
        <v>272</v>
      </c>
      <c r="E212">
        <v>4324.04</v>
      </c>
      <c r="F212" t="str">
        <v>B</v>
      </c>
    </row>
    <row r="213" spans="1:6" x14ac:dyDescent="0.2">
      <c r="A213" s="31">
        <v>44409</v>
      </c>
      <c r="B213" t="str">
        <v>New_Campaign</v>
      </c>
      <c r="C213">
        <v>1186</v>
      </c>
      <c r="D213">
        <v>271</v>
      </c>
      <c r="E213">
        <v>4457</v>
      </c>
      <c r="F213" t="str">
        <v>B</v>
      </c>
    </row>
    <row r="214" spans="1:6" x14ac:dyDescent="0.2">
      <c r="A214" s="31">
        <v>44410</v>
      </c>
      <c r="B214" t="str">
        <v>New_Campaign</v>
      </c>
      <c r="C214">
        <v>1162</v>
      </c>
      <c r="D214">
        <v>255</v>
      </c>
      <c r="E214">
        <v>2580.4</v>
      </c>
      <c r="F214" t="str">
        <v>B</v>
      </c>
    </row>
    <row r="215" spans="1:6" x14ac:dyDescent="0.2">
      <c r="A215" s="31">
        <v>44411</v>
      </c>
      <c r="B215" t="str">
        <v>New_Campaign</v>
      </c>
      <c r="C215">
        <v>1183</v>
      </c>
      <c r="D215">
        <v>254</v>
      </c>
      <c r="E215">
        <v>3363.15</v>
      </c>
      <c r="F215" t="str">
        <v>B</v>
      </c>
    </row>
    <row r="216" spans="1:6" x14ac:dyDescent="0.2">
      <c r="A216" s="31">
        <v>44412</v>
      </c>
      <c r="B216" t="str">
        <v>New_Campaign</v>
      </c>
      <c r="C216">
        <v>1175</v>
      </c>
      <c r="D216">
        <v>277</v>
      </c>
      <c r="E216">
        <v>4717.96</v>
      </c>
      <c r="F216" t="str">
        <v>B</v>
      </c>
    </row>
    <row r="217" spans="1:6" x14ac:dyDescent="0.2">
      <c r="A217" s="31">
        <v>44413</v>
      </c>
      <c r="B217" t="str">
        <v>New_Campaign</v>
      </c>
      <c r="C217">
        <v>1141</v>
      </c>
      <c r="D217">
        <v>274</v>
      </c>
      <c r="E217">
        <v>3975.79</v>
      </c>
      <c r="F217" t="str">
        <v>B</v>
      </c>
    </row>
    <row r="218" spans="1:6" x14ac:dyDescent="0.2">
      <c r="A218" s="31">
        <v>44414</v>
      </c>
      <c r="B218" t="str">
        <v>New_Campaign</v>
      </c>
      <c r="C218">
        <v>1181</v>
      </c>
      <c r="D218">
        <v>271</v>
      </c>
      <c r="E218">
        <v>3893.14</v>
      </c>
      <c r="F218" t="str">
        <v>B</v>
      </c>
    </row>
    <row r="219" spans="1:6" x14ac:dyDescent="0.2">
      <c r="A219" s="31">
        <v>44415</v>
      </c>
      <c r="B219" t="str">
        <v>New_Campaign</v>
      </c>
      <c r="C219">
        <v>1132</v>
      </c>
      <c r="D219">
        <v>252</v>
      </c>
      <c r="E219">
        <v>3934.31</v>
      </c>
      <c r="F219" t="str">
        <v>B</v>
      </c>
    </row>
    <row r="220" spans="1:6" x14ac:dyDescent="0.2">
      <c r="A220" s="31">
        <v>44416</v>
      </c>
      <c r="B220" t="str">
        <v>New_Campaign</v>
      </c>
      <c r="C220">
        <v>1158</v>
      </c>
      <c r="D220">
        <v>250</v>
      </c>
      <c r="E220">
        <v>4091.92</v>
      </c>
      <c r="F220" t="str">
        <v>B</v>
      </c>
    </row>
    <row r="221" spans="1:6" x14ac:dyDescent="0.2">
      <c r="A221" s="31">
        <v>44417</v>
      </c>
      <c r="B221" t="str">
        <v>New_Campaign</v>
      </c>
      <c r="C221">
        <v>1127</v>
      </c>
      <c r="D221">
        <v>267</v>
      </c>
      <c r="E221">
        <v>4000.21</v>
      </c>
      <c r="F221" t="str">
        <v>B</v>
      </c>
    </row>
    <row r="222" spans="1:6" x14ac:dyDescent="0.2">
      <c r="A222" s="31">
        <v>44418</v>
      </c>
      <c r="B222" t="str">
        <v>New_Campaign</v>
      </c>
      <c r="C222">
        <v>1070</v>
      </c>
      <c r="D222">
        <v>231</v>
      </c>
      <c r="E222">
        <v>3691.7</v>
      </c>
      <c r="F222" t="str">
        <v>B</v>
      </c>
    </row>
    <row r="223" spans="1:6" x14ac:dyDescent="0.2">
      <c r="A223" s="31">
        <v>44419</v>
      </c>
      <c r="B223" t="str">
        <v>New_Campaign</v>
      </c>
      <c r="C223">
        <v>1136</v>
      </c>
      <c r="D223">
        <v>271</v>
      </c>
      <c r="E223">
        <v>4171.38</v>
      </c>
      <c r="F223" t="str">
        <v>B</v>
      </c>
    </row>
    <row r="224" spans="1:6" x14ac:dyDescent="0.2">
      <c r="A224" s="31">
        <v>44420</v>
      </c>
      <c r="B224" t="str">
        <v>New_Campaign</v>
      </c>
      <c r="C224">
        <v>1095</v>
      </c>
      <c r="D224">
        <v>262</v>
      </c>
      <c r="E224">
        <v>4137.91</v>
      </c>
      <c r="F224" t="str">
        <v>B</v>
      </c>
    </row>
    <row r="225" spans="1:6" x14ac:dyDescent="0.2">
      <c r="A225" s="31">
        <v>44421</v>
      </c>
      <c r="B225" t="str">
        <v>New_Campaign</v>
      </c>
      <c r="C225">
        <v>1227</v>
      </c>
      <c r="D225">
        <v>292</v>
      </c>
      <c r="E225">
        <v>5393.9</v>
      </c>
      <c r="F225" t="str">
        <v>B</v>
      </c>
    </row>
    <row r="226" spans="1:6" x14ac:dyDescent="0.2">
      <c r="A226" s="31">
        <v>44422</v>
      </c>
      <c r="B226" t="str">
        <v>New_Campaign</v>
      </c>
      <c r="C226">
        <v>1143</v>
      </c>
      <c r="D226">
        <v>262</v>
      </c>
      <c r="E226">
        <v>4507.03</v>
      </c>
      <c r="F226" t="str">
        <v>B</v>
      </c>
    </row>
    <row r="227" spans="1:6" x14ac:dyDescent="0.2">
      <c r="A227" s="31">
        <v>44423</v>
      </c>
      <c r="B227" t="str">
        <v>New_Campaign</v>
      </c>
      <c r="C227">
        <v>1120</v>
      </c>
      <c r="D227">
        <v>274</v>
      </c>
      <c r="E227">
        <v>4342.4799999999996</v>
      </c>
      <c r="F227" t="str">
        <v>B</v>
      </c>
    </row>
    <row r="228" spans="1:6" x14ac:dyDescent="0.2">
      <c r="A228" s="31">
        <v>44424</v>
      </c>
      <c r="B228" t="str">
        <v>New_Campaign</v>
      </c>
      <c r="C228">
        <v>1172</v>
      </c>
      <c r="D228">
        <v>289</v>
      </c>
      <c r="E228">
        <v>5573.46</v>
      </c>
      <c r="F228" t="str">
        <v>B</v>
      </c>
    </row>
    <row r="229" spans="1:6" x14ac:dyDescent="0.2">
      <c r="A229" s="31">
        <v>44425</v>
      </c>
      <c r="B229" t="str">
        <v>New_Campaign</v>
      </c>
      <c r="C229">
        <v>1134</v>
      </c>
      <c r="D229">
        <v>255</v>
      </c>
      <c r="E229">
        <v>3818.26</v>
      </c>
      <c r="F229" t="str">
        <v>B</v>
      </c>
    </row>
    <row r="230" spans="1:6" x14ac:dyDescent="0.2">
      <c r="A230" s="31">
        <v>44426</v>
      </c>
      <c r="B230" t="str">
        <v>New_Campaign</v>
      </c>
      <c r="C230">
        <v>1168</v>
      </c>
      <c r="D230">
        <v>263</v>
      </c>
      <c r="E230">
        <v>4069.72</v>
      </c>
      <c r="F230" t="str">
        <v>B</v>
      </c>
    </row>
    <row r="231" spans="1:6" x14ac:dyDescent="0.2">
      <c r="A231" s="31">
        <v>44427</v>
      </c>
      <c r="B231" t="str">
        <v>New_Campaign</v>
      </c>
      <c r="C231">
        <v>1135</v>
      </c>
      <c r="D231">
        <v>253</v>
      </c>
      <c r="E231">
        <v>4831.8</v>
      </c>
      <c r="F231" t="str">
        <v>B</v>
      </c>
    </row>
    <row r="232" spans="1:6" x14ac:dyDescent="0.2">
      <c r="A232" s="31">
        <v>44428</v>
      </c>
      <c r="B232" t="str">
        <v>New_Campaign</v>
      </c>
      <c r="C232">
        <v>1175</v>
      </c>
      <c r="D232">
        <v>245</v>
      </c>
      <c r="E232">
        <v>3114.84</v>
      </c>
      <c r="F232" t="str">
        <v>B</v>
      </c>
    </row>
    <row r="233" spans="1:6" x14ac:dyDescent="0.2">
      <c r="A233" s="31">
        <v>44429</v>
      </c>
      <c r="B233" t="str">
        <v>New_Campaign</v>
      </c>
      <c r="C233">
        <v>1117</v>
      </c>
      <c r="D233">
        <v>262</v>
      </c>
      <c r="E233">
        <v>3869.03</v>
      </c>
      <c r="F233" t="str">
        <v>B</v>
      </c>
    </row>
    <row r="234" spans="1:6" x14ac:dyDescent="0.2">
      <c r="A234" s="31">
        <v>44430</v>
      </c>
      <c r="B234" t="str">
        <v>New_Campaign</v>
      </c>
      <c r="C234">
        <v>1207</v>
      </c>
      <c r="D234">
        <v>272</v>
      </c>
      <c r="E234">
        <v>3667.88</v>
      </c>
      <c r="F234" t="str">
        <v>B</v>
      </c>
    </row>
    <row r="235" spans="1:6" x14ac:dyDescent="0.2">
      <c r="A235" s="31">
        <v>44431</v>
      </c>
      <c r="B235" t="str">
        <v>New_Campaign</v>
      </c>
      <c r="C235">
        <v>1153</v>
      </c>
      <c r="D235">
        <v>267</v>
      </c>
      <c r="E235">
        <v>5387.81</v>
      </c>
      <c r="F235" t="str">
        <v>B</v>
      </c>
    </row>
    <row r="236" spans="1:6" x14ac:dyDescent="0.2">
      <c r="A236" s="31">
        <v>44432</v>
      </c>
      <c r="B236" t="str">
        <v>New_Campaign</v>
      </c>
      <c r="C236">
        <v>1067</v>
      </c>
      <c r="D236">
        <v>258</v>
      </c>
      <c r="E236">
        <v>4919.25</v>
      </c>
      <c r="F236" t="str">
        <v>B</v>
      </c>
    </row>
    <row r="237" spans="1:6" x14ac:dyDescent="0.2">
      <c r="A237" s="31">
        <v>44433</v>
      </c>
      <c r="B237" t="str">
        <v>New_Campaign</v>
      </c>
      <c r="C237">
        <v>1088</v>
      </c>
      <c r="D237">
        <v>289</v>
      </c>
      <c r="E237">
        <v>3836.09</v>
      </c>
      <c r="F237" t="str">
        <v>B</v>
      </c>
    </row>
    <row r="238" spans="1:6" x14ac:dyDescent="0.2">
      <c r="A238" s="31">
        <v>44434</v>
      </c>
      <c r="B238" t="str">
        <v>New_Campaign</v>
      </c>
      <c r="C238">
        <v>1124</v>
      </c>
      <c r="D238">
        <v>233</v>
      </c>
      <c r="E238">
        <v>3639.04</v>
      </c>
      <c r="F238" t="str">
        <v>B</v>
      </c>
    </row>
    <row r="239" spans="1:6" x14ac:dyDescent="0.2">
      <c r="A239" s="31">
        <v>44435</v>
      </c>
      <c r="B239" t="str">
        <v>New_Campaign</v>
      </c>
      <c r="C239">
        <v>1132</v>
      </c>
      <c r="D239">
        <v>247</v>
      </c>
      <c r="E239">
        <v>4250.63</v>
      </c>
      <c r="F239" t="str">
        <v>B</v>
      </c>
    </row>
    <row r="240" spans="1:6" x14ac:dyDescent="0.2">
      <c r="A240" s="31">
        <v>44436</v>
      </c>
      <c r="B240" t="str">
        <v>New_Campaign</v>
      </c>
      <c r="C240">
        <v>1140</v>
      </c>
      <c r="D240">
        <v>256</v>
      </c>
      <c r="E240">
        <v>3764.46</v>
      </c>
      <c r="F240" t="str">
        <v>B</v>
      </c>
    </row>
    <row r="241" spans="1:6" x14ac:dyDescent="0.2">
      <c r="A241" s="31">
        <v>44437</v>
      </c>
      <c r="B241" t="str">
        <v>New_Campaign</v>
      </c>
      <c r="C241">
        <v>1156</v>
      </c>
      <c r="D241">
        <v>239</v>
      </c>
      <c r="E241">
        <v>4201.92</v>
      </c>
      <c r="F241" t="str">
        <v>B</v>
      </c>
    </row>
    <row r="242" spans="1:6" x14ac:dyDescent="0.2">
      <c r="A242" s="31">
        <v>44438</v>
      </c>
      <c r="B242" t="str">
        <v>New_Campaign</v>
      </c>
      <c r="C242">
        <v>1227</v>
      </c>
      <c r="D242">
        <v>284</v>
      </c>
      <c r="E242">
        <v>4933.83</v>
      </c>
      <c r="F242" t="str">
        <v>B</v>
      </c>
    </row>
    <row r="243" spans="1:6" x14ac:dyDescent="0.2">
      <c r="A243" s="31">
        <v>44439</v>
      </c>
      <c r="B243" t="str">
        <v>New_Campaign</v>
      </c>
      <c r="C243">
        <v>1180</v>
      </c>
      <c r="D243">
        <v>287</v>
      </c>
      <c r="E243">
        <v>5121.03</v>
      </c>
      <c r="F243" t="str">
        <v>B</v>
      </c>
    </row>
    <row r="244" spans="1:6" x14ac:dyDescent="0.2">
      <c r="A244" s="31">
        <v>44440</v>
      </c>
      <c r="B244" t="str">
        <v>New_Campaign</v>
      </c>
      <c r="C244">
        <v>1184</v>
      </c>
      <c r="D244">
        <v>267</v>
      </c>
      <c r="E244">
        <v>4378.24</v>
      </c>
      <c r="F244" t="str">
        <v>B</v>
      </c>
    </row>
    <row r="245" spans="1:6" x14ac:dyDescent="0.2">
      <c r="A245" s="31">
        <v>44441</v>
      </c>
      <c r="B245" t="str">
        <v>New_Campaign</v>
      </c>
      <c r="C245">
        <v>1143</v>
      </c>
      <c r="D245">
        <v>247</v>
      </c>
      <c r="E245">
        <v>4109.91</v>
      </c>
      <c r="F245" t="str">
        <v>B</v>
      </c>
    </row>
    <row r="246" spans="1:6" x14ac:dyDescent="0.2">
      <c r="A246" s="31">
        <v>44442</v>
      </c>
      <c r="B246" t="str">
        <v>New_Campaign</v>
      </c>
      <c r="C246">
        <v>1122</v>
      </c>
      <c r="D246">
        <v>249</v>
      </c>
      <c r="E246">
        <v>3443.26</v>
      </c>
      <c r="F246" t="str">
        <v>B</v>
      </c>
    </row>
    <row r="247" spans="1:6" x14ac:dyDescent="0.2">
      <c r="A247" s="31">
        <v>44443</v>
      </c>
      <c r="B247" t="str">
        <v>New_Campaign</v>
      </c>
      <c r="C247">
        <v>1185</v>
      </c>
      <c r="D247">
        <v>262</v>
      </c>
      <c r="E247">
        <v>3677.87</v>
      </c>
      <c r="F247" t="str">
        <v>B</v>
      </c>
    </row>
    <row r="248" spans="1:6" x14ac:dyDescent="0.2">
      <c r="A248" s="31">
        <v>44444</v>
      </c>
      <c r="B248" t="str">
        <v>New_Campaign</v>
      </c>
      <c r="C248">
        <v>1171</v>
      </c>
      <c r="D248">
        <v>263</v>
      </c>
      <c r="E248">
        <v>3782.85</v>
      </c>
      <c r="F248" t="str">
        <v>B</v>
      </c>
    </row>
    <row r="249" spans="1:6" x14ac:dyDescent="0.2">
      <c r="A249" s="31">
        <v>44445</v>
      </c>
      <c r="B249" t="str">
        <v>New_Campaign</v>
      </c>
      <c r="C249">
        <v>1137</v>
      </c>
      <c r="D249">
        <v>268</v>
      </c>
      <c r="E249">
        <v>5954.92</v>
      </c>
      <c r="F249" t="str">
        <v>B</v>
      </c>
    </row>
    <row r="250" spans="1:6" x14ac:dyDescent="0.2">
      <c r="A250" s="31">
        <v>44446</v>
      </c>
      <c r="B250" t="str">
        <v>New_Campaign</v>
      </c>
      <c r="C250">
        <v>1134</v>
      </c>
      <c r="D250">
        <v>248</v>
      </c>
      <c r="E250">
        <v>3422.32</v>
      </c>
      <c r="F250" t="str">
        <v>B</v>
      </c>
    </row>
    <row r="251" spans="1:6" x14ac:dyDescent="0.2">
      <c r="A251" s="31">
        <v>44447</v>
      </c>
      <c r="B251" t="str">
        <v>New_Campaign</v>
      </c>
      <c r="C251">
        <v>1139</v>
      </c>
      <c r="D251">
        <v>272</v>
      </c>
      <c r="E251">
        <v>4813.91</v>
      </c>
      <c r="F251" t="str">
        <v>B</v>
      </c>
    </row>
    <row r="252" spans="1:6" x14ac:dyDescent="0.2">
      <c r="A252" s="31">
        <v>44448</v>
      </c>
      <c r="B252" t="str">
        <v>New_Campaign</v>
      </c>
      <c r="C252">
        <v>1172</v>
      </c>
      <c r="D252">
        <v>254</v>
      </c>
      <c r="E252">
        <v>3728.56</v>
      </c>
      <c r="F252" t="str">
        <v>B</v>
      </c>
    </row>
    <row r="253" spans="1:6" x14ac:dyDescent="0.2">
      <c r="A253" s="31">
        <v>44449</v>
      </c>
      <c r="B253" t="str">
        <v>New_Campaign</v>
      </c>
      <c r="C253">
        <v>1129</v>
      </c>
      <c r="D253">
        <v>252</v>
      </c>
      <c r="E253">
        <v>3597.16</v>
      </c>
      <c r="F253" t="str">
        <v>B</v>
      </c>
    </row>
    <row r="254" spans="1:6" x14ac:dyDescent="0.2">
      <c r="A254" s="31">
        <v>44450</v>
      </c>
      <c r="B254" t="str">
        <v>New_Campaign</v>
      </c>
      <c r="C254">
        <v>1155</v>
      </c>
      <c r="D254">
        <v>268</v>
      </c>
      <c r="E254">
        <v>4364.8599999999997</v>
      </c>
      <c r="F254" t="str">
        <v>B</v>
      </c>
    </row>
    <row r="255" spans="1:6" x14ac:dyDescent="0.2">
      <c r="A255" s="31">
        <v>44451</v>
      </c>
      <c r="B255" t="str">
        <v>New_Campaign</v>
      </c>
      <c r="C255">
        <v>1168</v>
      </c>
      <c r="D255">
        <v>260</v>
      </c>
      <c r="E255">
        <v>3272.17</v>
      </c>
      <c r="F255" t="str">
        <v>B</v>
      </c>
    </row>
    <row r="256" spans="1:6" x14ac:dyDescent="0.2">
      <c r="A256" s="31">
        <v>44452</v>
      </c>
      <c r="B256" t="str">
        <v>New_Campaign</v>
      </c>
      <c r="C256">
        <v>1127</v>
      </c>
      <c r="D256">
        <v>250</v>
      </c>
      <c r="E256">
        <v>4130.1400000000003</v>
      </c>
      <c r="F256" t="str">
        <v>B</v>
      </c>
    </row>
    <row r="257" spans="1:6" x14ac:dyDescent="0.2">
      <c r="A257" s="31">
        <v>44453</v>
      </c>
      <c r="B257" t="str">
        <v>New_Campaign</v>
      </c>
      <c r="C257">
        <v>1174</v>
      </c>
      <c r="D257">
        <v>278</v>
      </c>
      <c r="E257">
        <v>3934.13</v>
      </c>
      <c r="F257" t="str">
        <v>B</v>
      </c>
    </row>
    <row r="258" spans="1:6" x14ac:dyDescent="0.2">
      <c r="A258" s="31">
        <v>44454</v>
      </c>
      <c r="B258" t="str">
        <v>New_Campaign</v>
      </c>
      <c r="C258">
        <v>1165</v>
      </c>
      <c r="D258">
        <v>291</v>
      </c>
      <c r="E258">
        <v>4071.7</v>
      </c>
      <c r="F258" t="str">
        <v>B</v>
      </c>
    </row>
    <row r="259" spans="1:6" x14ac:dyDescent="0.2">
      <c r="A259" s="31">
        <v>44455</v>
      </c>
      <c r="B259" t="str">
        <v>New_Campaign</v>
      </c>
      <c r="C259">
        <v>1124</v>
      </c>
      <c r="D259">
        <v>264</v>
      </c>
      <c r="E259">
        <v>4662.1000000000004</v>
      </c>
      <c r="F259" t="str">
        <v>B</v>
      </c>
    </row>
    <row r="260" spans="1:6" x14ac:dyDescent="0.2">
      <c r="A260" s="31">
        <v>44456</v>
      </c>
      <c r="B260" t="str">
        <v>New_Campaign</v>
      </c>
      <c r="C260">
        <v>1118</v>
      </c>
      <c r="D260">
        <v>274</v>
      </c>
      <c r="E260">
        <v>4570.6400000000003</v>
      </c>
      <c r="F260" t="str">
        <v>B</v>
      </c>
    </row>
    <row r="261" spans="1:6" x14ac:dyDescent="0.2">
      <c r="A261" s="31">
        <v>44457</v>
      </c>
      <c r="B261" t="str">
        <v>New_Campaign</v>
      </c>
      <c r="C261">
        <v>1116</v>
      </c>
      <c r="D261">
        <v>244</v>
      </c>
      <c r="E261">
        <v>3740.97</v>
      </c>
      <c r="F261" t="str">
        <v>B</v>
      </c>
    </row>
    <row r="262" spans="1:6" x14ac:dyDescent="0.2">
      <c r="A262" s="31">
        <v>44458</v>
      </c>
      <c r="B262" t="str">
        <v>New_Campaign</v>
      </c>
      <c r="C262">
        <v>1173</v>
      </c>
      <c r="D262">
        <v>278</v>
      </c>
      <c r="E262">
        <v>3554.74</v>
      </c>
      <c r="F262" t="str">
        <v>B</v>
      </c>
    </row>
    <row r="263" spans="1:6" x14ac:dyDescent="0.2">
      <c r="A263" s="31">
        <v>44459</v>
      </c>
      <c r="B263" t="str">
        <v>New_Campaign</v>
      </c>
      <c r="C263">
        <v>1174</v>
      </c>
      <c r="D263">
        <v>275</v>
      </c>
      <c r="E263">
        <v>4271.08</v>
      </c>
      <c r="F263" t="str">
        <v>B</v>
      </c>
    </row>
    <row r="264" spans="1:6" x14ac:dyDescent="0.2">
      <c r="A264" s="31">
        <v>44460</v>
      </c>
      <c r="B264" t="str">
        <v>New_Campaign</v>
      </c>
      <c r="C264">
        <v>1167</v>
      </c>
      <c r="D264">
        <v>235</v>
      </c>
      <c r="E264">
        <v>4459.01</v>
      </c>
      <c r="F264" t="str">
        <v>B</v>
      </c>
    </row>
    <row r="265" spans="1:6" x14ac:dyDescent="0.2">
      <c r="A265" s="31">
        <v>44461</v>
      </c>
      <c r="B265" t="str">
        <v>New_Campaign</v>
      </c>
      <c r="C265">
        <v>1158</v>
      </c>
      <c r="D265">
        <v>267</v>
      </c>
      <c r="E265">
        <v>4160.2299999999996</v>
      </c>
      <c r="F265" t="str">
        <v>B</v>
      </c>
    </row>
    <row r="266" spans="1:6" x14ac:dyDescent="0.2">
      <c r="A266" s="31">
        <v>44462</v>
      </c>
      <c r="B266" t="str">
        <v>New_Campaign</v>
      </c>
      <c r="C266">
        <v>1144</v>
      </c>
      <c r="D266">
        <v>270</v>
      </c>
      <c r="E266">
        <v>5248.46</v>
      </c>
      <c r="F266" t="str">
        <v>B</v>
      </c>
    </row>
    <row r="267" spans="1:6" x14ac:dyDescent="0.2">
      <c r="A267" s="31">
        <v>44463</v>
      </c>
      <c r="B267" t="str">
        <v>New_Campaign</v>
      </c>
      <c r="C267">
        <v>1212</v>
      </c>
      <c r="D267">
        <v>272</v>
      </c>
      <c r="E267">
        <v>3976.79</v>
      </c>
      <c r="F267" t="str">
        <v>B</v>
      </c>
    </row>
    <row r="268" spans="1:6" x14ac:dyDescent="0.2">
      <c r="A268" s="31">
        <v>44464</v>
      </c>
      <c r="B268" t="str">
        <v>New_Campaign</v>
      </c>
      <c r="C268">
        <v>1184</v>
      </c>
      <c r="D268">
        <v>269</v>
      </c>
      <c r="E268">
        <v>4486.95</v>
      </c>
      <c r="F268" t="str">
        <v>B</v>
      </c>
    </row>
    <row r="269" spans="1:6" x14ac:dyDescent="0.2">
      <c r="A269" s="31">
        <v>44465</v>
      </c>
      <c r="B269" t="str">
        <v>New_Campaign</v>
      </c>
      <c r="C269">
        <v>1186</v>
      </c>
      <c r="D269">
        <v>260</v>
      </c>
      <c r="E269">
        <v>3472.32</v>
      </c>
      <c r="F269" t="str">
        <v>B</v>
      </c>
    </row>
    <row r="270" spans="1:6" x14ac:dyDescent="0.2">
      <c r="A270" s="31">
        <v>44466</v>
      </c>
      <c r="B270" t="str">
        <v>New_Campaign</v>
      </c>
      <c r="C270">
        <v>1155</v>
      </c>
      <c r="D270">
        <v>250</v>
      </c>
      <c r="E270">
        <v>3574.3</v>
      </c>
      <c r="F270" t="str">
        <v>B</v>
      </c>
    </row>
    <row r="271" spans="1:6" x14ac:dyDescent="0.2">
      <c r="A271" s="31">
        <v>44467</v>
      </c>
      <c r="B271" t="str">
        <v>New_Campaign</v>
      </c>
      <c r="C271">
        <v>1115</v>
      </c>
      <c r="D271">
        <v>262</v>
      </c>
      <c r="E271">
        <v>3706.58</v>
      </c>
      <c r="F271" t="str">
        <v>B</v>
      </c>
    </row>
    <row r="272" spans="1:6" x14ac:dyDescent="0.2">
      <c r="A272" s="31">
        <v>44468</v>
      </c>
      <c r="B272" t="str">
        <v>New_Campaign</v>
      </c>
      <c r="C272">
        <v>1100</v>
      </c>
      <c r="D272">
        <v>258</v>
      </c>
      <c r="E272">
        <v>3478.61</v>
      </c>
      <c r="F272" t="str">
        <v>B</v>
      </c>
    </row>
    <row r="273" spans="1:6" x14ac:dyDescent="0.2">
      <c r="A273" s="31">
        <v>44469</v>
      </c>
      <c r="B273" t="str">
        <v>New_Campaign</v>
      </c>
      <c r="C273">
        <v>1142</v>
      </c>
      <c r="D273">
        <v>266</v>
      </c>
      <c r="E273">
        <v>5367.05</v>
      </c>
      <c r="F273" t="str">
        <v>B</v>
      </c>
    </row>
    <row r="274" spans="1:6" x14ac:dyDescent="0.2">
      <c r="A274" s="31">
        <v>44470</v>
      </c>
      <c r="B274" t="str">
        <v>New_Campaign</v>
      </c>
      <c r="C274">
        <v>1153</v>
      </c>
      <c r="D274">
        <v>287</v>
      </c>
      <c r="E274">
        <v>5122.53</v>
      </c>
      <c r="F274" t="str">
        <v>B</v>
      </c>
    </row>
    <row r="275" spans="1:6" x14ac:dyDescent="0.2">
      <c r="A275" s="31">
        <v>44471</v>
      </c>
      <c r="B275" t="str">
        <v>New_Campaign</v>
      </c>
      <c r="C275">
        <v>1118</v>
      </c>
      <c r="D275">
        <v>274</v>
      </c>
      <c r="E275">
        <v>4255.43</v>
      </c>
      <c r="F275" t="str">
        <v>B</v>
      </c>
    </row>
    <row r="276" spans="1:6" x14ac:dyDescent="0.2">
      <c r="A276" s="31">
        <v>44472</v>
      </c>
      <c r="B276" t="str">
        <v>New_Campaign</v>
      </c>
      <c r="C276">
        <v>1124</v>
      </c>
      <c r="D276">
        <v>269</v>
      </c>
      <c r="E276">
        <v>4840.3100000000004</v>
      </c>
      <c r="F276" t="str">
        <v>B</v>
      </c>
    </row>
    <row r="277" spans="1:6" x14ac:dyDescent="0.2">
      <c r="A277" s="31">
        <v>44473</v>
      </c>
      <c r="B277" t="str">
        <v>New_Campaign</v>
      </c>
      <c r="C277">
        <v>1139</v>
      </c>
      <c r="D277">
        <v>284</v>
      </c>
      <c r="E277">
        <v>4507.92</v>
      </c>
      <c r="F277" t="str">
        <v>B</v>
      </c>
    </row>
    <row r="278" spans="1:6" x14ac:dyDescent="0.2">
      <c r="A278" s="31">
        <v>44474</v>
      </c>
      <c r="B278" t="str">
        <v>New_Campaign</v>
      </c>
      <c r="C278">
        <v>1138</v>
      </c>
      <c r="D278">
        <v>252</v>
      </c>
      <c r="E278">
        <v>4138.49</v>
      </c>
      <c r="F278" t="str">
        <v>B</v>
      </c>
    </row>
    <row r="279" spans="1:6" x14ac:dyDescent="0.2">
      <c r="A279" s="31">
        <v>44475</v>
      </c>
      <c r="B279" t="str">
        <v>New_Campaign</v>
      </c>
      <c r="C279">
        <v>1137</v>
      </c>
      <c r="D279">
        <v>244</v>
      </c>
      <c r="E279">
        <v>3813.95</v>
      </c>
      <c r="F279" t="str">
        <v>B</v>
      </c>
    </row>
    <row r="280" spans="1:6" x14ac:dyDescent="0.2">
      <c r="A280" s="31">
        <v>44476</v>
      </c>
      <c r="B280" t="str">
        <v>New_Campaign</v>
      </c>
      <c r="C280">
        <v>1155</v>
      </c>
      <c r="D280">
        <v>252</v>
      </c>
      <c r="E280">
        <v>4368.84</v>
      </c>
      <c r="F280" t="str">
        <v>B</v>
      </c>
    </row>
    <row r="281" spans="1:6" x14ac:dyDescent="0.2">
      <c r="A281" s="31">
        <v>44477</v>
      </c>
      <c r="B281" t="str">
        <v>New_Campaign</v>
      </c>
      <c r="C281">
        <v>1204</v>
      </c>
      <c r="D281">
        <v>284</v>
      </c>
      <c r="E281">
        <v>4807.09</v>
      </c>
      <c r="F281" t="str">
        <v>B</v>
      </c>
    </row>
    <row r="282" spans="1:6" x14ac:dyDescent="0.2">
      <c r="A282" s="31">
        <v>44478</v>
      </c>
      <c r="B282" t="str">
        <v>New_Campaign</v>
      </c>
      <c r="C282">
        <v>1127</v>
      </c>
      <c r="D282">
        <v>266</v>
      </c>
      <c r="E282">
        <v>4140</v>
      </c>
      <c r="F282" t="str">
        <v>B</v>
      </c>
    </row>
    <row r="283" spans="1:6" x14ac:dyDescent="0.2">
      <c r="A283" s="31">
        <v>44479</v>
      </c>
      <c r="B283" t="str">
        <v>New_Campaign</v>
      </c>
      <c r="C283">
        <v>1185</v>
      </c>
      <c r="D283">
        <v>251</v>
      </c>
      <c r="E283">
        <v>4778.68</v>
      </c>
      <c r="F283" t="str">
        <v>B</v>
      </c>
    </row>
    <row r="284" spans="1:6" x14ac:dyDescent="0.2">
      <c r="A284" s="31">
        <v>44480</v>
      </c>
      <c r="B284" t="str">
        <v>New_Campaign</v>
      </c>
      <c r="C284">
        <v>1120</v>
      </c>
      <c r="D284">
        <v>250</v>
      </c>
      <c r="E284">
        <v>3525.83</v>
      </c>
      <c r="F284" t="str">
        <v>B</v>
      </c>
    </row>
    <row r="285" spans="1:6" x14ac:dyDescent="0.2">
      <c r="A285" s="31">
        <v>44481</v>
      </c>
      <c r="B285" t="str">
        <v>New_Campaign</v>
      </c>
      <c r="C285">
        <v>1137</v>
      </c>
      <c r="D285">
        <v>255</v>
      </c>
      <c r="E285">
        <v>3805.19</v>
      </c>
      <c r="F285" t="str">
        <v>B</v>
      </c>
    </row>
    <row r="286" spans="1:6" x14ac:dyDescent="0.2">
      <c r="A286" s="31">
        <v>44482</v>
      </c>
      <c r="B286" t="str">
        <v>New_Campaign</v>
      </c>
      <c r="C286">
        <v>1198</v>
      </c>
      <c r="D286">
        <v>269</v>
      </c>
      <c r="E286">
        <v>4141.5</v>
      </c>
      <c r="F286" t="str">
        <v>B</v>
      </c>
    </row>
    <row r="287" spans="1:6" x14ac:dyDescent="0.2">
      <c r="A287" s="31">
        <v>44483</v>
      </c>
      <c r="B287" t="str">
        <v>New_Campaign</v>
      </c>
      <c r="C287">
        <v>1180</v>
      </c>
      <c r="D287">
        <v>266</v>
      </c>
      <c r="E287">
        <v>4126.1499999999996</v>
      </c>
      <c r="F287" t="str">
        <v>B</v>
      </c>
    </row>
    <row r="288" spans="1:6" x14ac:dyDescent="0.2">
      <c r="A288" s="31">
        <v>44484</v>
      </c>
      <c r="B288" t="str">
        <v>New_Campaign</v>
      </c>
      <c r="C288">
        <v>1156</v>
      </c>
      <c r="D288">
        <v>263</v>
      </c>
      <c r="E288">
        <v>4781.8599999999997</v>
      </c>
      <c r="F288" t="str">
        <v>B</v>
      </c>
    </row>
    <row r="289" spans="1:6" x14ac:dyDescent="0.2">
      <c r="A289" s="31">
        <v>44485</v>
      </c>
      <c r="B289" t="str">
        <v>New_Campaign</v>
      </c>
      <c r="C289">
        <v>1212</v>
      </c>
      <c r="D289">
        <v>278</v>
      </c>
      <c r="E289">
        <v>3669.99</v>
      </c>
      <c r="F289" t="str">
        <v>B</v>
      </c>
    </row>
    <row r="290" spans="1:6" x14ac:dyDescent="0.2">
      <c r="A290" s="31">
        <v>44486</v>
      </c>
      <c r="B290" t="str">
        <v>New_Campaign</v>
      </c>
      <c r="C290">
        <v>1168</v>
      </c>
      <c r="D290">
        <v>227</v>
      </c>
      <c r="E290">
        <v>3402.39</v>
      </c>
      <c r="F290" t="str">
        <v>B</v>
      </c>
    </row>
    <row r="291" spans="1:6" x14ac:dyDescent="0.2">
      <c r="A291" s="31">
        <v>44487</v>
      </c>
      <c r="B291" t="str">
        <v>New_Campaign</v>
      </c>
      <c r="C291">
        <v>1115</v>
      </c>
      <c r="D291">
        <v>257</v>
      </c>
      <c r="E291">
        <v>4978.1000000000004</v>
      </c>
      <c r="F291" t="str">
        <v>B</v>
      </c>
    </row>
    <row r="292" spans="1:6" x14ac:dyDescent="0.2">
      <c r="A292" s="31">
        <v>44488</v>
      </c>
      <c r="B292" t="str">
        <v>New_Campaign</v>
      </c>
      <c r="C292">
        <v>1188</v>
      </c>
      <c r="D292">
        <v>283</v>
      </c>
      <c r="E292">
        <v>5011.3500000000004</v>
      </c>
      <c r="F292" t="str">
        <v>B</v>
      </c>
    </row>
    <row r="293" spans="1:6" x14ac:dyDescent="0.2">
      <c r="A293" s="31">
        <v>44489</v>
      </c>
      <c r="B293" t="str">
        <v>New_Campaign</v>
      </c>
      <c r="C293">
        <v>1136</v>
      </c>
      <c r="D293">
        <v>251</v>
      </c>
      <c r="E293">
        <v>4805.66</v>
      </c>
      <c r="F293" t="str">
        <v>B</v>
      </c>
    </row>
    <row r="294" spans="1:6" x14ac:dyDescent="0.2">
      <c r="A294" s="31">
        <v>44490</v>
      </c>
      <c r="B294" t="str">
        <v>New_Campaign</v>
      </c>
      <c r="C294">
        <v>1128</v>
      </c>
      <c r="D294">
        <v>292</v>
      </c>
      <c r="E294">
        <v>4202.28</v>
      </c>
      <c r="F294" t="str">
        <v>B</v>
      </c>
    </row>
    <row r="295" spans="1:6" x14ac:dyDescent="0.2">
      <c r="A295" s="31">
        <v>44491</v>
      </c>
      <c r="B295" t="str">
        <v>New_Campaign</v>
      </c>
      <c r="C295">
        <v>1087</v>
      </c>
      <c r="D295">
        <v>247</v>
      </c>
      <c r="E295">
        <v>3583.19</v>
      </c>
      <c r="F295" t="str">
        <v>B</v>
      </c>
    </row>
    <row r="296" spans="1:6" x14ac:dyDescent="0.2">
      <c r="A296" s="31">
        <v>44492</v>
      </c>
      <c r="B296" t="str">
        <v>New_Campaign</v>
      </c>
      <c r="C296">
        <v>1127</v>
      </c>
      <c r="D296">
        <v>264</v>
      </c>
      <c r="E296">
        <v>4477.1499999999996</v>
      </c>
      <c r="F296" t="str">
        <v>B</v>
      </c>
    </row>
    <row r="297" spans="1:6" x14ac:dyDescent="0.2">
      <c r="A297" s="31">
        <v>44493</v>
      </c>
      <c r="B297" t="str">
        <v>New_Campaign</v>
      </c>
      <c r="C297">
        <v>1119</v>
      </c>
      <c r="D297">
        <v>254</v>
      </c>
      <c r="E297">
        <v>4156.16</v>
      </c>
      <c r="F297" t="str">
        <v>B</v>
      </c>
    </row>
    <row r="298" spans="1:6" x14ac:dyDescent="0.2">
      <c r="A298" s="31">
        <v>44494</v>
      </c>
      <c r="B298" t="str">
        <v>New_Campaign</v>
      </c>
      <c r="C298">
        <v>1183</v>
      </c>
      <c r="D298">
        <v>283</v>
      </c>
      <c r="E298">
        <v>3517.2</v>
      </c>
      <c r="F298" t="str">
        <v>B</v>
      </c>
    </row>
    <row r="299" spans="1:6" x14ac:dyDescent="0.2">
      <c r="A299" s="31">
        <v>44495</v>
      </c>
      <c r="B299" t="str">
        <v>New_Campaign</v>
      </c>
      <c r="C299">
        <v>1130</v>
      </c>
      <c r="D299">
        <v>251</v>
      </c>
      <c r="E299">
        <v>3597.81</v>
      </c>
      <c r="F299" t="str">
        <v>B</v>
      </c>
    </row>
    <row r="300" spans="1:6" x14ac:dyDescent="0.2">
      <c r="A300" s="31">
        <v>44496</v>
      </c>
      <c r="B300" t="str">
        <v>New_Campaign</v>
      </c>
      <c r="C300">
        <v>1131</v>
      </c>
      <c r="D300">
        <v>280</v>
      </c>
      <c r="E300">
        <v>4686.49</v>
      </c>
      <c r="F300" t="str">
        <v>B</v>
      </c>
    </row>
    <row r="301" spans="1:6" x14ac:dyDescent="0.2">
      <c r="A301" s="31">
        <v>44497</v>
      </c>
      <c r="B301" t="str">
        <v>New_Campaign</v>
      </c>
      <c r="C301">
        <v>1136</v>
      </c>
      <c r="D301">
        <v>269</v>
      </c>
      <c r="E301">
        <v>4270.6400000000003</v>
      </c>
      <c r="F301" t="str">
        <v>B</v>
      </c>
    </row>
    <row r="302" spans="1:6" x14ac:dyDescent="0.2">
      <c r="A302" s="31">
        <v>44498</v>
      </c>
      <c r="B302" t="str">
        <v>New_Campaign</v>
      </c>
      <c r="C302">
        <v>1149</v>
      </c>
      <c r="D302">
        <v>258</v>
      </c>
      <c r="E302">
        <v>4966.99</v>
      </c>
      <c r="F302" t="str">
        <v>B</v>
      </c>
    </row>
    <row r="303" spans="1:6" x14ac:dyDescent="0.2">
      <c r="A303" s="31">
        <v>44499</v>
      </c>
      <c r="B303" t="str">
        <v>New_Campaign</v>
      </c>
      <c r="C303">
        <v>1120</v>
      </c>
      <c r="D303">
        <v>264</v>
      </c>
      <c r="E303">
        <v>3781.93</v>
      </c>
      <c r="F303" t="str">
        <v>B</v>
      </c>
    </row>
    <row r="304" spans="1:6" x14ac:dyDescent="0.2">
      <c r="A304" s="31">
        <v>44500</v>
      </c>
      <c r="B304" t="str">
        <v>New_Campaign</v>
      </c>
      <c r="C304">
        <v>1155</v>
      </c>
      <c r="D304">
        <v>266</v>
      </c>
      <c r="E304">
        <v>4133.3599999999997</v>
      </c>
      <c r="F304" t="str">
        <v>B</v>
      </c>
    </row>
    <row r="305" spans="1:6" x14ac:dyDescent="0.2">
      <c r="A305" s="31">
        <v>44501</v>
      </c>
      <c r="B305" t="str">
        <v>New_Campaign</v>
      </c>
      <c r="C305">
        <v>1181</v>
      </c>
      <c r="D305">
        <v>262</v>
      </c>
      <c r="E305">
        <v>3727.38</v>
      </c>
      <c r="F305" t="str">
        <v>B</v>
      </c>
    </row>
    <row r="306" spans="1:6" x14ac:dyDescent="0.2">
      <c r="A306" s="31">
        <v>44502</v>
      </c>
      <c r="B306" t="str">
        <v>New_Campaign</v>
      </c>
      <c r="C306">
        <v>1123</v>
      </c>
      <c r="D306">
        <v>265</v>
      </c>
      <c r="E306">
        <v>3886.08</v>
      </c>
      <c r="F306" t="str">
        <v>B</v>
      </c>
    </row>
    <row r="307" spans="1:6" x14ac:dyDescent="0.2">
      <c r="A307" s="31">
        <v>44503</v>
      </c>
      <c r="B307" t="str">
        <v>New_Campaign</v>
      </c>
      <c r="C307">
        <v>1186</v>
      </c>
      <c r="D307">
        <v>268</v>
      </c>
      <c r="E307">
        <v>5032.1499999999996</v>
      </c>
      <c r="F307" t="str">
        <v>B</v>
      </c>
    </row>
    <row r="308" spans="1:6" x14ac:dyDescent="0.2">
      <c r="A308" s="31">
        <v>44504</v>
      </c>
      <c r="B308" t="str">
        <v>New_Campaign</v>
      </c>
      <c r="C308">
        <v>1073</v>
      </c>
      <c r="D308">
        <v>258</v>
      </c>
      <c r="E308">
        <v>6153.94</v>
      </c>
      <c r="F308" t="str">
        <v>B</v>
      </c>
    </row>
    <row r="309" spans="1:6" x14ac:dyDescent="0.2">
      <c r="A309" s="31">
        <v>44505</v>
      </c>
      <c r="B309" t="str">
        <v>New_Campaign</v>
      </c>
      <c r="C309">
        <v>1160</v>
      </c>
      <c r="D309">
        <v>264</v>
      </c>
      <c r="E309">
        <v>4397.9799999999996</v>
      </c>
      <c r="F309" t="str">
        <v>B</v>
      </c>
    </row>
    <row r="310" spans="1:6" x14ac:dyDescent="0.2">
      <c r="A310" s="31">
        <v>44506</v>
      </c>
      <c r="B310" t="str">
        <v>New_Campaign</v>
      </c>
      <c r="C310">
        <v>1168</v>
      </c>
      <c r="D310">
        <v>296</v>
      </c>
      <c r="E310">
        <v>5184.6899999999996</v>
      </c>
      <c r="F310" t="str">
        <v>B</v>
      </c>
    </row>
    <row r="311" spans="1:6" x14ac:dyDescent="0.2">
      <c r="A311" s="31">
        <v>44507</v>
      </c>
      <c r="B311" t="str">
        <v>New_Campaign</v>
      </c>
      <c r="C311">
        <v>1135</v>
      </c>
      <c r="D311">
        <v>224</v>
      </c>
      <c r="E311">
        <v>3917.76</v>
      </c>
      <c r="F311" t="str">
        <v>B</v>
      </c>
    </row>
    <row r="312" spans="1:6" x14ac:dyDescent="0.2">
      <c r="A312" s="31">
        <v>44508</v>
      </c>
      <c r="B312" t="str">
        <v>New_Campaign</v>
      </c>
      <c r="C312">
        <v>1171</v>
      </c>
      <c r="D312">
        <v>281</v>
      </c>
      <c r="E312">
        <v>5032.88</v>
      </c>
      <c r="F312" t="str">
        <v>B</v>
      </c>
    </row>
    <row r="313" spans="1:6" x14ac:dyDescent="0.2">
      <c r="A313" s="31">
        <v>44509</v>
      </c>
      <c r="B313" t="str">
        <v>New_Campaign</v>
      </c>
      <c r="C313">
        <v>1082</v>
      </c>
      <c r="D313">
        <v>240</v>
      </c>
      <c r="E313">
        <v>3748.56</v>
      </c>
      <c r="F313" t="str">
        <v>B</v>
      </c>
    </row>
    <row r="314" spans="1:6" x14ac:dyDescent="0.2">
      <c r="A314" s="31">
        <v>44510</v>
      </c>
      <c r="B314" t="str">
        <v>New_Campaign</v>
      </c>
      <c r="C314">
        <v>1176</v>
      </c>
      <c r="D314">
        <v>262</v>
      </c>
      <c r="E314">
        <v>4599.3599999999997</v>
      </c>
      <c r="F314" t="str">
        <v>B</v>
      </c>
    </row>
    <row r="315" spans="1:6" x14ac:dyDescent="0.2">
      <c r="A315" s="31">
        <v>44511</v>
      </c>
      <c r="B315" t="str">
        <v>New_Campaign</v>
      </c>
      <c r="C315">
        <v>1127</v>
      </c>
      <c r="D315">
        <v>257</v>
      </c>
      <c r="E315">
        <v>3543.37</v>
      </c>
      <c r="F315" t="str">
        <v>B</v>
      </c>
    </row>
    <row r="316" spans="1:6" x14ac:dyDescent="0.2">
      <c r="A316" s="31">
        <v>44512</v>
      </c>
      <c r="B316" t="str">
        <v>New_Campaign</v>
      </c>
      <c r="C316">
        <v>1149</v>
      </c>
      <c r="D316">
        <v>277</v>
      </c>
      <c r="E316">
        <v>4581.6099999999997</v>
      </c>
      <c r="F316" t="str">
        <v>B</v>
      </c>
    </row>
    <row r="317" spans="1:6" x14ac:dyDescent="0.2">
      <c r="A317" s="31">
        <v>44513</v>
      </c>
      <c r="B317" t="str">
        <v>New_Campaign</v>
      </c>
      <c r="C317">
        <v>1166</v>
      </c>
      <c r="D317">
        <v>271</v>
      </c>
      <c r="E317">
        <v>3877.3</v>
      </c>
      <c r="F317" t="str">
        <v>B</v>
      </c>
    </row>
    <row r="318" spans="1:6" x14ac:dyDescent="0.2">
      <c r="A318" s="31">
        <v>44514</v>
      </c>
      <c r="B318" t="str">
        <v>New_Campaign</v>
      </c>
      <c r="C318">
        <v>1157</v>
      </c>
      <c r="D318">
        <v>244</v>
      </c>
      <c r="E318">
        <v>3949.57</v>
      </c>
      <c r="F318" t="str">
        <v>B</v>
      </c>
    </row>
    <row r="319" spans="1:6" x14ac:dyDescent="0.2">
      <c r="A319" s="31">
        <v>44515</v>
      </c>
      <c r="B319" t="str">
        <v>New_Campaign</v>
      </c>
      <c r="C319">
        <v>1153</v>
      </c>
      <c r="D319">
        <v>257</v>
      </c>
      <c r="E319">
        <v>4002.92</v>
      </c>
      <c r="F319" t="str">
        <v>B</v>
      </c>
    </row>
    <row r="320" spans="1:6" x14ac:dyDescent="0.2">
      <c r="A320" s="31">
        <v>44516</v>
      </c>
      <c r="B320" t="str">
        <v>New_Campaign</v>
      </c>
      <c r="C320">
        <v>1074</v>
      </c>
      <c r="D320">
        <v>229</v>
      </c>
      <c r="E320">
        <v>3269.94</v>
      </c>
      <c r="F320" t="str">
        <v>B</v>
      </c>
    </row>
    <row r="321" spans="1:6" x14ac:dyDescent="0.2">
      <c r="A321" s="31">
        <v>44517</v>
      </c>
      <c r="B321" t="str">
        <v>New_Campaign</v>
      </c>
      <c r="C321">
        <v>1185</v>
      </c>
      <c r="D321">
        <v>277</v>
      </c>
      <c r="E321">
        <v>4171</v>
      </c>
      <c r="F321" t="str">
        <v>B</v>
      </c>
    </row>
    <row r="322" spans="1:6" x14ac:dyDescent="0.2">
      <c r="A322" s="31">
        <v>44518</v>
      </c>
      <c r="B322" t="str">
        <v>New_Campaign</v>
      </c>
      <c r="C322">
        <v>1188</v>
      </c>
      <c r="D322">
        <v>266</v>
      </c>
      <c r="E322">
        <v>2749.29</v>
      </c>
      <c r="F322" t="str">
        <v>B</v>
      </c>
    </row>
    <row r="323" spans="1:6" x14ac:dyDescent="0.2">
      <c r="A323" s="31">
        <v>44519</v>
      </c>
      <c r="B323" t="str">
        <v>New_Campaign</v>
      </c>
      <c r="C323">
        <v>1153</v>
      </c>
      <c r="D323">
        <v>274</v>
      </c>
      <c r="E323">
        <v>4630.17</v>
      </c>
      <c r="F323" t="str">
        <v>B</v>
      </c>
    </row>
    <row r="324" spans="1:6" x14ac:dyDescent="0.2">
      <c r="A324" s="31">
        <v>44520</v>
      </c>
      <c r="B324" t="str">
        <v>New_Campaign</v>
      </c>
      <c r="C324">
        <v>1142</v>
      </c>
      <c r="D324">
        <v>262</v>
      </c>
      <c r="E324">
        <v>4281.32</v>
      </c>
      <c r="F324" t="str">
        <v>B</v>
      </c>
    </row>
    <row r="325" spans="1:6" x14ac:dyDescent="0.2">
      <c r="A325" s="31">
        <v>44521</v>
      </c>
      <c r="B325" t="str">
        <v>New_Campaign</v>
      </c>
      <c r="C325">
        <v>1184</v>
      </c>
      <c r="D325">
        <v>281</v>
      </c>
      <c r="E325">
        <v>4307.0200000000004</v>
      </c>
      <c r="F325" t="str">
        <v>B</v>
      </c>
    </row>
    <row r="326" spans="1:6" x14ac:dyDescent="0.2">
      <c r="A326" s="31">
        <v>44522</v>
      </c>
      <c r="B326" t="str">
        <v>New_Campaign</v>
      </c>
      <c r="C326">
        <v>1140</v>
      </c>
      <c r="D326">
        <v>246</v>
      </c>
      <c r="E326">
        <v>4036.56</v>
      </c>
      <c r="F326" t="str">
        <v>B</v>
      </c>
    </row>
    <row r="327" spans="1:6" x14ac:dyDescent="0.2">
      <c r="A327" s="31">
        <v>44523</v>
      </c>
      <c r="B327" t="str">
        <v>New_Campaign</v>
      </c>
      <c r="C327">
        <v>1150</v>
      </c>
      <c r="D327">
        <v>289</v>
      </c>
      <c r="E327">
        <v>4809.88</v>
      </c>
      <c r="F327" t="str">
        <v>B</v>
      </c>
    </row>
    <row r="328" spans="1:6" x14ac:dyDescent="0.2">
      <c r="A328" s="31">
        <v>44524</v>
      </c>
      <c r="B328" t="str">
        <v>New_Campaign</v>
      </c>
      <c r="C328">
        <v>1174</v>
      </c>
      <c r="D328">
        <v>253</v>
      </c>
      <c r="E328">
        <v>4967.9399999999996</v>
      </c>
      <c r="F328" t="str">
        <v>B</v>
      </c>
    </row>
    <row r="329" spans="1:6" x14ac:dyDescent="0.2">
      <c r="A329" s="31">
        <v>44525</v>
      </c>
      <c r="B329" t="str">
        <v>New_Campaign</v>
      </c>
      <c r="C329">
        <v>1189</v>
      </c>
      <c r="D329">
        <v>286</v>
      </c>
      <c r="E329">
        <v>4753.32</v>
      </c>
      <c r="F329" t="str">
        <v>B</v>
      </c>
    </row>
    <row r="330" spans="1:6" x14ac:dyDescent="0.2">
      <c r="A330" s="31">
        <v>44526</v>
      </c>
      <c r="B330" t="str">
        <v>New_Campaign</v>
      </c>
      <c r="C330">
        <v>1173</v>
      </c>
      <c r="D330">
        <v>235</v>
      </c>
      <c r="E330">
        <v>3957.22</v>
      </c>
      <c r="F330" t="str">
        <v>B</v>
      </c>
    </row>
    <row r="331" spans="1:6" x14ac:dyDescent="0.2">
      <c r="A331" s="31">
        <v>44527</v>
      </c>
      <c r="B331" t="str">
        <v>New_Campaign</v>
      </c>
      <c r="C331">
        <v>1218</v>
      </c>
      <c r="D331">
        <v>301</v>
      </c>
      <c r="E331">
        <v>5033.57</v>
      </c>
      <c r="F331" t="str">
        <v>B</v>
      </c>
    </row>
    <row r="332" spans="1:6" x14ac:dyDescent="0.2">
      <c r="A332" s="31">
        <v>44528</v>
      </c>
      <c r="B332" t="str">
        <v>New_Campaign</v>
      </c>
      <c r="C332">
        <v>1177</v>
      </c>
      <c r="D332">
        <v>262</v>
      </c>
      <c r="E332">
        <v>3558.23</v>
      </c>
      <c r="F332" t="str">
        <v>B</v>
      </c>
    </row>
    <row r="333" spans="1:6" x14ac:dyDescent="0.2">
      <c r="A333" s="31">
        <v>44529</v>
      </c>
      <c r="B333" t="str">
        <v>New_Campaign</v>
      </c>
      <c r="C333">
        <v>1211</v>
      </c>
      <c r="D333">
        <v>279</v>
      </c>
      <c r="E333">
        <v>4264.22</v>
      </c>
      <c r="F333" t="str">
        <v>B</v>
      </c>
    </row>
    <row r="334" spans="1:6" x14ac:dyDescent="0.2">
      <c r="A334" s="31">
        <v>44530</v>
      </c>
      <c r="B334" t="str">
        <v>New_Campaign</v>
      </c>
      <c r="C334">
        <v>1158</v>
      </c>
      <c r="D334">
        <v>298</v>
      </c>
      <c r="E334">
        <v>4745.6099999999997</v>
      </c>
      <c r="F334" t="str">
        <v>B</v>
      </c>
    </row>
    <row r="335" spans="1:6" x14ac:dyDescent="0.2">
      <c r="A335" s="31">
        <v>44531</v>
      </c>
      <c r="B335" t="str">
        <v>New_Campaign</v>
      </c>
      <c r="C335">
        <v>1074</v>
      </c>
      <c r="D335">
        <v>250</v>
      </c>
      <c r="E335">
        <v>2936.39</v>
      </c>
      <c r="F335" t="str">
        <v>B</v>
      </c>
    </row>
    <row r="336" spans="1:6" x14ac:dyDescent="0.2">
      <c r="A336" s="31">
        <v>44532</v>
      </c>
      <c r="B336" t="str">
        <v>New_Campaign</v>
      </c>
      <c r="C336">
        <v>1133</v>
      </c>
      <c r="D336">
        <v>278</v>
      </c>
      <c r="E336">
        <v>4239.6000000000004</v>
      </c>
      <c r="F336" t="str">
        <v>B</v>
      </c>
    </row>
    <row r="337" spans="1:6" x14ac:dyDescent="0.2">
      <c r="A337" s="31">
        <v>44533</v>
      </c>
      <c r="B337" t="str">
        <v>New_Campaign</v>
      </c>
      <c r="C337">
        <v>1136</v>
      </c>
      <c r="D337">
        <v>239</v>
      </c>
      <c r="E337">
        <v>3491.98</v>
      </c>
      <c r="F337" t="str">
        <v>B</v>
      </c>
    </row>
    <row r="338" spans="1:6" x14ac:dyDescent="0.2">
      <c r="A338" s="31">
        <v>44534</v>
      </c>
      <c r="B338" t="str">
        <v>New_Campaign</v>
      </c>
      <c r="C338">
        <v>1141</v>
      </c>
      <c r="D338">
        <v>274</v>
      </c>
      <c r="E338">
        <v>3971.67</v>
      </c>
      <c r="F338" t="str">
        <v>B</v>
      </c>
    </row>
    <row r="339" spans="1:6" x14ac:dyDescent="0.2">
      <c r="A339" s="31">
        <v>44535</v>
      </c>
      <c r="B339" t="str">
        <v>New_Campaign</v>
      </c>
      <c r="C339">
        <v>1193</v>
      </c>
      <c r="D339">
        <v>277</v>
      </c>
      <c r="E339">
        <v>5445.61</v>
      </c>
      <c r="F339" t="str">
        <v>B</v>
      </c>
    </row>
    <row r="340" spans="1:6" x14ac:dyDescent="0.2">
      <c r="A340" s="31">
        <v>44536</v>
      </c>
      <c r="B340" t="str">
        <v>New_Campaign</v>
      </c>
      <c r="C340">
        <v>1215</v>
      </c>
      <c r="D340">
        <v>285</v>
      </c>
      <c r="E340">
        <v>4809.2700000000004</v>
      </c>
      <c r="F340" t="str">
        <v>B</v>
      </c>
    </row>
    <row r="341" spans="1:6" x14ac:dyDescent="0.2">
      <c r="A341" s="31">
        <v>44537</v>
      </c>
      <c r="B341" t="str">
        <v>New_Campaign</v>
      </c>
      <c r="C341">
        <v>1178</v>
      </c>
      <c r="D341">
        <v>286</v>
      </c>
      <c r="E341">
        <v>4188.76</v>
      </c>
      <c r="F341" t="str">
        <v>B</v>
      </c>
    </row>
    <row r="342" spans="1:6" x14ac:dyDescent="0.2">
      <c r="A342" s="31">
        <v>44538</v>
      </c>
      <c r="B342" t="str">
        <v>New_Campaign</v>
      </c>
      <c r="C342">
        <v>1168</v>
      </c>
      <c r="D342">
        <v>279</v>
      </c>
      <c r="E342">
        <v>5313.97</v>
      </c>
      <c r="F342" t="str">
        <v>B</v>
      </c>
    </row>
    <row r="343" spans="1:6" x14ac:dyDescent="0.2">
      <c r="A343" s="31">
        <v>44539</v>
      </c>
      <c r="B343" t="str">
        <v>New_Campaign</v>
      </c>
      <c r="C343">
        <v>1120</v>
      </c>
      <c r="D343">
        <v>246</v>
      </c>
      <c r="E343">
        <v>4278.04</v>
      </c>
      <c r="F343" t="str">
        <v>B</v>
      </c>
    </row>
    <row r="344" spans="1:6" x14ac:dyDescent="0.2">
      <c r="A344" s="31">
        <v>44540</v>
      </c>
      <c r="B344" t="str">
        <v>New_Campaign</v>
      </c>
      <c r="C344">
        <v>1133</v>
      </c>
      <c r="D344">
        <v>258</v>
      </c>
      <c r="E344">
        <v>4107.87</v>
      </c>
      <c r="F344" t="str">
        <v>B</v>
      </c>
    </row>
    <row r="345" spans="1:6" x14ac:dyDescent="0.2">
      <c r="A345" s="31">
        <v>44541</v>
      </c>
      <c r="B345" t="str">
        <v>New_Campaign</v>
      </c>
      <c r="C345">
        <v>1129</v>
      </c>
      <c r="D345">
        <v>309</v>
      </c>
      <c r="E345">
        <v>5061.1000000000004</v>
      </c>
      <c r="F345" t="str">
        <v>B</v>
      </c>
    </row>
    <row r="346" spans="1:6" x14ac:dyDescent="0.2">
      <c r="A346" s="31">
        <v>44542</v>
      </c>
      <c r="B346" t="str">
        <v>New_Campaign</v>
      </c>
      <c r="C346">
        <v>1207</v>
      </c>
      <c r="D346">
        <v>263</v>
      </c>
      <c r="E346">
        <v>4764.8900000000003</v>
      </c>
      <c r="F346" t="str">
        <v>B</v>
      </c>
    </row>
    <row r="347" spans="1:6" x14ac:dyDescent="0.2">
      <c r="A347" s="31">
        <v>44543</v>
      </c>
      <c r="B347" t="str">
        <v>New_Campaign</v>
      </c>
      <c r="C347">
        <v>1166</v>
      </c>
      <c r="D347">
        <v>293</v>
      </c>
      <c r="E347">
        <v>4270.6400000000003</v>
      </c>
      <c r="F347" t="str">
        <v>B</v>
      </c>
    </row>
    <row r="348" spans="1:6" x14ac:dyDescent="0.2">
      <c r="A348" s="31">
        <v>44544</v>
      </c>
      <c r="B348" t="str">
        <v>New_Campaign</v>
      </c>
      <c r="C348">
        <v>1099</v>
      </c>
      <c r="D348">
        <v>258</v>
      </c>
      <c r="E348">
        <v>4461.59</v>
      </c>
      <c r="F348" t="str">
        <v>B</v>
      </c>
    </row>
    <row r="349" spans="1:6" x14ac:dyDescent="0.2">
      <c r="A349" s="31">
        <v>44545</v>
      </c>
      <c r="B349" t="str">
        <v>New_Campaign</v>
      </c>
      <c r="C349">
        <v>1235</v>
      </c>
      <c r="D349">
        <v>304</v>
      </c>
      <c r="E349">
        <v>4945.6499999999996</v>
      </c>
      <c r="F349" t="str">
        <v>B</v>
      </c>
    </row>
    <row r="350" spans="1:6" x14ac:dyDescent="0.2">
      <c r="A350" s="31">
        <v>44546</v>
      </c>
      <c r="B350" t="str">
        <v>New_Campaign</v>
      </c>
      <c r="C350">
        <v>1131</v>
      </c>
      <c r="D350">
        <v>240</v>
      </c>
      <c r="E350">
        <v>3738.4</v>
      </c>
      <c r="F350" t="str">
        <v>B</v>
      </c>
    </row>
    <row r="351" spans="1:6" x14ac:dyDescent="0.2">
      <c r="A351" s="31">
        <v>44547</v>
      </c>
      <c r="B351" t="str">
        <v>New_Campaign</v>
      </c>
      <c r="C351">
        <v>1140</v>
      </c>
      <c r="D351">
        <v>240</v>
      </c>
      <c r="E351">
        <v>3323.85</v>
      </c>
      <c r="F351" t="str">
        <v>B</v>
      </c>
    </row>
    <row r="352" spans="1:6" x14ac:dyDescent="0.2">
      <c r="A352" s="31">
        <v>44548</v>
      </c>
      <c r="B352" t="str">
        <v>New_Campaign</v>
      </c>
      <c r="C352">
        <v>1176</v>
      </c>
      <c r="D352">
        <v>271</v>
      </c>
      <c r="E352">
        <v>4911.26</v>
      </c>
      <c r="F352" t="str">
        <v>B</v>
      </c>
    </row>
    <row r="353" spans="1:6" x14ac:dyDescent="0.2">
      <c r="A353" s="31">
        <v>44549</v>
      </c>
      <c r="B353" t="str">
        <v>New_Campaign</v>
      </c>
      <c r="C353">
        <v>1190</v>
      </c>
      <c r="D353">
        <v>251</v>
      </c>
      <c r="E353">
        <v>3506.59</v>
      </c>
      <c r="F353" t="str">
        <v>B</v>
      </c>
    </row>
    <row r="354" spans="1:6" x14ac:dyDescent="0.2">
      <c r="A354" s="31">
        <v>44550</v>
      </c>
      <c r="B354" t="str">
        <v>New_Campaign</v>
      </c>
      <c r="C354">
        <v>1154</v>
      </c>
      <c r="D354">
        <v>269</v>
      </c>
      <c r="E354">
        <v>3817.61</v>
      </c>
      <c r="F354" t="str">
        <v>B</v>
      </c>
    </row>
    <row r="355" spans="1:6" x14ac:dyDescent="0.2">
      <c r="A355" s="31">
        <v>44551</v>
      </c>
      <c r="B355" t="str">
        <v>New_Campaign</v>
      </c>
      <c r="C355">
        <v>1201</v>
      </c>
      <c r="D355">
        <v>280</v>
      </c>
      <c r="E355">
        <v>3614.39</v>
      </c>
      <c r="F355" t="str">
        <v>B</v>
      </c>
    </row>
    <row r="356" spans="1:6" x14ac:dyDescent="0.2">
      <c r="A356" s="31">
        <v>44552</v>
      </c>
      <c r="B356" t="str">
        <v>New_Campaign</v>
      </c>
      <c r="C356">
        <v>1136</v>
      </c>
      <c r="D356">
        <v>253</v>
      </c>
      <c r="E356">
        <v>4956.96</v>
      </c>
      <c r="F356" t="str">
        <v>B</v>
      </c>
    </row>
    <row r="357" spans="1:6" x14ac:dyDescent="0.2">
      <c r="A357" s="31">
        <v>44553</v>
      </c>
      <c r="B357" t="str">
        <v>New_Campaign</v>
      </c>
      <c r="C357">
        <v>1177</v>
      </c>
      <c r="D357">
        <v>261</v>
      </c>
      <c r="E357">
        <v>5026.0600000000004</v>
      </c>
      <c r="F357" t="str">
        <v>B</v>
      </c>
    </row>
    <row r="358" spans="1:6" x14ac:dyDescent="0.2">
      <c r="A358" s="31">
        <v>44554</v>
      </c>
      <c r="B358" t="str">
        <v>New_Campaign</v>
      </c>
      <c r="C358">
        <v>1134</v>
      </c>
      <c r="D358">
        <v>250</v>
      </c>
      <c r="E358">
        <v>3917.18</v>
      </c>
      <c r="F358" t="str">
        <v>B</v>
      </c>
    </row>
    <row r="359" spans="1:6" x14ac:dyDescent="0.2">
      <c r="A359" s="31">
        <v>44555</v>
      </c>
      <c r="B359" t="str">
        <v>New_Campaign</v>
      </c>
      <c r="C359">
        <v>1166</v>
      </c>
      <c r="D359">
        <v>294</v>
      </c>
      <c r="E359">
        <v>3907</v>
      </c>
      <c r="F359" t="str">
        <v>B</v>
      </c>
    </row>
    <row r="360" spans="1:6" x14ac:dyDescent="0.2">
      <c r="A360" s="31">
        <v>44556</v>
      </c>
      <c r="B360" t="str">
        <v>New_Campaign</v>
      </c>
      <c r="C360">
        <v>1140</v>
      </c>
      <c r="D360">
        <v>257</v>
      </c>
      <c r="E360">
        <v>5040.8999999999996</v>
      </c>
      <c r="F360" t="str">
        <v>B</v>
      </c>
    </row>
    <row r="361" spans="1:6" x14ac:dyDescent="0.2">
      <c r="A361" s="31">
        <v>44557</v>
      </c>
      <c r="B361" t="str">
        <v>New_Campaign</v>
      </c>
      <c r="C361">
        <v>1194</v>
      </c>
      <c r="D361">
        <v>266</v>
      </c>
      <c r="E361">
        <v>4889.37</v>
      </c>
      <c r="F361" t="str">
        <v>B</v>
      </c>
    </row>
    <row r="362" spans="1:6" x14ac:dyDescent="0.2">
      <c r="A362" s="31">
        <v>44558</v>
      </c>
      <c r="B362" t="str">
        <v>New_Campaign</v>
      </c>
      <c r="C362">
        <v>1109</v>
      </c>
      <c r="D362">
        <v>257</v>
      </c>
      <c r="E362">
        <v>3699.35</v>
      </c>
      <c r="F362" t="str">
        <v>B</v>
      </c>
    </row>
    <row r="363" spans="1:6" x14ac:dyDescent="0.2">
      <c r="A363" s="31">
        <v>44559</v>
      </c>
      <c r="B363" t="str">
        <v>New_Campaign</v>
      </c>
      <c r="C363">
        <v>1186</v>
      </c>
      <c r="D363">
        <v>258</v>
      </c>
      <c r="E363">
        <v>3919.33</v>
      </c>
      <c r="F363" t="str">
        <v>B</v>
      </c>
    </row>
    <row r="364" spans="1:6" x14ac:dyDescent="0.2">
      <c r="A364" s="31">
        <v>44560</v>
      </c>
      <c r="B364" t="str">
        <v>New_Campaign</v>
      </c>
      <c r="C364">
        <v>1158</v>
      </c>
      <c r="D364">
        <v>242</v>
      </c>
      <c r="E364">
        <v>2646.39</v>
      </c>
      <c r="F364" t="str">
        <v>B</v>
      </c>
    </row>
    <row r="365" spans="1:6" x14ac:dyDescent="0.2">
      <c r="A365" s="31">
        <v>44561</v>
      </c>
      <c r="B365" t="str">
        <v>New_Campaign</v>
      </c>
      <c r="C365">
        <v>1138</v>
      </c>
      <c r="D365">
        <v>261</v>
      </c>
      <c r="E365">
        <v>3741.66</v>
      </c>
      <c r="F365" t="str">
        <v>B</v>
      </c>
    </row>
    <row r="366" spans="1:6" x14ac:dyDescent="0.2">
      <c r="A366" s="31">
        <v>44562</v>
      </c>
      <c r="B366" t="str">
        <v>New_Campaign</v>
      </c>
      <c r="C366">
        <v>1158</v>
      </c>
      <c r="D366">
        <v>273</v>
      </c>
      <c r="E366">
        <v>4596.34</v>
      </c>
      <c r="F366" t="str">
        <v>B</v>
      </c>
    </row>
    <row r="367" spans="1:6" x14ac:dyDescent="0.2">
      <c r="A367" s="31">
        <v>44563</v>
      </c>
      <c r="B367" t="str">
        <v>New_Campaign</v>
      </c>
      <c r="C367">
        <v>1120</v>
      </c>
      <c r="D367">
        <v>276</v>
      </c>
      <c r="E367">
        <v>4906.75</v>
      </c>
      <c r="F367" t="str">
        <v>B</v>
      </c>
    </row>
    <row r="368" spans="1:6" x14ac:dyDescent="0.2">
      <c r="A368" s="31">
        <v>44564</v>
      </c>
      <c r="B368" t="str">
        <v>New_Campaign</v>
      </c>
      <c r="C368">
        <v>1112</v>
      </c>
      <c r="D368">
        <v>253</v>
      </c>
      <c r="E368">
        <v>3640.69</v>
      </c>
      <c r="F368" t="str">
        <v>B</v>
      </c>
    </row>
    <row r="369" spans="1:6" x14ac:dyDescent="0.2">
      <c r="A369" s="31">
        <v>44565</v>
      </c>
      <c r="B369" t="str">
        <v>New_Campaign</v>
      </c>
      <c r="C369">
        <v>1109</v>
      </c>
      <c r="D369">
        <v>256</v>
      </c>
      <c r="E369">
        <v>3903.33</v>
      </c>
      <c r="F369" t="str">
        <v>B</v>
      </c>
    </row>
    <row r="370" spans="1:6" x14ac:dyDescent="0.2">
      <c r="A370" s="31">
        <v>44566</v>
      </c>
      <c r="B370" t="str">
        <v>New_Campaign</v>
      </c>
      <c r="C370">
        <v>1164</v>
      </c>
      <c r="D370">
        <v>238</v>
      </c>
      <c r="E370">
        <v>3171.72</v>
      </c>
      <c r="F370" t="str">
        <v>B</v>
      </c>
    </row>
    <row r="371" spans="1:6" x14ac:dyDescent="0.2">
      <c r="A371" s="31">
        <v>44567</v>
      </c>
      <c r="B371" t="str">
        <v>New_Campaign</v>
      </c>
      <c r="C371">
        <v>1124</v>
      </c>
      <c r="D371">
        <v>288</v>
      </c>
      <c r="E371">
        <v>3997.09</v>
      </c>
      <c r="F371" t="str">
        <v>B</v>
      </c>
    </row>
    <row r="372" spans="1:6" x14ac:dyDescent="0.2">
      <c r="A372" s="31">
        <v>44568</v>
      </c>
      <c r="B372" t="str">
        <v>New_Campaign</v>
      </c>
      <c r="C372">
        <v>1141</v>
      </c>
      <c r="D372">
        <v>279</v>
      </c>
      <c r="E372">
        <v>5237.58</v>
      </c>
      <c r="F372" t="str">
        <v>B</v>
      </c>
    </row>
    <row r="373" spans="1:6" x14ac:dyDescent="0.2">
      <c r="A373" s="31">
        <v>44569</v>
      </c>
      <c r="B373" t="str">
        <v>New_Campaign</v>
      </c>
      <c r="C373">
        <v>1131</v>
      </c>
      <c r="D373">
        <v>267</v>
      </c>
      <c r="E373">
        <v>4627.07</v>
      </c>
      <c r="F373" t="str">
        <v>B</v>
      </c>
    </row>
    <row r="374" spans="1:6" x14ac:dyDescent="0.2">
      <c r="A374" s="31">
        <v>44570</v>
      </c>
      <c r="B374" t="str">
        <v>New_Campaign</v>
      </c>
      <c r="C374">
        <v>1135</v>
      </c>
      <c r="D374">
        <v>259</v>
      </c>
      <c r="E374">
        <v>3959.24</v>
      </c>
      <c r="F374" t="str">
        <v>B</v>
      </c>
    </row>
    <row r="375" spans="1:6" x14ac:dyDescent="0.2">
      <c r="A375" s="31">
        <v>44571</v>
      </c>
      <c r="B375" t="str">
        <v>New_Campaign</v>
      </c>
      <c r="C375">
        <v>1142</v>
      </c>
      <c r="D375">
        <v>270</v>
      </c>
      <c r="E375">
        <v>3846.54</v>
      </c>
      <c r="F375" t="str">
        <v>B</v>
      </c>
    </row>
    <row r="376" spans="1:6" x14ac:dyDescent="0.2">
      <c r="A376" s="31">
        <v>44572</v>
      </c>
      <c r="B376" t="str">
        <v>New_Campaign</v>
      </c>
      <c r="C376">
        <v>1140</v>
      </c>
      <c r="D376">
        <v>239</v>
      </c>
      <c r="E376">
        <v>2764.36</v>
      </c>
      <c r="F376" t="str">
        <v>B</v>
      </c>
    </row>
    <row r="377" spans="1:6" x14ac:dyDescent="0.2">
      <c r="A377" s="31">
        <v>44573</v>
      </c>
      <c r="B377" t="str">
        <v>New_Campaign</v>
      </c>
      <c r="C377">
        <v>1142</v>
      </c>
      <c r="D377">
        <v>271</v>
      </c>
      <c r="E377">
        <v>5456.81</v>
      </c>
      <c r="F377" t="str">
        <v>B</v>
      </c>
    </row>
    <row r="378" spans="1:6" x14ac:dyDescent="0.2">
      <c r="A378" s="31">
        <v>44574</v>
      </c>
      <c r="B378" t="str">
        <v>New_Campaign</v>
      </c>
      <c r="C378">
        <v>1180</v>
      </c>
      <c r="D378">
        <v>262</v>
      </c>
      <c r="E378">
        <v>3766.3</v>
      </c>
      <c r="F378" t="str">
        <v>B</v>
      </c>
    </row>
    <row r="379" spans="1:6" x14ac:dyDescent="0.2">
      <c r="A379" s="31">
        <v>44575</v>
      </c>
      <c r="B379" t="str">
        <v>New_Campaign</v>
      </c>
      <c r="C379">
        <v>1125</v>
      </c>
      <c r="D379">
        <v>269</v>
      </c>
      <c r="E379">
        <v>4284.7299999999996</v>
      </c>
      <c r="F379" t="str">
        <v>B</v>
      </c>
    </row>
    <row r="380" spans="1:6" x14ac:dyDescent="0.2">
      <c r="A380" s="31">
        <v>44576</v>
      </c>
      <c r="B380" t="str">
        <v>New_Campaign</v>
      </c>
      <c r="C380">
        <v>1114</v>
      </c>
      <c r="D380">
        <v>243</v>
      </c>
      <c r="E380">
        <v>3947.82</v>
      </c>
      <c r="F380" t="str">
        <v>B</v>
      </c>
    </row>
    <row r="381" spans="1:6" x14ac:dyDescent="0.2">
      <c r="A381" s="31">
        <v>44577</v>
      </c>
      <c r="B381" t="str">
        <v>New_Campaign</v>
      </c>
      <c r="C381">
        <v>1199</v>
      </c>
      <c r="D381">
        <v>279</v>
      </c>
      <c r="E381">
        <v>5063.47</v>
      </c>
      <c r="F381" t="str">
        <v>B</v>
      </c>
    </row>
    <row r="382" spans="1:6" x14ac:dyDescent="0.2">
      <c r="A382" s="31">
        <v>44578</v>
      </c>
      <c r="B382" t="str">
        <v>New_Campaign</v>
      </c>
      <c r="C382">
        <v>1124</v>
      </c>
      <c r="D382">
        <v>265</v>
      </c>
      <c r="E382">
        <v>3901.71</v>
      </c>
      <c r="F382" t="str">
        <v>B</v>
      </c>
    </row>
    <row r="383" spans="1:6" x14ac:dyDescent="0.2">
      <c r="A383" s="31">
        <v>44579</v>
      </c>
      <c r="B383" t="str">
        <v>New_Campaign</v>
      </c>
      <c r="C383">
        <v>1120</v>
      </c>
      <c r="D383">
        <v>252</v>
      </c>
      <c r="E383">
        <v>3380.07</v>
      </c>
      <c r="F383" t="str">
        <v>B</v>
      </c>
    </row>
    <row r="384" spans="1:6" x14ac:dyDescent="0.2">
      <c r="A384" s="31">
        <v>44580</v>
      </c>
      <c r="B384" t="str">
        <v>New_Campaign</v>
      </c>
      <c r="C384">
        <v>1166</v>
      </c>
      <c r="D384">
        <v>239</v>
      </c>
      <c r="E384">
        <v>3116.83</v>
      </c>
      <c r="F384" t="str">
        <v>B</v>
      </c>
    </row>
    <row r="385" spans="1:6" x14ac:dyDescent="0.2">
      <c r="A385" s="31">
        <v>44581</v>
      </c>
      <c r="B385" t="str">
        <v>New_Campaign</v>
      </c>
      <c r="C385">
        <v>1125</v>
      </c>
      <c r="D385">
        <v>240</v>
      </c>
      <c r="E385">
        <v>3730.81</v>
      </c>
      <c r="F385" t="str">
        <v>B</v>
      </c>
    </row>
    <row r="386" spans="1:6" x14ac:dyDescent="0.2">
      <c r="A386" s="31">
        <v>44582</v>
      </c>
      <c r="B386" t="str">
        <v>New_Campaign</v>
      </c>
      <c r="C386">
        <v>1141</v>
      </c>
      <c r="D386">
        <v>293</v>
      </c>
      <c r="E386">
        <v>5322.04</v>
      </c>
      <c r="F386" t="str">
        <v>B</v>
      </c>
    </row>
    <row r="387" spans="1:6" x14ac:dyDescent="0.2">
      <c r="A387" s="31">
        <v>44583</v>
      </c>
      <c r="B387" t="str">
        <v>New_Campaign</v>
      </c>
      <c r="C387">
        <v>1157</v>
      </c>
      <c r="D387">
        <v>279</v>
      </c>
      <c r="E387">
        <v>4963.21</v>
      </c>
      <c r="F387" t="str">
        <v>B</v>
      </c>
    </row>
    <row r="388" spans="1:6" x14ac:dyDescent="0.2">
      <c r="A388" s="31">
        <v>44584</v>
      </c>
      <c r="B388" t="str">
        <v>New_Campaign</v>
      </c>
      <c r="C388">
        <v>1117</v>
      </c>
      <c r="D388">
        <v>281</v>
      </c>
      <c r="E388">
        <v>4140.3900000000003</v>
      </c>
      <c r="F388" t="str">
        <v>B</v>
      </c>
    </row>
    <row r="389" spans="1:6" x14ac:dyDescent="0.2">
      <c r="A389" s="31">
        <v>44585</v>
      </c>
      <c r="B389" t="str">
        <v>New_Campaign</v>
      </c>
      <c r="C389">
        <v>1134</v>
      </c>
      <c r="D389">
        <v>278</v>
      </c>
      <c r="E389">
        <v>4702.54</v>
      </c>
      <c r="F389" t="str">
        <v>B</v>
      </c>
    </row>
    <row r="390" spans="1:6" x14ac:dyDescent="0.2">
      <c r="A390" s="31">
        <v>44586</v>
      </c>
      <c r="B390" t="str">
        <v>New_Campaign</v>
      </c>
      <c r="C390">
        <v>1109</v>
      </c>
      <c r="D390">
        <v>225</v>
      </c>
      <c r="E390">
        <v>3847.86</v>
      </c>
      <c r="F390" t="str">
        <v>B</v>
      </c>
    </row>
    <row r="391" spans="1:6" x14ac:dyDescent="0.2">
      <c r="A391" s="31">
        <v>44587</v>
      </c>
      <c r="B391" t="str">
        <v>New_Campaign</v>
      </c>
      <c r="C391">
        <v>1183</v>
      </c>
      <c r="D391">
        <v>251</v>
      </c>
      <c r="E391">
        <v>3650.51</v>
      </c>
      <c r="F391" t="str">
        <v>B</v>
      </c>
    </row>
    <row r="392" spans="1:6" x14ac:dyDescent="0.2">
      <c r="A392" s="31">
        <v>44588</v>
      </c>
      <c r="B392" t="str">
        <v>New_Campaign</v>
      </c>
      <c r="C392">
        <v>1168</v>
      </c>
      <c r="D392">
        <v>284</v>
      </c>
      <c r="E392">
        <v>5039.4799999999996</v>
      </c>
      <c r="F392" t="str">
        <v>B</v>
      </c>
    </row>
    <row r="393" spans="1:6" x14ac:dyDescent="0.2">
      <c r="A393" s="31">
        <v>44589</v>
      </c>
      <c r="B393" t="str">
        <v>New_Campaign</v>
      </c>
      <c r="C393">
        <v>1188</v>
      </c>
      <c r="D393">
        <v>261</v>
      </c>
      <c r="E393">
        <v>3970.58</v>
      </c>
      <c r="F393" t="str">
        <v>B</v>
      </c>
    </row>
    <row r="394" spans="1:6" x14ac:dyDescent="0.2">
      <c r="A394" s="31">
        <v>44590</v>
      </c>
      <c r="B394" t="str">
        <v>New_Campaign</v>
      </c>
      <c r="C394">
        <v>1100</v>
      </c>
      <c r="D394">
        <v>244</v>
      </c>
      <c r="E394">
        <v>4313.66</v>
      </c>
      <c r="F394" t="str">
        <v>B</v>
      </c>
    </row>
    <row r="395" spans="1:6" x14ac:dyDescent="0.2">
      <c r="A395" s="31">
        <v>44591</v>
      </c>
      <c r="B395" t="str">
        <v>New_Campaign</v>
      </c>
      <c r="C395">
        <v>1126</v>
      </c>
      <c r="D395">
        <v>223</v>
      </c>
      <c r="E395">
        <v>4215.87</v>
      </c>
      <c r="F395" t="str">
        <v>B</v>
      </c>
    </row>
    <row r="396" spans="1:6" x14ac:dyDescent="0.2">
      <c r="A396" s="31">
        <v>44592</v>
      </c>
      <c r="B396" t="str">
        <v>New_Campaign</v>
      </c>
      <c r="C396">
        <v>1137</v>
      </c>
      <c r="D396">
        <v>261</v>
      </c>
      <c r="E396">
        <v>4196.59</v>
      </c>
      <c r="F396" t="str">
        <v>B</v>
      </c>
    </row>
    <row r="397" spans="1:6" x14ac:dyDescent="0.2">
      <c r="A397" s="31">
        <v>44593</v>
      </c>
      <c r="B397" t="str">
        <v>New_Campaign</v>
      </c>
      <c r="C397">
        <v>1166</v>
      </c>
      <c r="D397">
        <v>274</v>
      </c>
      <c r="E397">
        <v>4325.7299999999996</v>
      </c>
      <c r="F397" t="str">
        <v>B</v>
      </c>
    </row>
    <row r="398" spans="1:6" x14ac:dyDescent="0.2">
      <c r="A398" s="31">
        <v>44594</v>
      </c>
      <c r="B398" t="str">
        <v>New_Campaign</v>
      </c>
      <c r="C398">
        <v>1151</v>
      </c>
      <c r="D398">
        <v>262</v>
      </c>
      <c r="E398">
        <v>3758.03</v>
      </c>
      <c r="F398" t="str">
        <v>B</v>
      </c>
    </row>
    <row r="399" spans="1:6" x14ac:dyDescent="0.2">
      <c r="A399" s="31">
        <v>44595</v>
      </c>
      <c r="B399" t="str">
        <v>New_Campaign</v>
      </c>
      <c r="C399">
        <v>1120</v>
      </c>
      <c r="D399">
        <v>247</v>
      </c>
      <c r="E399">
        <v>3286.06</v>
      </c>
      <c r="F399" t="str">
        <v>B</v>
      </c>
    </row>
    <row r="400" spans="1:6" x14ac:dyDescent="0.2">
      <c r="A400" s="31">
        <v>44596</v>
      </c>
      <c r="B400" t="str">
        <v>New_Campaign</v>
      </c>
      <c r="C400">
        <v>1138</v>
      </c>
      <c r="D400">
        <v>246</v>
      </c>
      <c r="E400">
        <v>4023.81</v>
      </c>
      <c r="F400" t="str">
        <v>B</v>
      </c>
    </row>
    <row r="401" spans="1:6" x14ac:dyDescent="0.2">
      <c r="A401" s="31">
        <v>44597</v>
      </c>
      <c r="B401" t="str">
        <v>New_Campaign</v>
      </c>
      <c r="C401">
        <v>1134</v>
      </c>
      <c r="D401">
        <v>238</v>
      </c>
      <c r="E401">
        <v>3594.65</v>
      </c>
      <c r="F401" t="str">
        <v>B</v>
      </c>
    </row>
    <row r="402" spans="1:6" x14ac:dyDescent="0.2">
      <c r="A402" s="31">
        <v>44598</v>
      </c>
      <c r="B402" t="str">
        <v>New_Campaign</v>
      </c>
      <c r="C402">
        <v>1148</v>
      </c>
      <c r="D402">
        <v>257</v>
      </c>
      <c r="E402">
        <v>4100.55</v>
      </c>
      <c r="F402" t="str">
        <v>B</v>
      </c>
    </row>
    <row r="403" spans="1:6" x14ac:dyDescent="0.2">
      <c r="A403" s="31">
        <v>44599</v>
      </c>
      <c r="B403" t="str">
        <v>New_Campaign</v>
      </c>
      <c r="C403">
        <v>1134</v>
      </c>
      <c r="D403">
        <v>253</v>
      </c>
      <c r="E403">
        <v>3768.22</v>
      </c>
      <c r="F403" t="str">
        <v>B</v>
      </c>
    </row>
    <row r="404" spans="1:6" x14ac:dyDescent="0.2">
      <c r="A404" s="31">
        <v>44600</v>
      </c>
      <c r="B404" t="str">
        <v>New_Campaign</v>
      </c>
      <c r="C404">
        <v>1142</v>
      </c>
      <c r="D404">
        <v>274</v>
      </c>
      <c r="E404">
        <v>4642.41</v>
      </c>
      <c r="F404" t="str">
        <v>B</v>
      </c>
    </row>
    <row r="405" spans="1:6" x14ac:dyDescent="0.2">
      <c r="A405" s="31">
        <v>44601</v>
      </c>
      <c r="B405" t="str">
        <v>New_Campaign</v>
      </c>
      <c r="C405">
        <v>1104</v>
      </c>
      <c r="D405">
        <v>257</v>
      </c>
      <c r="E405">
        <v>3829.02</v>
      </c>
      <c r="F405" t="str">
        <v>B</v>
      </c>
    </row>
    <row r="406" spans="1:6" x14ac:dyDescent="0.2">
      <c r="A406" s="31">
        <v>44602</v>
      </c>
      <c r="B406" t="str">
        <v>New_Campaign</v>
      </c>
      <c r="C406">
        <v>1113</v>
      </c>
      <c r="D406">
        <v>242</v>
      </c>
      <c r="E406">
        <v>3672.39</v>
      </c>
      <c r="F406" t="str">
        <v>B</v>
      </c>
    </row>
    <row r="407" spans="1:6" x14ac:dyDescent="0.2">
      <c r="A407" s="31">
        <v>44603</v>
      </c>
      <c r="B407" t="str">
        <v>New_Campaign</v>
      </c>
      <c r="C407">
        <v>1138</v>
      </c>
      <c r="D407">
        <v>279</v>
      </c>
      <c r="E407">
        <v>3897.14</v>
      </c>
      <c r="F407" t="str">
        <v>B</v>
      </c>
    </row>
    <row r="408" spans="1:6" x14ac:dyDescent="0.2">
      <c r="A408" s="31">
        <v>44604</v>
      </c>
      <c r="B408" t="str">
        <v>New_Campaign</v>
      </c>
      <c r="C408">
        <v>1164</v>
      </c>
      <c r="D408">
        <v>288</v>
      </c>
      <c r="E408">
        <v>5075.0200000000004</v>
      </c>
      <c r="F408" t="str">
        <v>B</v>
      </c>
    </row>
    <row r="409" spans="1:6" x14ac:dyDescent="0.2">
      <c r="A409" s="31">
        <v>44605</v>
      </c>
      <c r="B409" t="str">
        <v>New_Campaign</v>
      </c>
      <c r="C409">
        <v>1115</v>
      </c>
      <c r="D409">
        <v>250</v>
      </c>
      <c r="E409">
        <v>3938.14</v>
      </c>
      <c r="F409" t="str">
        <v>B</v>
      </c>
    </row>
    <row r="410" spans="1:6" x14ac:dyDescent="0.2">
      <c r="A410" s="31">
        <v>44606</v>
      </c>
      <c r="B410" t="str">
        <v>New_Campaign</v>
      </c>
      <c r="C410">
        <v>1086</v>
      </c>
      <c r="D410">
        <v>246</v>
      </c>
      <c r="E410">
        <v>4172.6099999999997</v>
      </c>
      <c r="F410" t="str">
        <v>B</v>
      </c>
    </row>
    <row r="411" spans="1:6" x14ac:dyDescent="0.2">
      <c r="A411" s="31">
        <v>44607</v>
      </c>
      <c r="B411" t="str">
        <v>New_Campaign</v>
      </c>
      <c r="C411">
        <v>1117</v>
      </c>
      <c r="D411">
        <v>252</v>
      </c>
      <c r="E411">
        <v>3875.6</v>
      </c>
      <c r="F411" t="str">
        <v>B</v>
      </c>
    </row>
    <row r="412" spans="1:6" x14ac:dyDescent="0.2">
      <c r="A412" s="31">
        <v>44608</v>
      </c>
      <c r="B412" t="str">
        <v>New_Campaign</v>
      </c>
      <c r="C412">
        <v>1182</v>
      </c>
      <c r="D412">
        <v>252</v>
      </c>
      <c r="E412">
        <v>3309.69</v>
      </c>
      <c r="F412" t="str">
        <v>B</v>
      </c>
    </row>
    <row r="413" spans="1:6" x14ac:dyDescent="0.2">
      <c r="A413" s="31">
        <v>44609</v>
      </c>
      <c r="B413" t="str">
        <v>New_Campaign</v>
      </c>
      <c r="C413">
        <v>1161</v>
      </c>
      <c r="D413">
        <v>281</v>
      </c>
      <c r="E413">
        <v>4410.97</v>
      </c>
      <c r="F413" t="str">
        <v>B</v>
      </c>
    </row>
    <row r="414" spans="1:6" x14ac:dyDescent="0.2">
      <c r="A414" s="31">
        <v>44610</v>
      </c>
      <c r="B414" t="str">
        <v>New_Campaign</v>
      </c>
      <c r="C414">
        <v>1104</v>
      </c>
      <c r="D414">
        <v>281</v>
      </c>
      <c r="E414">
        <v>4374.83</v>
      </c>
      <c r="F414" t="str">
        <v>B</v>
      </c>
    </row>
    <row r="415" spans="1:6" x14ac:dyDescent="0.2">
      <c r="A415" s="31">
        <v>44611</v>
      </c>
      <c r="B415" t="str">
        <v>New_Campaign</v>
      </c>
      <c r="C415">
        <v>1153</v>
      </c>
      <c r="D415">
        <v>247</v>
      </c>
      <c r="E415">
        <v>4444.08</v>
      </c>
      <c r="F415" t="str">
        <v>B</v>
      </c>
    </row>
    <row r="416" spans="1:6" x14ac:dyDescent="0.2">
      <c r="A416" s="31">
        <v>44612</v>
      </c>
      <c r="B416" t="str">
        <v>New_Campaign</v>
      </c>
      <c r="C416">
        <v>1073</v>
      </c>
      <c r="D416">
        <v>260</v>
      </c>
      <c r="E416">
        <v>4286.3599999999997</v>
      </c>
      <c r="F416" t="str">
        <v>B</v>
      </c>
    </row>
    <row r="417" spans="1:6" x14ac:dyDescent="0.2">
      <c r="A417" s="31">
        <v>44613</v>
      </c>
      <c r="B417" t="str">
        <v>New_Campaign</v>
      </c>
      <c r="C417">
        <v>1204</v>
      </c>
      <c r="D417">
        <v>279</v>
      </c>
      <c r="E417">
        <v>4373.53</v>
      </c>
      <c r="F417" t="str">
        <v>B</v>
      </c>
    </row>
    <row r="418" spans="1:6" x14ac:dyDescent="0.2">
      <c r="A418" s="31">
        <v>44614</v>
      </c>
      <c r="B418" t="str">
        <v>New_Campaign</v>
      </c>
      <c r="C418">
        <v>1140</v>
      </c>
      <c r="D418">
        <v>260</v>
      </c>
      <c r="E418">
        <v>4357.41</v>
      </c>
      <c r="F418" t="str">
        <v>B</v>
      </c>
    </row>
    <row r="419" spans="1:6" x14ac:dyDescent="0.2">
      <c r="A419" s="31">
        <v>44615</v>
      </c>
      <c r="B419" t="str">
        <v>New_Campaign</v>
      </c>
      <c r="C419">
        <v>1154</v>
      </c>
      <c r="D419">
        <v>257</v>
      </c>
      <c r="E419">
        <v>3733.3</v>
      </c>
      <c r="F419" t="str">
        <v>B</v>
      </c>
    </row>
    <row r="420" spans="1:6" x14ac:dyDescent="0.2">
      <c r="A420" s="31">
        <v>44616</v>
      </c>
      <c r="B420" t="str">
        <v>New_Campaign</v>
      </c>
      <c r="C420">
        <v>1148</v>
      </c>
      <c r="D420">
        <v>267</v>
      </c>
      <c r="E420">
        <v>4564.8</v>
      </c>
      <c r="F420" t="str">
        <v>B</v>
      </c>
    </row>
    <row r="421" spans="1:6" x14ac:dyDescent="0.2">
      <c r="A421" s="31">
        <v>44617</v>
      </c>
      <c r="B421" t="str">
        <v>New_Campaign</v>
      </c>
      <c r="C421">
        <v>1155</v>
      </c>
      <c r="D421">
        <v>297</v>
      </c>
      <c r="E421">
        <v>5026.72</v>
      </c>
      <c r="F421" t="str">
        <v>B</v>
      </c>
    </row>
    <row r="422" spans="1:6" x14ac:dyDescent="0.2">
      <c r="A422" s="31">
        <v>44618</v>
      </c>
      <c r="B422" t="str">
        <v>New_Campaign</v>
      </c>
      <c r="C422">
        <v>1184</v>
      </c>
      <c r="D422">
        <v>276</v>
      </c>
      <c r="E422">
        <v>3989.54</v>
      </c>
      <c r="F422" t="str">
        <v>B</v>
      </c>
    </row>
    <row r="423" spans="1:6" x14ac:dyDescent="0.2">
      <c r="A423" s="31">
        <v>44619</v>
      </c>
      <c r="B423" t="str">
        <v>New_Campaign</v>
      </c>
      <c r="C423">
        <v>1115</v>
      </c>
      <c r="D423">
        <v>244</v>
      </c>
      <c r="E423">
        <v>4112.95</v>
      </c>
      <c r="F423" t="str">
        <v>B</v>
      </c>
    </row>
    <row r="424" spans="1:6" x14ac:dyDescent="0.2">
      <c r="A424" s="31">
        <v>44620</v>
      </c>
      <c r="B424" t="str">
        <v>New_Campaign</v>
      </c>
      <c r="C424">
        <v>1156</v>
      </c>
      <c r="D424">
        <v>241</v>
      </c>
      <c r="E424">
        <v>3740.56</v>
      </c>
      <c r="F424" t="str">
        <v>B</v>
      </c>
    </row>
    <row r="425" spans="1:6" x14ac:dyDescent="0.2">
      <c r="A425" s="31">
        <v>44621</v>
      </c>
      <c r="B425" t="str">
        <v>New_Campaign</v>
      </c>
      <c r="C425">
        <v>1130</v>
      </c>
      <c r="D425">
        <v>267</v>
      </c>
      <c r="E425">
        <v>4465.8999999999996</v>
      </c>
      <c r="F425" t="str">
        <v>B</v>
      </c>
    </row>
    <row r="426" spans="1:6" x14ac:dyDescent="0.2">
      <c r="A426" s="31">
        <v>44622</v>
      </c>
      <c r="B426" t="str">
        <v>New_Campaign</v>
      </c>
      <c r="C426">
        <v>1177</v>
      </c>
      <c r="D426">
        <v>259</v>
      </c>
      <c r="E426">
        <v>4243.24</v>
      </c>
      <c r="F426" t="str">
        <v>B</v>
      </c>
    </row>
    <row r="427" spans="1:6" x14ac:dyDescent="0.2">
      <c r="A427" s="31">
        <v>44623</v>
      </c>
      <c r="B427" t="str">
        <v>New_Campaign</v>
      </c>
      <c r="C427">
        <v>1117</v>
      </c>
      <c r="D427">
        <v>262</v>
      </c>
      <c r="E427">
        <v>3100.98</v>
      </c>
      <c r="F427" t="str">
        <v>B</v>
      </c>
    </row>
    <row r="428" spans="1:6" x14ac:dyDescent="0.2">
      <c r="A428" s="31">
        <v>44624</v>
      </c>
      <c r="B428" t="str">
        <v>New_Campaign</v>
      </c>
      <c r="C428">
        <v>1214</v>
      </c>
      <c r="D428">
        <v>291</v>
      </c>
      <c r="E428">
        <v>5093.1400000000003</v>
      </c>
      <c r="F428" t="str">
        <v>B</v>
      </c>
    </row>
    <row r="429" spans="1:6" x14ac:dyDescent="0.2">
      <c r="A429" s="31">
        <v>44625</v>
      </c>
      <c r="B429" t="str">
        <v>New_Campaign</v>
      </c>
      <c r="C429">
        <v>1149</v>
      </c>
      <c r="D429">
        <v>297</v>
      </c>
      <c r="E429">
        <v>4966.22</v>
      </c>
      <c r="F429" t="str">
        <v>B</v>
      </c>
    </row>
    <row r="430" spans="1:6" x14ac:dyDescent="0.2">
      <c r="A430" s="31">
        <v>44626</v>
      </c>
      <c r="B430" t="str">
        <v>New_Campaign</v>
      </c>
      <c r="C430">
        <v>1117</v>
      </c>
      <c r="D430">
        <v>253</v>
      </c>
      <c r="E430">
        <v>4368.46</v>
      </c>
      <c r="F430" t="str">
        <v>B</v>
      </c>
    </row>
    <row r="431" spans="1:6" x14ac:dyDescent="0.2">
      <c r="A431" s="31">
        <v>44627</v>
      </c>
      <c r="B431" t="str">
        <v>New_Campaign</v>
      </c>
      <c r="C431">
        <v>1189</v>
      </c>
      <c r="D431">
        <v>290</v>
      </c>
      <c r="E431">
        <v>4304.1099999999997</v>
      </c>
      <c r="F431" t="str">
        <v>B</v>
      </c>
    </row>
    <row r="432" spans="1:6" x14ac:dyDescent="0.2">
      <c r="A432" s="31">
        <v>44628</v>
      </c>
      <c r="B432" t="str">
        <v>New_Campaign</v>
      </c>
      <c r="C432">
        <v>1137</v>
      </c>
      <c r="D432">
        <v>290</v>
      </c>
      <c r="E432">
        <v>4455.42</v>
      </c>
      <c r="F432" t="str">
        <v>B</v>
      </c>
    </row>
    <row r="433" spans="1:6" x14ac:dyDescent="0.2">
      <c r="A433" s="31">
        <v>44629</v>
      </c>
      <c r="B433" t="str">
        <v>New_Campaign</v>
      </c>
      <c r="C433">
        <v>1177</v>
      </c>
      <c r="D433">
        <v>257</v>
      </c>
      <c r="E433">
        <v>2652.71</v>
      </c>
      <c r="F433" t="str">
        <v>B</v>
      </c>
    </row>
    <row r="434" spans="1:6" x14ac:dyDescent="0.2">
      <c r="A434" s="31">
        <v>44630</v>
      </c>
      <c r="B434" t="str">
        <v>New_Campaign</v>
      </c>
      <c r="C434">
        <v>1156</v>
      </c>
      <c r="D434">
        <v>270</v>
      </c>
      <c r="E434">
        <v>4095.85</v>
      </c>
      <c r="F434" t="str">
        <v>B</v>
      </c>
    </row>
    <row r="435" spans="1:6" x14ac:dyDescent="0.2">
      <c r="A435" s="31">
        <v>44631</v>
      </c>
      <c r="B435" t="str">
        <v>New_Campaign</v>
      </c>
      <c r="C435">
        <v>1157</v>
      </c>
      <c r="D435">
        <v>269</v>
      </c>
      <c r="E435">
        <v>4408.83</v>
      </c>
      <c r="F435" t="str">
        <v>B</v>
      </c>
    </row>
    <row r="436" spans="1:6" x14ac:dyDescent="0.2">
      <c r="A436" s="31">
        <v>44632</v>
      </c>
      <c r="B436" t="str">
        <v>New_Campaign</v>
      </c>
      <c r="C436">
        <v>1204</v>
      </c>
      <c r="D436">
        <v>252</v>
      </c>
      <c r="E436">
        <v>3713.03</v>
      </c>
      <c r="F436" t="str">
        <v>B</v>
      </c>
    </row>
    <row r="437" spans="1:6" x14ac:dyDescent="0.2">
      <c r="A437" s="31">
        <v>44633</v>
      </c>
      <c r="B437" t="str">
        <v>New_Campaign</v>
      </c>
      <c r="C437">
        <v>1133</v>
      </c>
      <c r="D437">
        <v>239</v>
      </c>
      <c r="E437">
        <v>3878.08</v>
      </c>
      <c r="F437" t="str">
        <v>B</v>
      </c>
    </row>
    <row r="438" spans="1:6" x14ac:dyDescent="0.2">
      <c r="A438" s="31">
        <v>44634</v>
      </c>
      <c r="B438" t="str">
        <v>New_Campaign</v>
      </c>
      <c r="C438">
        <v>1145</v>
      </c>
      <c r="D438">
        <v>282</v>
      </c>
      <c r="E438">
        <v>3433.83</v>
      </c>
      <c r="F438" t="str">
        <v>B</v>
      </c>
    </row>
    <row r="439" spans="1:6" x14ac:dyDescent="0.2">
      <c r="A439" s="31">
        <v>44635</v>
      </c>
      <c r="B439" t="str">
        <v>New_Campaign</v>
      </c>
      <c r="C439">
        <v>1218</v>
      </c>
      <c r="D439">
        <v>274</v>
      </c>
      <c r="E439">
        <v>5162.4399999999996</v>
      </c>
      <c r="F439" t="str">
        <v>B</v>
      </c>
    </row>
    <row r="440" spans="1:6" x14ac:dyDescent="0.2">
      <c r="A440" s="31">
        <v>44636</v>
      </c>
      <c r="B440" t="str">
        <v>New_Campaign</v>
      </c>
      <c r="C440">
        <v>1164</v>
      </c>
      <c r="D440">
        <v>302</v>
      </c>
      <c r="E440">
        <v>4361.58</v>
      </c>
      <c r="F440" t="str">
        <v>B</v>
      </c>
    </row>
    <row r="441" spans="1:6" x14ac:dyDescent="0.2">
      <c r="A441" s="31">
        <v>44637</v>
      </c>
      <c r="B441" t="str">
        <v>New_Campaign</v>
      </c>
      <c r="C441">
        <v>1140</v>
      </c>
      <c r="D441">
        <v>260</v>
      </c>
      <c r="E441">
        <v>3755.77</v>
      </c>
      <c r="F441" t="str">
        <v>B</v>
      </c>
    </row>
    <row r="442" spans="1:6" x14ac:dyDescent="0.2">
      <c r="A442" s="31">
        <v>44638</v>
      </c>
      <c r="B442" t="str">
        <v>New_Campaign</v>
      </c>
      <c r="C442">
        <v>1140</v>
      </c>
      <c r="D442">
        <v>262</v>
      </c>
      <c r="E442">
        <v>3647.14</v>
      </c>
      <c r="F442" t="str">
        <v>B</v>
      </c>
    </row>
    <row r="443" spans="1:6" x14ac:dyDescent="0.2">
      <c r="A443" s="31">
        <v>44639</v>
      </c>
      <c r="B443" t="str">
        <v>New_Campaign</v>
      </c>
      <c r="C443">
        <v>1150</v>
      </c>
      <c r="D443">
        <v>255</v>
      </c>
      <c r="E443">
        <v>4924.67</v>
      </c>
      <c r="F443" t="str">
        <v>B</v>
      </c>
    </row>
    <row r="444" spans="1:6" x14ac:dyDescent="0.2">
      <c r="A444" s="31">
        <v>44640</v>
      </c>
      <c r="B444" t="str">
        <v>New_Campaign</v>
      </c>
      <c r="C444">
        <v>1170</v>
      </c>
      <c r="D444">
        <v>283</v>
      </c>
      <c r="E444">
        <v>4474.33</v>
      </c>
      <c r="F444" t="str">
        <v>B</v>
      </c>
    </row>
    <row r="445" spans="1:6" x14ac:dyDescent="0.2">
      <c r="A445" s="31">
        <v>44641</v>
      </c>
      <c r="B445" t="str">
        <v>New_Campaign</v>
      </c>
      <c r="C445">
        <v>1155</v>
      </c>
      <c r="D445">
        <v>298</v>
      </c>
      <c r="E445">
        <v>4483.46</v>
      </c>
      <c r="F445" t="str">
        <v>B</v>
      </c>
    </row>
    <row r="446" spans="1:6" x14ac:dyDescent="0.2">
      <c r="A446" s="31">
        <v>44642</v>
      </c>
      <c r="B446" t="str">
        <v>New_Campaign</v>
      </c>
      <c r="C446">
        <v>1130</v>
      </c>
      <c r="D446">
        <v>274</v>
      </c>
      <c r="E446">
        <v>4248.9799999999996</v>
      </c>
      <c r="F446" t="str">
        <v>B</v>
      </c>
    </row>
    <row r="447" spans="1:6" x14ac:dyDescent="0.2">
      <c r="A447" s="31">
        <v>44643</v>
      </c>
      <c r="B447" t="str">
        <v>New_Campaign</v>
      </c>
      <c r="C447">
        <v>1115</v>
      </c>
      <c r="D447">
        <v>256</v>
      </c>
      <c r="E447">
        <v>4253.17</v>
      </c>
      <c r="F447" t="str">
        <v>B</v>
      </c>
    </row>
    <row r="448" spans="1:6" x14ac:dyDescent="0.2">
      <c r="A448" s="31">
        <v>44644</v>
      </c>
      <c r="B448" t="str">
        <v>New_Campaign</v>
      </c>
      <c r="C448">
        <v>1147</v>
      </c>
      <c r="D448">
        <v>281</v>
      </c>
      <c r="E448">
        <v>4698.03</v>
      </c>
      <c r="F448" t="str">
        <v>B</v>
      </c>
    </row>
    <row r="449" spans="1:6" x14ac:dyDescent="0.2">
      <c r="A449" s="31">
        <v>44645</v>
      </c>
      <c r="B449" t="str">
        <v>New_Campaign</v>
      </c>
      <c r="C449">
        <v>1198</v>
      </c>
      <c r="D449">
        <v>272</v>
      </c>
      <c r="E449">
        <v>4082.24</v>
      </c>
      <c r="F449" t="str">
        <v>B</v>
      </c>
    </row>
    <row r="450" spans="1:6" x14ac:dyDescent="0.2">
      <c r="A450" s="31">
        <v>44646</v>
      </c>
      <c r="B450" t="str">
        <v>New_Campaign</v>
      </c>
      <c r="C450">
        <v>1128</v>
      </c>
      <c r="D450">
        <v>249</v>
      </c>
      <c r="E450">
        <v>3441.08</v>
      </c>
      <c r="F450" t="str">
        <v>B</v>
      </c>
    </row>
    <row r="451" spans="1:6" x14ac:dyDescent="0.2">
      <c r="A451" s="31">
        <v>44647</v>
      </c>
      <c r="B451" t="str">
        <v>New_Campaign</v>
      </c>
      <c r="C451">
        <v>1125</v>
      </c>
      <c r="D451">
        <v>253</v>
      </c>
      <c r="E451">
        <v>2603.56</v>
      </c>
      <c r="F451" t="str">
        <v>B</v>
      </c>
    </row>
    <row r="452" spans="1:6" x14ac:dyDescent="0.2">
      <c r="A452" s="31">
        <v>44648</v>
      </c>
      <c r="B452" t="str">
        <v>New_Campaign</v>
      </c>
      <c r="C452">
        <v>1145</v>
      </c>
      <c r="D452">
        <v>260</v>
      </c>
      <c r="E452">
        <v>4450.33</v>
      </c>
      <c r="F452" t="str">
        <v>B</v>
      </c>
    </row>
    <row r="453" spans="1:6" x14ac:dyDescent="0.2">
      <c r="A453" s="31">
        <v>44649</v>
      </c>
      <c r="B453" t="str">
        <v>New_Campaign</v>
      </c>
      <c r="C453">
        <v>1160</v>
      </c>
      <c r="D453">
        <v>271</v>
      </c>
      <c r="E453">
        <v>4974.75</v>
      </c>
      <c r="F453" t="str">
        <v>B</v>
      </c>
    </row>
    <row r="454" spans="1:6" x14ac:dyDescent="0.2">
      <c r="A454" s="31">
        <v>44650</v>
      </c>
      <c r="B454" t="str">
        <v>New_Campaign</v>
      </c>
      <c r="C454">
        <v>1143</v>
      </c>
      <c r="D454">
        <v>261</v>
      </c>
      <c r="E454">
        <v>3560.32</v>
      </c>
      <c r="F454" t="str">
        <v>B</v>
      </c>
    </row>
    <row r="455" spans="1:6" x14ac:dyDescent="0.2">
      <c r="A455" s="31">
        <v>44651</v>
      </c>
      <c r="B455" t="str">
        <v>New_Campaign</v>
      </c>
      <c r="C455">
        <v>1125</v>
      </c>
      <c r="D455">
        <v>271</v>
      </c>
      <c r="E455">
        <v>3499.63</v>
      </c>
      <c r="F455" t="str">
        <v>B</v>
      </c>
    </row>
    <row r="456" spans="1:6" x14ac:dyDescent="0.2">
      <c r="A456" s="31">
        <v>44652</v>
      </c>
      <c r="B456" t="str">
        <v>New_Campaign</v>
      </c>
      <c r="C456">
        <v>1194</v>
      </c>
      <c r="D456">
        <v>258</v>
      </c>
      <c r="E456">
        <v>3564.72</v>
      </c>
      <c r="F456" t="str">
        <v>B</v>
      </c>
    </row>
    <row r="457" spans="1:6" x14ac:dyDescent="0.2">
      <c r="A457" s="31">
        <v>44653</v>
      </c>
      <c r="B457" t="str">
        <v>New_Campaign</v>
      </c>
      <c r="C457">
        <v>1132</v>
      </c>
      <c r="D457">
        <v>239</v>
      </c>
      <c r="E457">
        <v>3684.54</v>
      </c>
      <c r="F457" t="str">
        <v>B</v>
      </c>
    </row>
    <row r="458" spans="1:6" x14ac:dyDescent="0.2">
      <c r="A458" s="31">
        <v>44654</v>
      </c>
      <c r="B458" t="str">
        <v>New_Campaign</v>
      </c>
      <c r="C458">
        <v>1149</v>
      </c>
      <c r="D458">
        <v>264</v>
      </c>
      <c r="E458">
        <v>3653.9</v>
      </c>
      <c r="F458" t="str">
        <v>B</v>
      </c>
    </row>
    <row r="459" spans="1:6" x14ac:dyDescent="0.2">
      <c r="A459" s="31">
        <v>44655</v>
      </c>
      <c r="B459" t="str">
        <v>New_Campaign</v>
      </c>
      <c r="C459">
        <v>1159</v>
      </c>
      <c r="D459">
        <v>252</v>
      </c>
      <c r="E459">
        <v>4125.59</v>
      </c>
      <c r="F459" t="str">
        <v>B</v>
      </c>
    </row>
    <row r="460" spans="1:6" x14ac:dyDescent="0.2">
      <c r="A460" s="31">
        <v>44656</v>
      </c>
      <c r="B460" t="str">
        <v>New_Campaign</v>
      </c>
      <c r="C460">
        <v>1154</v>
      </c>
      <c r="D460">
        <v>271</v>
      </c>
      <c r="E460">
        <v>3508.28</v>
      </c>
      <c r="F460" t="str">
        <v>B</v>
      </c>
    </row>
    <row r="461" spans="1:6" x14ac:dyDescent="0.2">
      <c r="A461" s="31">
        <v>44657</v>
      </c>
      <c r="B461" t="str">
        <v>New_Campaign</v>
      </c>
      <c r="C461">
        <v>1182</v>
      </c>
      <c r="D461">
        <v>266</v>
      </c>
      <c r="E461">
        <v>3405.93</v>
      </c>
      <c r="F461" t="str">
        <v>B</v>
      </c>
    </row>
    <row r="462" spans="1:6" x14ac:dyDescent="0.2">
      <c r="A462" s="31">
        <v>44658</v>
      </c>
      <c r="B462" t="str">
        <v>New_Campaign</v>
      </c>
      <c r="C462">
        <v>1082</v>
      </c>
      <c r="D462">
        <v>239</v>
      </c>
      <c r="E462">
        <v>4363.1400000000003</v>
      </c>
      <c r="F462" t="str">
        <v>B</v>
      </c>
    </row>
    <row r="463" spans="1:6" x14ac:dyDescent="0.2">
      <c r="A463" s="31">
        <v>44659</v>
      </c>
      <c r="B463" t="str">
        <v>New_Campaign</v>
      </c>
      <c r="C463">
        <v>1145</v>
      </c>
      <c r="D463">
        <v>254</v>
      </c>
      <c r="E463">
        <v>4521.47</v>
      </c>
      <c r="F463" t="str">
        <v>B</v>
      </c>
    </row>
    <row r="464" spans="1:6" x14ac:dyDescent="0.2">
      <c r="A464" s="31">
        <v>44660</v>
      </c>
      <c r="B464" t="str">
        <v>New_Campaign</v>
      </c>
      <c r="C464">
        <v>1147</v>
      </c>
      <c r="D464">
        <v>264</v>
      </c>
      <c r="E464">
        <v>4489.72</v>
      </c>
      <c r="F464" t="str">
        <v>B</v>
      </c>
    </row>
    <row r="465" spans="1:6" x14ac:dyDescent="0.2">
      <c r="A465" s="31">
        <v>44661</v>
      </c>
      <c r="B465" t="str">
        <v>New_Campaign</v>
      </c>
      <c r="C465">
        <v>1131</v>
      </c>
      <c r="D465">
        <v>272</v>
      </c>
      <c r="E465">
        <v>3491.3</v>
      </c>
      <c r="F465" t="str">
        <v>B</v>
      </c>
    </row>
    <row r="466" spans="1:6" x14ac:dyDescent="0.2">
      <c r="A466" s="31">
        <v>44662</v>
      </c>
      <c r="B466" t="str">
        <v>New_Campaign</v>
      </c>
      <c r="C466">
        <v>1100</v>
      </c>
      <c r="D466">
        <v>240</v>
      </c>
      <c r="E466">
        <v>4183.62</v>
      </c>
      <c r="F466" t="str">
        <v>B</v>
      </c>
    </row>
    <row r="467" spans="1:6" x14ac:dyDescent="0.2">
      <c r="A467" s="31">
        <v>44663</v>
      </c>
      <c r="B467" t="str">
        <v>New_Campaign</v>
      </c>
      <c r="C467">
        <v>1164</v>
      </c>
      <c r="D467">
        <v>277</v>
      </c>
      <c r="E467">
        <v>4449.95</v>
      </c>
      <c r="F467" t="str">
        <v>B</v>
      </c>
    </row>
    <row r="468" spans="1:6" x14ac:dyDescent="0.2">
      <c r="A468" s="31">
        <v>44664</v>
      </c>
      <c r="B468" t="str">
        <v>New_Campaign</v>
      </c>
      <c r="C468">
        <v>1100</v>
      </c>
      <c r="D468">
        <v>277</v>
      </c>
      <c r="E468">
        <v>5563.31</v>
      </c>
      <c r="F468" t="str">
        <v>B</v>
      </c>
    </row>
    <row r="469" spans="1:6" x14ac:dyDescent="0.2">
      <c r="A469" s="31">
        <v>44665</v>
      </c>
      <c r="B469" t="str">
        <v>New_Campaign</v>
      </c>
      <c r="C469">
        <v>1221</v>
      </c>
      <c r="D469">
        <v>265</v>
      </c>
      <c r="E469">
        <v>3480.68</v>
      </c>
      <c r="F469" t="str">
        <v>B</v>
      </c>
    </row>
    <row r="470" spans="1:6" x14ac:dyDescent="0.2">
      <c r="A470" s="31">
        <v>44666</v>
      </c>
      <c r="B470" t="str">
        <v>New_Campaign</v>
      </c>
      <c r="C470">
        <v>1213</v>
      </c>
      <c r="D470">
        <v>303</v>
      </c>
      <c r="E470">
        <v>4263.6899999999996</v>
      </c>
      <c r="F470" t="str">
        <v>B</v>
      </c>
    </row>
    <row r="471" spans="1:6" x14ac:dyDescent="0.2">
      <c r="A471" s="31">
        <v>44667</v>
      </c>
      <c r="B471" t="str">
        <v>New_Campaign</v>
      </c>
      <c r="C471">
        <v>1146</v>
      </c>
      <c r="D471">
        <v>268</v>
      </c>
      <c r="E471">
        <v>4757.63</v>
      </c>
      <c r="F471" t="str">
        <v>B</v>
      </c>
    </row>
    <row r="472" spans="1:6" x14ac:dyDescent="0.2">
      <c r="A472" s="31">
        <v>44668</v>
      </c>
      <c r="B472" t="str">
        <v>New_Campaign</v>
      </c>
      <c r="C472">
        <v>1136</v>
      </c>
      <c r="D472">
        <v>264</v>
      </c>
      <c r="E472">
        <v>3052.71</v>
      </c>
      <c r="F472" t="str">
        <v>B</v>
      </c>
    </row>
    <row r="473" spans="1:6" x14ac:dyDescent="0.2">
      <c r="A473" s="31">
        <v>44669</v>
      </c>
      <c r="B473" t="str">
        <v>New_Campaign</v>
      </c>
      <c r="C473">
        <v>1090</v>
      </c>
      <c r="D473">
        <v>257</v>
      </c>
      <c r="E473">
        <v>2965.54</v>
      </c>
      <c r="F473" t="str">
        <v>B</v>
      </c>
    </row>
    <row r="474" spans="1:6" x14ac:dyDescent="0.2">
      <c r="A474" s="31">
        <v>44670</v>
      </c>
      <c r="B474" t="str">
        <v>New_Campaign</v>
      </c>
      <c r="C474">
        <v>1099</v>
      </c>
      <c r="D474">
        <v>232</v>
      </c>
      <c r="E474">
        <v>3815.54</v>
      </c>
      <c r="F474" t="str">
        <v>B</v>
      </c>
    </row>
    <row r="475" spans="1:6" x14ac:dyDescent="0.2">
      <c r="A475" s="31">
        <v>44671</v>
      </c>
      <c r="B475" t="str">
        <v>New_Campaign</v>
      </c>
      <c r="C475">
        <v>1116</v>
      </c>
      <c r="D475">
        <v>262</v>
      </c>
      <c r="E475">
        <v>4976.28</v>
      </c>
      <c r="F475" t="str">
        <v>B</v>
      </c>
    </row>
    <row r="476" spans="1:6" x14ac:dyDescent="0.2">
      <c r="A476" s="31">
        <v>44672</v>
      </c>
      <c r="B476" t="str">
        <v>New_Campaign</v>
      </c>
      <c r="C476">
        <v>1133</v>
      </c>
      <c r="D476">
        <v>278</v>
      </c>
      <c r="E476">
        <v>4608.53</v>
      </c>
      <c r="F476" t="str">
        <v>B</v>
      </c>
    </row>
    <row r="477" spans="1:6" x14ac:dyDescent="0.2">
      <c r="A477" s="31">
        <v>44673</v>
      </c>
      <c r="B477" t="str">
        <v>New_Campaign</v>
      </c>
      <c r="C477">
        <v>1105</v>
      </c>
      <c r="D477">
        <v>259</v>
      </c>
      <c r="E477">
        <v>3544.98</v>
      </c>
      <c r="F477" t="str">
        <v>B</v>
      </c>
    </row>
    <row r="478" spans="1:6" x14ac:dyDescent="0.2">
      <c r="A478" s="31">
        <v>44674</v>
      </c>
      <c r="B478" t="str">
        <v>New_Campaign</v>
      </c>
      <c r="C478">
        <v>1078</v>
      </c>
      <c r="D478">
        <v>260</v>
      </c>
      <c r="E478">
        <v>4427.3100000000004</v>
      </c>
      <c r="F478" t="str">
        <v>B</v>
      </c>
    </row>
    <row r="479" spans="1:6" x14ac:dyDescent="0.2">
      <c r="A479" s="31">
        <v>44675</v>
      </c>
      <c r="B479" t="str">
        <v>New_Campaign</v>
      </c>
      <c r="C479">
        <v>1122</v>
      </c>
      <c r="D479">
        <v>283</v>
      </c>
      <c r="E479">
        <v>4841.22</v>
      </c>
      <c r="F479" t="str">
        <v>B</v>
      </c>
    </row>
    <row r="480" spans="1:6" x14ac:dyDescent="0.2">
      <c r="A480" s="31">
        <v>44676</v>
      </c>
      <c r="B480" t="str">
        <v>New_Campaign</v>
      </c>
      <c r="C480">
        <v>1122</v>
      </c>
      <c r="D480">
        <v>251</v>
      </c>
      <c r="E480">
        <v>3535.3</v>
      </c>
      <c r="F480" t="str">
        <v>B</v>
      </c>
    </row>
    <row r="481" spans="1:6" x14ac:dyDescent="0.2">
      <c r="A481" s="31">
        <v>44677</v>
      </c>
      <c r="B481" t="str">
        <v>New_Campaign</v>
      </c>
      <c r="C481">
        <v>1156</v>
      </c>
      <c r="D481">
        <v>291</v>
      </c>
      <c r="E481">
        <v>3868.84</v>
      </c>
      <c r="F481" t="str">
        <v>B</v>
      </c>
    </row>
    <row r="482" spans="1:6" x14ac:dyDescent="0.2">
      <c r="A482" s="31">
        <v>44678</v>
      </c>
      <c r="B482" t="str">
        <v>New_Campaign</v>
      </c>
      <c r="C482">
        <v>1168</v>
      </c>
      <c r="D482">
        <v>267</v>
      </c>
      <c r="E482">
        <v>4234.87</v>
      </c>
      <c r="F482" t="str">
        <v>B</v>
      </c>
    </row>
    <row r="483" spans="1:6" x14ac:dyDescent="0.2">
      <c r="A483" s="31">
        <v>44679</v>
      </c>
      <c r="B483" t="str">
        <v>New_Campaign</v>
      </c>
      <c r="C483">
        <v>1106</v>
      </c>
      <c r="D483">
        <v>260</v>
      </c>
      <c r="E483">
        <v>4338.91</v>
      </c>
      <c r="F483" t="str">
        <v>B</v>
      </c>
    </row>
    <row r="484" spans="1:6" x14ac:dyDescent="0.2">
      <c r="A484" s="31">
        <v>44680</v>
      </c>
      <c r="B484" t="str">
        <v>New_Campaign</v>
      </c>
      <c r="C484">
        <v>1168</v>
      </c>
      <c r="D484">
        <v>288</v>
      </c>
      <c r="E484">
        <v>5803.24</v>
      </c>
      <c r="F484" t="str">
        <v>B</v>
      </c>
    </row>
    <row r="485" spans="1:6" x14ac:dyDescent="0.2">
      <c r="A485" s="31">
        <v>44681</v>
      </c>
      <c r="B485" t="str">
        <v>New_Campaign</v>
      </c>
      <c r="C485">
        <v>1123</v>
      </c>
      <c r="D485">
        <v>241</v>
      </c>
      <c r="E485">
        <v>3432.58</v>
      </c>
      <c r="F485" t="str">
        <v>B</v>
      </c>
    </row>
    <row r="486" spans="1:6" x14ac:dyDescent="0.2">
      <c r="A486" s="31">
        <v>44682</v>
      </c>
      <c r="B486" t="str">
        <v>New_Campaign</v>
      </c>
      <c r="C486">
        <v>1219</v>
      </c>
      <c r="D486">
        <v>289</v>
      </c>
      <c r="E486">
        <v>4278.55</v>
      </c>
      <c r="F486" t="str">
        <v>B</v>
      </c>
    </row>
    <row r="487" spans="1:6" x14ac:dyDescent="0.2">
      <c r="A487" s="31">
        <v>44683</v>
      </c>
      <c r="B487" t="str">
        <v>New_Campaign</v>
      </c>
      <c r="C487">
        <v>1162</v>
      </c>
      <c r="D487">
        <v>274</v>
      </c>
      <c r="E487">
        <v>3854.55</v>
      </c>
      <c r="F487" t="str">
        <v>B</v>
      </c>
    </row>
    <row r="488" spans="1:6" x14ac:dyDescent="0.2">
      <c r="A488" s="31">
        <v>44684</v>
      </c>
      <c r="B488" t="str">
        <v>New_Campaign</v>
      </c>
      <c r="C488">
        <v>1126</v>
      </c>
      <c r="D488">
        <v>287</v>
      </c>
      <c r="E488">
        <v>4264.45</v>
      </c>
      <c r="F488" t="str">
        <v>B</v>
      </c>
    </row>
    <row r="489" spans="1:6" x14ac:dyDescent="0.2">
      <c r="A489" s="31">
        <v>44685</v>
      </c>
      <c r="B489" t="str">
        <v>New_Campaign</v>
      </c>
      <c r="C489">
        <v>1127</v>
      </c>
      <c r="D489">
        <v>272</v>
      </c>
      <c r="E489">
        <v>4189.25</v>
      </c>
      <c r="F489" t="str">
        <v>B</v>
      </c>
    </row>
    <row r="490" spans="1:6" x14ac:dyDescent="0.2">
      <c r="A490" s="31">
        <v>44686</v>
      </c>
      <c r="B490" t="str">
        <v>New_Campaign</v>
      </c>
      <c r="C490">
        <v>1087</v>
      </c>
      <c r="D490">
        <v>240</v>
      </c>
      <c r="E490">
        <v>4239.18</v>
      </c>
      <c r="F490" t="str">
        <v>B</v>
      </c>
    </row>
    <row r="491" spans="1:6" x14ac:dyDescent="0.2">
      <c r="A491" s="31">
        <v>44687</v>
      </c>
      <c r="B491" t="str">
        <v>New_Campaign</v>
      </c>
      <c r="C491">
        <v>1114</v>
      </c>
      <c r="D491">
        <v>281</v>
      </c>
      <c r="E491">
        <v>5012.43</v>
      </c>
      <c r="F491" t="str">
        <v>B</v>
      </c>
    </row>
    <row r="492" spans="1:6" x14ac:dyDescent="0.2">
      <c r="A492" s="31">
        <v>44688</v>
      </c>
      <c r="B492" t="str">
        <v>New_Campaign</v>
      </c>
      <c r="C492">
        <v>1198</v>
      </c>
      <c r="D492">
        <v>283</v>
      </c>
      <c r="E492">
        <v>5269.57</v>
      </c>
      <c r="F492" t="str">
        <v>B</v>
      </c>
    </row>
    <row r="493" spans="1:6" x14ac:dyDescent="0.2">
      <c r="A493" s="31">
        <v>44689</v>
      </c>
      <c r="B493" t="str">
        <v>New_Campaign</v>
      </c>
      <c r="C493">
        <v>1119</v>
      </c>
      <c r="D493">
        <v>257</v>
      </c>
      <c r="E493">
        <v>4363.4799999999996</v>
      </c>
      <c r="F493" t="str">
        <v>B</v>
      </c>
    </row>
    <row r="494" spans="1:6" x14ac:dyDescent="0.2">
      <c r="A494" s="31">
        <v>44690</v>
      </c>
      <c r="B494" t="str">
        <v>New_Campaign</v>
      </c>
      <c r="C494">
        <v>1146</v>
      </c>
      <c r="D494">
        <v>252</v>
      </c>
      <c r="E494">
        <v>3875.94</v>
      </c>
      <c r="F494" t="str">
        <v>B</v>
      </c>
    </row>
    <row r="495" spans="1:6" x14ac:dyDescent="0.2">
      <c r="A495" s="31">
        <v>44691</v>
      </c>
      <c r="B495" t="str">
        <v>New_Campaign</v>
      </c>
      <c r="C495">
        <v>1119</v>
      </c>
      <c r="D495">
        <v>261</v>
      </c>
      <c r="E495">
        <v>4834.51</v>
      </c>
      <c r="F495" t="str">
        <v>B</v>
      </c>
    </row>
    <row r="496" spans="1:6" x14ac:dyDescent="0.2">
      <c r="A496" s="31">
        <v>44692</v>
      </c>
      <c r="B496" t="str">
        <v>New_Campaign</v>
      </c>
      <c r="C496">
        <v>1148</v>
      </c>
      <c r="D496">
        <v>263</v>
      </c>
      <c r="E496">
        <v>3566.11</v>
      </c>
      <c r="F496" t="str">
        <v>B</v>
      </c>
    </row>
    <row r="497" spans="1:6" x14ac:dyDescent="0.2">
      <c r="A497" s="31">
        <v>44693</v>
      </c>
      <c r="B497" t="str">
        <v>New_Campaign</v>
      </c>
      <c r="C497">
        <v>1206</v>
      </c>
      <c r="D497">
        <v>289</v>
      </c>
      <c r="E497">
        <v>4491.42</v>
      </c>
      <c r="F497" t="str">
        <v>B</v>
      </c>
    </row>
    <row r="498" spans="1:6" x14ac:dyDescent="0.2">
      <c r="A498" s="31">
        <v>44694</v>
      </c>
      <c r="B498" t="str">
        <v>New_Campaign</v>
      </c>
      <c r="C498">
        <v>1120</v>
      </c>
      <c r="D498">
        <v>249</v>
      </c>
      <c r="E498">
        <v>3842.96</v>
      </c>
      <c r="F498" t="str">
        <v>B</v>
      </c>
    </row>
    <row r="499" spans="1:6" x14ac:dyDescent="0.2">
      <c r="A499" s="31">
        <v>44695</v>
      </c>
      <c r="B499" t="str">
        <v>New_Campaign</v>
      </c>
      <c r="C499">
        <v>1114</v>
      </c>
      <c r="D499">
        <v>247</v>
      </c>
      <c r="E499">
        <v>3146.12</v>
      </c>
      <c r="F499" t="str">
        <v>B</v>
      </c>
    </row>
    <row r="500" spans="1:6" x14ac:dyDescent="0.2">
      <c r="A500" s="31">
        <v>44696</v>
      </c>
      <c r="B500" t="str">
        <v>New_Campaign</v>
      </c>
      <c r="C500">
        <v>1139</v>
      </c>
      <c r="D500">
        <v>241</v>
      </c>
      <c r="E500">
        <v>3578.17</v>
      </c>
      <c r="F500" t="str">
        <v>B</v>
      </c>
    </row>
    <row r="501" spans="1:6" x14ac:dyDescent="0.2">
      <c r="A501" s="31">
        <v>44697</v>
      </c>
      <c r="B501" t="str">
        <v>New_Campaign</v>
      </c>
      <c r="C501">
        <v>1134</v>
      </c>
      <c r="D501">
        <v>263</v>
      </c>
      <c r="E501">
        <v>4335.87</v>
      </c>
      <c r="F501" t="str">
        <v>B</v>
      </c>
    </row>
    <row r="502" spans="1:6" x14ac:dyDescent="0.2">
      <c r="A502" s="31">
        <v>44698</v>
      </c>
      <c r="B502" t="str">
        <v>New_Campaign</v>
      </c>
      <c r="C502">
        <v>1178</v>
      </c>
      <c r="D502">
        <v>261</v>
      </c>
      <c r="E502">
        <v>3421.6</v>
      </c>
      <c r="F502" t="str">
        <v>B</v>
      </c>
    </row>
    <row r="503" spans="1:6" x14ac:dyDescent="0.2">
      <c r="A503" s="31">
        <v>44699</v>
      </c>
      <c r="B503" t="str">
        <v>New_Campaign</v>
      </c>
      <c r="C503">
        <v>1183</v>
      </c>
      <c r="D503">
        <v>257</v>
      </c>
      <c r="E503">
        <v>4416.5600000000004</v>
      </c>
      <c r="F503" t="str">
        <v>B</v>
      </c>
    </row>
    <row r="504" spans="1:6" x14ac:dyDescent="0.2">
      <c r="A504" s="31">
        <v>44700</v>
      </c>
      <c r="B504" t="str">
        <v>New_Campaign</v>
      </c>
      <c r="C504">
        <v>1166</v>
      </c>
      <c r="D504">
        <v>253</v>
      </c>
      <c r="E504">
        <v>4104.57</v>
      </c>
      <c r="F504" t="str">
        <v>B</v>
      </c>
    </row>
    <row r="505" spans="1:6" x14ac:dyDescent="0.2">
      <c r="A505" s="31">
        <v>44701</v>
      </c>
      <c r="B505" t="str">
        <v>New_Campaign</v>
      </c>
      <c r="C505">
        <v>1149</v>
      </c>
      <c r="D505">
        <v>286</v>
      </c>
      <c r="E505">
        <v>4587.0600000000004</v>
      </c>
      <c r="F505" t="str">
        <v>B</v>
      </c>
    </row>
    <row r="506" spans="1:6" x14ac:dyDescent="0.2">
      <c r="A506" s="31">
        <v>44702</v>
      </c>
      <c r="B506" t="str">
        <v>New_Campaign</v>
      </c>
      <c r="C506">
        <v>1162</v>
      </c>
      <c r="D506">
        <v>300</v>
      </c>
      <c r="E506">
        <v>4820.3999999999996</v>
      </c>
      <c r="F506" t="str">
        <v>B</v>
      </c>
    </row>
    <row r="507" spans="1:6" x14ac:dyDescent="0.2">
      <c r="A507" s="31">
        <v>44703</v>
      </c>
      <c r="B507" t="str">
        <v>New_Campaign</v>
      </c>
      <c r="C507">
        <v>1142</v>
      </c>
      <c r="D507">
        <v>275</v>
      </c>
      <c r="E507">
        <v>4453.8</v>
      </c>
      <c r="F507" t="str">
        <v>B</v>
      </c>
    </row>
    <row r="508" spans="1:6" x14ac:dyDescent="0.2">
      <c r="A508" s="31">
        <v>44704</v>
      </c>
      <c r="B508" t="str">
        <v>New_Campaign</v>
      </c>
      <c r="C508">
        <v>1162</v>
      </c>
      <c r="D508">
        <v>287</v>
      </c>
      <c r="E508">
        <v>4761.3100000000004</v>
      </c>
      <c r="F508" t="str">
        <v>B</v>
      </c>
    </row>
    <row r="509" spans="1:6" x14ac:dyDescent="0.2">
      <c r="A509" s="31">
        <v>44705</v>
      </c>
      <c r="B509" t="str">
        <v>New_Campaign</v>
      </c>
      <c r="C509">
        <v>1143</v>
      </c>
      <c r="D509">
        <v>254</v>
      </c>
      <c r="E509">
        <v>4190.7700000000004</v>
      </c>
      <c r="F509" t="str">
        <v>B</v>
      </c>
    </row>
    <row r="510" spans="1:6" x14ac:dyDescent="0.2">
      <c r="A510" s="31">
        <v>44706</v>
      </c>
      <c r="B510" t="str">
        <v>New_Campaign</v>
      </c>
      <c r="C510">
        <v>1147</v>
      </c>
      <c r="D510">
        <v>272</v>
      </c>
      <c r="E510">
        <v>5006.13</v>
      </c>
      <c r="F510" t="str">
        <v>B</v>
      </c>
    </row>
    <row r="511" spans="1:6" x14ac:dyDescent="0.2">
      <c r="A511" s="31">
        <v>44707</v>
      </c>
      <c r="B511" t="str">
        <v>New_Campaign</v>
      </c>
      <c r="C511">
        <v>1100</v>
      </c>
      <c r="D511">
        <v>247</v>
      </c>
      <c r="E511">
        <v>3867.89</v>
      </c>
      <c r="F511" t="str">
        <v>B</v>
      </c>
    </row>
    <row r="512" spans="1:6" x14ac:dyDescent="0.2">
      <c r="A512" s="31">
        <v>44708</v>
      </c>
      <c r="B512" t="str">
        <v>New_Campaign</v>
      </c>
      <c r="C512">
        <v>1145</v>
      </c>
      <c r="D512">
        <v>272</v>
      </c>
      <c r="E512">
        <v>4754.1099999999997</v>
      </c>
      <c r="F512" t="str">
        <v>B</v>
      </c>
    </row>
    <row r="513" spans="1:6" x14ac:dyDescent="0.2">
      <c r="A513" s="31">
        <v>44709</v>
      </c>
      <c r="B513" t="str">
        <v>New_Campaign</v>
      </c>
      <c r="C513">
        <v>1134</v>
      </c>
      <c r="D513">
        <v>249</v>
      </c>
      <c r="E513">
        <v>3775.12</v>
      </c>
      <c r="F513" t="str">
        <v>B</v>
      </c>
    </row>
    <row r="514" spans="1:6" x14ac:dyDescent="0.2">
      <c r="A514" s="31">
        <v>44710</v>
      </c>
      <c r="B514" t="str">
        <v>New_Campaign</v>
      </c>
      <c r="C514">
        <v>1105</v>
      </c>
      <c r="D514">
        <v>272</v>
      </c>
      <c r="E514">
        <v>4199.95</v>
      </c>
      <c r="F514" t="str">
        <v>B</v>
      </c>
    </row>
    <row r="515" spans="1:6" x14ac:dyDescent="0.2">
      <c r="A515" s="31">
        <v>44711</v>
      </c>
      <c r="B515" t="str">
        <v>New_Campaign</v>
      </c>
      <c r="C515">
        <v>1075</v>
      </c>
      <c r="D515">
        <v>221</v>
      </c>
      <c r="E515">
        <v>3011.64</v>
      </c>
      <c r="F515" t="str">
        <v>B</v>
      </c>
    </row>
    <row r="516" spans="1:6" x14ac:dyDescent="0.2">
      <c r="A516" s="31">
        <v>44712</v>
      </c>
      <c r="B516" t="str">
        <v>New_Campaign</v>
      </c>
      <c r="C516">
        <v>1138</v>
      </c>
      <c r="D516">
        <v>282</v>
      </c>
      <c r="E516">
        <v>4084.06</v>
      </c>
      <c r="F516" t="str">
        <v>B</v>
      </c>
    </row>
    <row r="517" spans="1:6" x14ac:dyDescent="0.2">
      <c r="A517" s="31">
        <v>44713</v>
      </c>
      <c r="B517" t="str">
        <v>New_Campaign</v>
      </c>
      <c r="C517">
        <v>1101</v>
      </c>
      <c r="D517">
        <v>251</v>
      </c>
      <c r="E517">
        <v>3750.21</v>
      </c>
      <c r="F517" t="str">
        <v>B</v>
      </c>
    </row>
    <row r="518" spans="1:6" x14ac:dyDescent="0.2">
      <c r="A518" s="31">
        <v>44714</v>
      </c>
      <c r="B518" t="str">
        <v>New_Campaign</v>
      </c>
      <c r="C518">
        <v>1073</v>
      </c>
      <c r="D518">
        <v>254</v>
      </c>
      <c r="E518">
        <v>5254.58</v>
      </c>
      <c r="F518" t="str">
        <v>B</v>
      </c>
    </row>
    <row r="519" spans="1:6" x14ac:dyDescent="0.2">
      <c r="A519" s="31">
        <v>44715</v>
      </c>
      <c r="B519" t="str">
        <v>New_Campaign</v>
      </c>
      <c r="C519">
        <v>1124</v>
      </c>
      <c r="D519">
        <v>255</v>
      </c>
      <c r="E519">
        <v>3658.68</v>
      </c>
      <c r="F519" t="str">
        <v>B</v>
      </c>
    </row>
    <row r="520" spans="1:6" x14ac:dyDescent="0.2">
      <c r="A520" s="31">
        <v>44716</v>
      </c>
      <c r="B520" t="str">
        <v>New_Campaign</v>
      </c>
      <c r="C520">
        <v>1151</v>
      </c>
      <c r="D520">
        <v>283</v>
      </c>
      <c r="E520">
        <v>4232.47</v>
      </c>
      <c r="F520" t="str">
        <v>B</v>
      </c>
    </row>
    <row r="521" spans="1:6" x14ac:dyDescent="0.2">
      <c r="A521" s="31">
        <v>44717</v>
      </c>
      <c r="B521" t="str">
        <v>New_Campaign</v>
      </c>
      <c r="C521">
        <v>1107</v>
      </c>
      <c r="D521">
        <v>234</v>
      </c>
      <c r="E521">
        <v>4196.9399999999996</v>
      </c>
      <c r="F521" t="str">
        <v>B</v>
      </c>
    </row>
    <row r="522" spans="1:6" x14ac:dyDescent="0.2">
      <c r="A522" s="31">
        <v>44718</v>
      </c>
      <c r="B522" t="str">
        <v>New_Campaign</v>
      </c>
      <c r="C522">
        <v>1208</v>
      </c>
      <c r="D522">
        <v>255</v>
      </c>
      <c r="E522">
        <v>4900.8599999999997</v>
      </c>
      <c r="F522" t="str">
        <v>B</v>
      </c>
    </row>
    <row r="523" spans="1:6" x14ac:dyDescent="0.2">
      <c r="A523" s="31">
        <v>44719</v>
      </c>
      <c r="B523" t="str">
        <v>New_Campaign</v>
      </c>
      <c r="C523">
        <v>1140</v>
      </c>
      <c r="D523">
        <v>258</v>
      </c>
      <c r="E523">
        <v>4122.92</v>
      </c>
      <c r="F523" t="str">
        <v>B</v>
      </c>
    </row>
    <row r="524" spans="1:6" x14ac:dyDescent="0.2">
      <c r="A524" s="31">
        <v>44720</v>
      </c>
      <c r="B524" t="str">
        <v>New_Campaign</v>
      </c>
      <c r="C524">
        <v>1180</v>
      </c>
      <c r="D524">
        <v>270</v>
      </c>
      <c r="E524">
        <v>3875.29</v>
      </c>
      <c r="F524" t="str">
        <v>B</v>
      </c>
    </row>
    <row r="525" spans="1:6" x14ac:dyDescent="0.2">
      <c r="A525" s="31">
        <v>44721</v>
      </c>
      <c r="B525" t="str">
        <v>New_Campaign</v>
      </c>
      <c r="C525">
        <v>1193</v>
      </c>
      <c r="D525">
        <v>300</v>
      </c>
      <c r="E525">
        <v>5575.65</v>
      </c>
      <c r="F525" t="str">
        <v>B</v>
      </c>
    </row>
    <row r="526" spans="1:6" x14ac:dyDescent="0.2">
      <c r="A526" s="31">
        <v>44722</v>
      </c>
      <c r="B526" t="str">
        <v>New_Campaign</v>
      </c>
      <c r="C526">
        <v>1146</v>
      </c>
      <c r="D526">
        <v>277</v>
      </c>
      <c r="E526">
        <v>4564.16</v>
      </c>
      <c r="F526" t="str">
        <v>B</v>
      </c>
    </row>
    <row r="527" spans="1:6" x14ac:dyDescent="0.2">
      <c r="A527" s="31">
        <v>44723</v>
      </c>
      <c r="B527" t="str">
        <v>New_Campaign</v>
      </c>
      <c r="C527">
        <v>1104</v>
      </c>
      <c r="D527">
        <v>234</v>
      </c>
      <c r="E527">
        <v>3998.31</v>
      </c>
      <c r="F527" t="str">
        <v>B</v>
      </c>
    </row>
    <row r="528" spans="1:6" x14ac:dyDescent="0.2">
      <c r="A528" s="31">
        <v>44724</v>
      </c>
      <c r="B528" t="str">
        <v>New_Campaign</v>
      </c>
      <c r="C528">
        <v>1085</v>
      </c>
      <c r="D528">
        <v>256</v>
      </c>
      <c r="E528">
        <v>3990.72</v>
      </c>
      <c r="F528" t="str">
        <v>B</v>
      </c>
    </row>
    <row r="529" spans="1:6" x14ac:dyDescent="0.2">
      <c r="A529" s="31">
        <v>44725</v>
      </c>
      <c r="B529" t="str">
        <v>New_Campaign</v>
      </c>
      <c r="C529">
        <v>1177</v>
      </c>
      <c r="D529">
        <v>263</v>
      </c>
      <c r="E529">
        <v>4867.1499999999996</v>
      </c>
      <c r="F529" t="str">
        <v>B</v>
      </c>
    </row>
    <row r="530" spans="1:6" x14ac:dyDescent="0.2">
      <c r="A530" s="31">
        <v>44726</v>
      </c>
      <c r="B530" t="str">
        <v>New_Campaign</v>
      </c>
      <c r="C530">
        <v>1228</v>
      </c>
      <c r="D530">
        <v>295</v>
      </c>
      <c r="E530">
        <v>4112.41</v>
      </c>
      <c r="F530" t="str">
        <v>B</v>
      </c>
    </row>
    <row r="531" spans="1:6" x14ac:dyDescent="0.2">
      <c r="A531" s="31">
        <v>44727</v>
      </c>
      <c r="B531" t="str">
        <v>New_Campaign</v>
      </c>
      <c r="C531">
        <v>1138</v>
      </c>
      <c r="D531">
        <v>261</v>
      </c>
      <c r="E531">
        <v>3087.16</v>
      </c>
      <c r="F531" t="str">
        <v>B</v>
      </c>
    </row>
    <row r="532" spans="1:6" x14ac:dyDescent="0.2">
      <c r="A532" s="31">
        <v>44728</v>
      </c>
      <c r="B532" t="str">
        <v>New_Campaign</v>
      </c>
      <c r="C532">
        <v>1173</v>
      </c>
      <c r="D532">
        <v>297</v>
      </c>
      <c r="E532">
        <v>4664.5600000000004</v>
      </c>
      <c r="F532" t="str">
        <v>B</v>
      </c>
    </row>
    <row r="533" spans="1:6" x14ac:dyDescent="0.2">
      <c r="A533" s="31">
        <v>44729</v>
      </c>
      <c r="B533" t="str">
        <v>New_Campaign</v>
      </c>
      <c r="C533">
        <v>1147</v>
      </c>
      <c r="D533">
        <v>246</v>
      </c>
      <c r="E533">
        <v>4214.8500000000004</v>
      </c>
      <c r="F533" t="str">
        <v>B</v>
      </c>
    </row>
    <row r="534" spans="1:6" x14ac:dyDescent="0.2">
      <c r="A534" s="31">
        <v>44730</v>
      </c>
      <c r="B534" t="str">
        <v>New_Campaign</v>
      </c>
      <c r="C534">
        <v>1146</v>
      </c>
      <c r="D534">
        <v>256</v>
      </c>
      <c r="E534">
        <v>3863.85</v>
      </c>
      <c r="F534" t="str">
        <v>B</v>
      </c>
    </row>
    <row r="535" spans="1:6" x14ac:dyDescent="0.2">
      <c r="A535" s="31">
        <v>44731</v>
      </c>
      <c r="B535" t="str">
        <v>New_Campaign</v>
      </c>
      <c r="C535">
        <v>1154</v>
      </c>
      <c r="D535">
        <v>235</v>
      </c>
      <c r="E535">
        <v>4104.7700000000004</v>
      </c>
      <c r="F535" t="str">
        <v>B</v>
      </c>
    </row>
    <row r="536" spans="1:6" x14ac:dyDescent="0.2">
      <c r="A536" s="31">
        <v>44732</v>
      </c>
      <c r="B536" t="str">
        <v>New_Campaign</v>
      </c>
      <c r="C536">
        <v>1136</v>
      </c>
      <c r="D536">
        <v>259</v>
      </c>
      <c r="E536">
        <v>3504.52</v>
      </c>
      <c r="F536" t="str">
        <v>B</v>
      </c>
    </row>
    <row r="537" spans="1:6" x14ac:dyDescent="0.2">
      <c r="A537" s="31">
        <v>44733</v>
      </c>
      <c r="B537" t="str">
        <v>New_Campaign</v>
      </c>
      <c r="C537">
        <v>1160</v>
      </c>
      <c r="D537">
        <v>261</v>
      </c>
      <c r="E537">
        <v>4457.0600000000004</v>
      </c>
      <c r="F537" t="str">
        <v>B</v>
      </c>
    </row>
    <row r="538" spans="1:6" x14ac:dyDescent="0.2">
      <c r="A538" s="31">
        <v>44734</v>
      </c>
      <c r="B538" t="str">
        <v>New_Campaign</v>
      </c>
      <c r="C538">
        <v>1095</v>
      </c>
      <c r="D538">
        <v>244</v>
      </c>
      <c r="E538">
        <v>3078.17</v>
      </c>
      <c r="F538" t="str">
        <v>B</v>
      </c>
    </row>
    <row r="539" spans="1:6" x14ac:dyDescent="0.2">
      <c r="A539" s="31">
        <v>44735</v>
      </c>
      <c r="B539" t="str">
        <v>New_Campaign</v>
      </c>
      <c r="C539">
        <v>1118</v>
      </c>
      <c r="D539">
        <v>235</v>
      </c>
      <c r="E539">
        <v>3925.05</v>
      </c>
      <c r="F539" t="str">
        <v>B</v>
      </c>
    </row>
    <row r="540" spans="1:6" x14ac:dyDescent="0.2">
      <c r="A540" s="31">
        <v>44736</v>
      </c>
      <c r="B540" t="str">
        <v>New_Campaign</v>
      </c>
      <c r="C540">
        <v>1191</v>
      </c>
      <c r="D540">
        <v>271</v>
      </c>
      <c r="E540">
        <v>4106.25</v>
      </c>
      <c r="F540" t="str">
        <v>B</v>
      </c>
    </row>
    <row r="541" spans="1:6" x14ac:dyDescent="0.2">
      <c r="A541" s="31">
        <v>44737</v>
      </c>
      <c r="B541" t="str">
        <v>New_Campaign</v>
      </c>
      <c r="C541">
        <v>1080</v>
      </c>
      <c r="D541">
        <v>262</v>
      </c>
      <c r="E541">
        <v>4343.53</v>
      </c>
      <c r="F541" t="str">
        <v>B</v>
      </c>
    </row>
    <row r="542" spans="1:6" x14ac:dyDescent="0.2">
      <c r="A542" s="31">
        <v>44738</v>
      </c>
      <c r="B542" t="str">
        <v>New_Campaign</v>
      </c>
      <c r="C542">
        <v>1197</v>
      </c>
      <c r="D542">
        <v>296</v>
      </c>
      <c r="E542">
        <v>4795.67</v>
      </c>
      <c r="F542" t="str">
        <v>B</v>
      </c>
    </row>
    <row r="543" spans="1:6" x14ac:dyDescent="0.2">
      <c r="A543" s="31">
        <v>44739</v>
      </c>
      <c r="B543" t="str">
        <v>New_Campaign</v>
      </c>
      <c r="C543">
        <v>1083</v>
      </c>
      <c r="D543">
        <v>258</v>
      </c>
      <c r="E543">
        <v>5327.53</v>
      </c>
      <c r="F543" t="str">
        <v>B</v>
      </c>
    </row>
    <row r="544" spans="1:6" x14ac:dyDescent="0.2">
      <c r="A544" s="31">
        <v>44740</v>
      </c>
      <c r="B544" t="str">
        <v>New_Campaign</v>
      </c>
      <c r="C544">
        <v>1126</v>
      </c>
      <c r="D544">
        <v>263</v>
      </c>
      <c r="E544">
        <v>4026.05</v>
      </c>
      <c r="F544" t="str">
        <v>B</v>
      </c>
    </row>
    <row r="545" spans="1:6" x14ac:dyDescent="0.2">
      <c r="A545" s="31">
        <v>44741</v>
      </c>
      <c r="B545" t="str">
        <v>New_Campaign</v>
      </c>
      <c r="C545">
        <v>1164</v>
      </c>
      <c r="D545">
        <v>285</v>
      </c>
      <c r="E545">
        <v>4845.96</v>
      </c>
      <c r="F545" t="str">
        <v>B</v>
      </c>
    </row>
    <row r="546" spans="1:6" x14ac:dyDescent="0.2">
      <c r="A546" s="31">
        <v>44742</v>
      </c>
      <c r="B546" t="str">
        <v>New_Campaign</v>
      </c>
      <c r="C546">
        <v>1227</v>
      </c>
      <c r="D546">
        <v>280</v>
      </c>
      <c r="E546">
        <v>3693.63</v>
      </c>
      <c r="F546" t="str">
        <v>B</v>
      </c>
    </row>
    <row r="547" spans="1:6" x14ac:dyDescent="0.2">
      <c r="A547" s="31">
        <v>44743</v>
      </c>
      <c r="B547" t="str">
        <v>New_Campaign</v>
      </c>
      <c r="C547">
        <v>1121</v>
      </c>
      <c r="D547">
        <v>264</v>
      </c>
      <c r="E547">
        <v>4187.2299999999996</v>
      </c>
      <c r="F547" t="str">
        <v>B</v>
      </c>
    </row>
    <row r="548" spans="1:6" x14ac:dyDescent="0.2">
      <c r="A548" s="31">
        <v>44744</v>
      </c>
      <c r="B548" t="str">
        <v>New_Campaign</v>
      </c>
      <c r="C548">
        <v>1191</v>
      </c>
      <c r="D548">
        <v>254</v>
      </c>
      <c r="E548">
        <v>4113.7</v>
      </c>
      <c r="F548" t="str">
        <v>B</v>
      </c>
    </row>
    <row r="549" spans="1:6" x14ac:dyDescent="0.2">
      <c r="A549" s="31">
        <v>44745</v>
      </c>
      <c r="B549" t="str">
        <v>New_Campaign</v>
      </c>
      <c r="C549">
        <v>1121</v>
      </c>
      <c r="D549">
        <v>233</v>
      </c>
      <c r="E549">
        <v>4067.69</v>
      </c>
      <c r="F549" t="str">
        <v>B</v>
      </c>
    </row>
    <row r="550" spans="1:6" x14ac:dyDescent="0.2">
      <c r="A550" s="31">
        <v>44746</v>
      </c>
      <c r="B550" t="str">
        <v>New_Campaign</v>
      </c>
      <c r="C550">
        <v>1167</v>
      </c>
      <c r="D550">
        <v>271</v>
      </c>
      <c r="E550">
        <v>4221.43</v>
      </c>
      <c r="F550" t="str">
        <v>B</v>
      </c>
    </row>
    <row r="551" spans="1:6" x14ac:dyDescent="0.2">
      <c r="A551" s="31">
        <v>44747</v>
      </c>
      <c r="B551" t="str">
        <v>New_Campaign</v>
      </c>
      <c r="C551">
        <v>1156</v>
      </c>
      <c r="D551">
        <v>260</v>
      </c>
      <c r="E551">
        <v>4154.3500000000004</v>
      </c>
      <c r="F551" t="str">
        <v>B</v>
      </c>
    </row>
    <row r="552" spans="1:6" x14ac:dyDescent="0.2">
      <c r="A552" s="31">
        <v>44748</v>
      </c>
      <c r="B552" t="str">
        <v>New_Campaign</v>
      </c>
      <c r="C552">
        <v>1137</v>
      </c>
      <c r="D552">
        <v>262</v>
      </c>
      <c r="E552">
        <v>4702.18</v>
      </c>
      <c r="F552" t="str">
        <v>B</v>
      </c>
    </row>
    <row r="553" spans="1:6" x14ac:dyDescent="0.2">
      <c r="A553" s="31">
        <v>44749</v>
      </c>
      <c r="B553" t="str">
        <v>New_Campaign</v>
      </c>
      <c r="C553">
        <v>1139</v>
      </c>
      <c r="D553">
        <v>285</v>
      </c>
      <c r="E553">
        <v>5586.82</v>
      </c>
      <c r="F553" t="str">
        <v>B</v>
      </c>
    </row>
    <row r="554" spans="1:6" x14ac:dyDescent="0.2">
      <c r="A554" s="31">
        <v>44750</v>
      </c>
      <c r="B554" t="str">
        <v>New_Campaign</v>
      </c>
      <c r="C554">
        <v>1137</v>
      </c>
      <c r="D554">
        <v>251</v>
      </c>
      <c r="E554">
        <v>4200.49</v>
      </c>
      <c r="F554" t="str">
        <v>B</v>
      </c>
    </row>
    <row r="555" spans="1:6" x14ac:dyDescent="0.2">
      <c r="A555" s="31">
        <v>44751</v>
      </c>
      <c r="B555" t="str">
        <v>New_Campaign</v>
      </c>
      <c r="C555">
        <v>1146</v>
      </c>
      <c r="D555">
        <v>256</v>
      </c>
      <c r="E555">
        <v>3793.26</v>
      </c>
      <c r="F555" t="str">
        <v>B</v>
      </c>
    </row>
    <row r="556" spans="1:6" x14ac:dyDescent="0.2">
      <c r="A556" s="31">
        <v>44752</v>
      </c>
      <c r="B556" t="str">
        <v>New_Campaign</v>
      </c>
      <c r="C556">
        <v>1153</v>
      </c>
      <c r="D556">
        <v>258</v>
      </c>
      <c r="E556">
        <v>4525.71</v>
      </c>
      <c r="F556" t="str">
        <v>B</v>
      </c>
    </row>
    <row r="557" spans="1:6" x14ac:dyDescent="0.2">
      <c r="A557" s="31">
        <v>44753</v>
      </c>
      <c r="B557" t="str">
        <v>New_Campaign</v>
      </c>
      <c r="C557">
        <v>1194</v>
      </c>
      <c r="D557">
        <v>284</v>
      </c>
      <c r="E557">
        <v>4770.8100000000004</v>
      </c>
      <c r="F557" t="str">
        <v>B</v>
      </c>
    </row>
    <row r="558" spans="1:6" x14ac:dyDescent="0.2">
      <c r="A558" s="31">
        <v>44754</v>
      </c>
      <c r="B558" t="str">
        <v>New_Campaign</v>
      </c>
      <c r="C558">
        <v>1102</v>
      </c>
      <c r="D558">
        <v>259</v>
      </c>
      <c r="E558">
        <v>4150.97</v>
      </c>
      <c r="F558" t="str">
        <v>B</v>
      </c>
    </row>
    <row r="559" spans="1:6" x14ac:dyDescent="0.2">
      <c r="A559" s="31">
        <v>44755</v>
      </c>
      <c r="B559" t="str">
        <v>New_Campaign</v>
      </c>
      <c r="C559">
        <v>1166</v>
      </c>
      <c r="D559">
        <v>286</v>
      </c>
      <c r="E559">
        <v>4429.03</v>
      </c>
      <c r="F559" t="str">
        <v>B</v>
      </c>
    </row>
    <row r="560" spans="1:6" x14ac:dyDescent="0.2">
      <c r="A560" s="31">
        <v>44756</v>
      </c>
      <c r="B560" t="str">
        <v>New_Campaign</v>
      </c>
      <c r="C560">
        <v>1149</v>
      </c>
      <c r="D560">
        <v>264</v>
      </c>
      <c r="E560">
        <v>4569.54</v>
      </c>
      <c r="F560" t="str">
        <v>B</v>
      </c>
    </row>
    <row r="561" spans="1:6" x14ac:dyDescent="0.2">
      <c r="A561" s="31">
        <v>44757</v>
      </c>
      <c r="B561" t="str">
        <v>New_Campaign</v>
      </c>
      <c r="C561">
        <v>1123</v>
      </c>
      <c r="D561">
        <v>260</v>
      </c>
      <c r="E561">
        <v>3879.94</v>
      </c>
      <c r="F561" t="str">
        <v>B</v>
      </c>
    </row>
    <row r="562" spans="1:6" x14ac:dyDescent="0.2">
      <c r="A562" s="31">
        <v>44758</v>
      </c>
      <c r="B562" t="str">
        <v>New_Campaign</v>
      </c>
      <c r="C562">
        <v>1200</v>
      </c>
      <c r="D562">
        <v>269</v>
      </c>
      <c r="E562">
        <v>3884.89</v>
      </c>
      <c r="F562" t="str">
        <v>B</v>
      </c>
    </row>
    <row r="563" spans="1:6" x14ac:dyDescent="0.2">
      <c r="A563" s="31">
        <v>44759</v>
      </c>
      <c r="B563" t="str">
        <v>New_Campaign</v>
      </c>
      <c r="C563">
        <v>1155</v>
      </c>
      <c r="D563">
        <v>238</v>
      </c>
      <c r="E563">
        <v>4152.6899999999996</v>
      </c>
      <c r="F563" t="str">
        <v>B</v>
      </c>
    </row>
    <row r="564" spans="1:6" x14ac:dyDescent="0.2">
      <c r="A564" s="31">
        <v>44760</v>
      </c>
      <c r="B564" t="str">
        <v>New_Campaign</v>
      </c>
      <c r="C564">
        <v>1154</v>
      </c>
      <c r="D564">
        <v>268</v>
      </c>
      <c r="E564">
        <v>3611.16</v>
      </c>
      <c r="F564" t="str">
        <v>B</v>
      </c>
    </row>
    <row r="565" spans="1:6" x14ac:dyDescent="0.2">
      <c r="A565" s="31">
        <v>44761</v>
      </c>
      <c r="B565" t="str">
        <v>New_Campaign</v>
      </c>
      <c r="C565">
        <v>1138</v>
      </c>
      <c r="D565">
        <v>258</v>
      </c>
      <c r="E565">
        <v>4363.6499999999996</v>
      </c>
      <c r="F565" t="str">
        <v>B</v>
      </c>
    </row>
    <row r="566" spans="1:6" x14ac:dyDescent="0.2">
      <c r="A566" s="31">
        <v>44762</v>
      </c>
      <c r="B566" t="str">
        <v>New_Campaign</v>
      </c>
      <c r="C566">
        <v>1191</v>
      </c>
      <c r="D566">
        <v>265</v>
      </c>
      <c r="E566">
        <v>4533.3900000000003</v>
      </c>
      <c r="F566" t="str">
        <v>B</v>
      </c>
    </row>
    <row r="567" spans="1:6" x14ac:dyDescent="0.2">
      <c r="A567" s="31">
        <v>44763</v>
      </c>
      <c r="B567" t="str">
        <v>New_Campaign</v>
      </c>
      <c r="C567">
        <v>1159</v>
      </c>
      <c r="D567">
        <v>278</v>
      </c>
      <c r="E567">
        <v>5133.95</v>
      </c>
      <c r="F567" t="str">
        <v>B</v>
      </c>
    </row>
    <row r="568" spans="1:6" x14ac:dyDescent="0.2">
      <c r="A568" s="31">
        <v>44764</v>
      </c>
      <c r="B568" t="str">
        <v>New_Campaign</v>
      </c>
      <c r="C568">
        <v>1221</v>
      </c>
      <c r="D568">
        <v>265</v>
      </c>
      <c r="E568">
        <v>3604.85</v>
      </c>
      <c r="F568" t="str">
        <v>B</v>
      </c>
    </row>
    <row r="569" spans="1:6" x14ac:dyDescent="0.2">
      <c r="A569" s="31">
        <v>44765</v>
      </c>
      <c r="B569" t="str">
        <v>New_Campaign</v>
      </c>
      <c r="C569">
        <v>1168</v>
      </c>
      <c r="D569">
        <v>265</v>
      </c>
      <c r="E569">
        <v>4235.13</v>
      </c>
      <c r="F569" t="str">
        <v>B</v>
      </c>
    </row>
    <row r="570" spans="1:6" x14ac:dyDescent="0.2">
      <c r="A570" s="31">
        <v>44766</v>
      </c>
      <c r="B570" t="str">
        <v>New_Campaign</v>
      </c>
      <c r="C570">
        <v>1128</v>
      </c>
      <c r="D570">
        <v>258</v>
      </c>
      <c r="E570">
        <v>4743.75</v>
      </c>
      <c r="F570" t="str">
        <v>B</v>
      </c>
    </row>
    <row r="571" spans="1:6" x14ac:dyDescent="0.2">
      <c r="A571" s="31">
        <v>44767</v>
      </c>
      <c r="B571" t="str">
        <v>New_Campaign</v>
      </c>
      <c r="C571">
        <v>1102</v>
      </c>
      <c r="D571">
        <v>275</v>
      </c>
      <c r="E571">
        <v>4823.9399999999996</v>
      </c>
      <c r="F571" t="str">
        <v>B</v>
      </c>
    </row>
    <row r="572" spans="1:6" x14ac:dyDescent="0.2">
      <c r="A572" s="31">
        <v>44768</v>
      </c>
      <c r="B572" t="str">
        <v>New_Campaign</v>
      </c>
      <c r="C572">
        <v>1150</v>
      </c>
      <c r="D572">
        <v>235</v>
      </c>
      <c r="E572">
        <v>2725.42</v>
      </c>
      <c r="F572" t="str">
        <v>B</v>
      </c>
    </row>
    <row r="573" spans="1:6" x14ac:dyDescent="0.2">
      <c r="A573" s="31">
        <v>44769</v>
      </c>
      <c r="B573" t="str">
        <v>New_Campaign</v>
      </c>
      <c r="C573">
        <v>1147</v>
      </c>
      <c r="D573">
        <v>254</v>
      </c>
      <c r="E573">
        <v>3604.29</v>
      </c>
      <c r="F573" t="str">
        <v>B</v>
      </c>
    </row>
    <row r="574" spans="1:6" x14ac:dyDescent="0.2">
      <c r="A574" s="31">
        <v>44770</v>
      </c>
      <c r="B574" t="str">
        <v>New_Campaign</v>
      </c>
      <c r="C574">
        <v>1175</v>
      </c>
      <c r="D574">
        <v>275</v>
      </c>
      <c r="E574">
        <v>4233.01</v>
      </c>
      <c r="F574" t="str">
        <v>B</v>
      </c>
    </row>
    <row r="575" spans="1:6" x14ac:dyDescent="0.2">
      <c r="A575" s="31">
        <v>44771</v>
      </c>
      <c r="B575" t="str">
        <v>New_Campaign</v>
      </c>
      <c r="C575">
        <v>1192</v>
      </c>
      <c r="D575">
        <v>280</v>
      </c>
      <c r="E575">
        <v>4441.99</v>
      </c>
      <c r="F575" t="str">
        <v>B</v>
      </c>
    </row>
    <row r="576" spans="1:6" x14ac:dyDescent="0.2">
      <c r="A576" s="31">
        <v>44772</v>
      </c>
      <c r="B576" t="str">
        <v>New_Campaign</v>
      </c>
      <c r="C576">
        <v>1214</v>
      </c>
      <c r="D576">
        <v>275</v>
      </c>
      <c r="E576">
        <v>5326.49</v>
      </c>
      <c r="F576" t="str">
        <v>B</v>
      </c>
    </row>
    <row r="577" spans="1:6" x14ac:dyDescent="0.2">
      <c r="A577" s="31">
        <v>44773</v>
      </c>
      <c r="B577" t="str">
        <v>New_Campaign</v>
      </c>
      <c r="C577">
        <v>1160</v>
      </c>
      <c r="D577">
        <v>251</v>
      </c>
      <c r="E577">
        <v>2922.66</v>
      </c>
      <c r="F577" t="str">
        <v>B</v>
      </c>
    </row>
    <row r="578" spans="1:6" x14ac:dyDescent="0.2">
      <c r="A578" s="31">
        <v>44774</v>
      </c>
      <c r="B578" t="str">
        <v>New_Campaign</v>
      </c>
      <c r="C578">
        <v>1204</v>
      </c>
      <c r="D578">
        <v>254</v>
      </c>
      <c r="E578">
        <v>4472</v>
      </c>
      <c r="F578" t="str">
        <v>B</v>
      </c>
    </row>
    <row r="579" spans="1:6" x14ac:dyDescent="0.2">
      <c r="A579" s="31">
        <v>44775</v>
      </c>
      <c r="B579" t="str">
        <v>New_Campaign</v>
      </c>
      <c r="C579">
        <v>1157</v>
      </c>
      <c r="D579">
        <v>285</v>
      </c>
      <c r="E579">
        <v>4333.53</v>
      </c>
      <c r="F579" t="str">
        <v>B</v>
      </c>
    </row>
    <row r="580" spans="1:6" x14ac:dyDescent="0.2">
      <c r="A580" s="31">
        <v>44776</v>
      </c>
      <c r="B580" t="str">
        <v>New_Campaign</v>
      </c>
      <c r="C580">
        <v>1178</v>
      </c>
      <c r="D580">
        <v>265</v>
      </c>
      <c r="E580">
        <v>3962.5</v>
      </c>
      <c r="F580" t="str">
        <v>B</v>
      </c>
    </row>
    <row r="581" spans="1:6" x14ac:dyDescent="0.2">
      <c r="A581" s="31">
        <v>44777</v>
      </c>
      <c r="B581" t="str">
        <v>New_Campaign</v>
      </c>
      <c r="C581">
        <v>1110</v>
      </c>
      <c r="D581">
        <v>250</v>
      </c>
      <c r="E581">
        <v>3410.45</v>
      </c>
      <c r="F581" t="str">
        <v>B</v>
      </c>
    </row>
    <row r="582" spans="1:6" x14ac:dyDescent="0.2">
      <c r="A582" s="31">
        <v>44778</v>
      </c>
      <c r="B582" t="str">
        <v>New_Campaign</v>
      </c>
      <c r="C582">
        <v>1122</v>
      </c>
      <c r="D582">
        <v>242</v>
      </c>
      <c r="E582">
        <v>3013.4</v>
      </c>
      <c r="F582" t="str">
        <v>B</v>
      </c>
    </row>
    <row r="583" spans="1:6" x14ac:dyDescent="0.2">
      <c r="A583" s="31">
        <v>44779</v>
      </c>
      <c r="B583" t="str">
        <v>New_Campaign</v>
      </c>
      <c r="C583">
        <v>1142</v>
      </c>
      <c r="D583">
        <v>265</v>
      </c>
      <c r="E583">
        <v>4867.51</v>
      </c>
      <c r="F583" t="str">
        <v>B</v>
      </c>
    </row>
    <row r="584" spans="1:6" x14ac:dyDescent="0.2">
      <c r="A584" s="31">
        <v>44780</v>
      </c>
      <c r="B584" t="str">
        <v>New_Campaign</v>
      </c>
      <c r="C584">
        <v>1215</v>
      </c>
      <c r="D584">
        <v>272</v>
      </c>
      <c r="E584">
        <v>5313.88</v>
      </c>
      <c r="F584" t="str">
        <v>B</v>
      </c>
    </row>
    <row r="585" spans="1:6" x14ac:dyDescent="0.2">
      <c r="A585" s="31">
        <v>44781</v>
      </c>
      <c r="B585" t="str">
        <v>New_Campaign</v>
      </c>
      <c r="C585">
        <v>1132</v>
      </c>
      <c r="D585">
        <v>274</v>
      </c>
      <c r="E585">
        <v>5150.92</v>
      </c>
      <c r="F585" t="str">
        <v>B</v>
      </c>
    </row>
    <row r="586" spans="1:6" x14ac:dyDescent="0.2">
      <c r="A586" s="31">
        <v>44782</v>
      </c>
      <c r="B586" t="str">
        <v>New_Campaign</v>
      </c>
      <c r="C586">
        <v>1184</v>
      </c>
      <c r="D586">
        <v>246</v>
      </c>
      <c r="E586">
        <v>3925.55</v>
      </c>
      <c r="F586" t="str">
        <v>B</v>
      </c>
    </row>
    <row r="587" spans="1:6" x14ac:dyDescent="0.2">
      <c r="A587" s="31">
        <v>44783</v>
      </c>
      <c r="B587" t="str">
        <v>New_Campaign</v>
      </c>
      <c r="C587">
        <v>1145</v>
      </c>
      <c r="D587">
        <v>269</v>
      </c>
      <c r="E587">
        <v>5184.57</v>
      </c>
      <c r="F587" t="str">
        <v>B</v>
      </c>
    </row>
    <row r="588" spans="1:6" x14ac:dyDescent="0.2">
      <c r="A588" s="31">
        <v>44784</v>
      </c>
      <c r="B588" t="str">
        <v>New_Campaign</v>
      </c>
      <c r="C588">
        <v>1130</v>
      </c>
      <c r="D588">
        <v>270</v>
      </c>
      <c r="E588">
        <v>4551.3</v>
      </c>
      <c r="F588" t="str">
        <v>B</v>
      </c>
    </row>
    <row r="589" spans="1:6" x14ac:dyDescent="0.2">
      <c r="A589" s="31">
        <v>44785</v>
      </c>
      <c r="B589" t="str">
        <v>New_Campaign</v>
      </c>
      <c r="C589">
        <v>1154</v>
      </c>
      <c r="D589">
        <v>261</v>
      </c>
      <c r="E589">
        <v>3835.83</v>
      </c>
      <c r="F589" t="str">
        <v>B</v>
      </c>
    </row>
    <row r="590" spans="1:6" x14ac:dyDescent="0.2">
      <c r="A590" s="31">
        <v>44786</v>
      </c>
      <c r="B590" t="str">
        <v>New_Campaign</v>
      </c>
      <c r="C590">
        <v>1143</v>
      </c>
      <c r="D590">
        <v>269</v>
      </c>
      <c r="E590">
        <v>4756.88</v>
      </c>
      <c r="F590" t="str">
        <v>B</v>
      </c>
    </row>
    <row r="591" spans="1:6" x14ac:dyDescent="0.2">
      <c r="A591" s="31">
        <v>44787</v>
      </c>
      <c r="B591" t="str">
        <v>New_Campaign</v>
      </c>
      <c r="C591">
        <v>1167</v>
      </c>
      <c r="D591">
        <v>265</v>
      </c>
      <c r="E591">
        <v>4626.1099999999997</v>
      </c>
      <c r="F591" t="str">
        <v>B</v>
      </c>
    </row>
    <row r="592" spans="1:6" x14ac:dyDescent="0.2">
      <c r="A592" s="31">
        <v>44788</v>
      </c>
      <c r="B592" t="str">
        <v>New_Campaign</v>
      </c>
      <c r="C592">
        <v>1153</v>
      </c>
      <c r="D592">
        <v>269</v>
      </c>
      <c r="E592">
        <v>3495.46</v>
      </c>
      <c r="F592" t="str">
        <v>B</v>
      </c>
    </row>
    <row r="593" spans="1:6" x14ac:dyDescent="0.2">
      <c r="A593" s="31">
        <v>44789</v>
      </c>
      <c r="B593" t="str">
        <v>New_Campaign</v>
      </c>
      <c r="C593">
        <v>1123</v>
      </c>
      <c r="D593">
        <v>252</v>
      </c>
      <c r="E593">
        <v>4038.57</v>
      </c>
      <c r="F593" t="str">
        <v>B</v>
      </c>
    </row>
    <row r="594" spans="1:6" x14ac:dyDescent="0.2">
      <c r="A594" s="31">
        <v>44790</v>
      </c>
      <c r="B594" t="str">
        <v>New_Campaign</v>
      </c>
      <c r="C594">
        <v>1166</v>
      </c>
      <c r="D594">
        <v>277</v>
      </c>
      <c r="E594">
        <v>4236.0600000000004</v>
      </c>
      <c r="F594" t="str">
        <v>B</v>
      </c>
    </row>
    <row r="595" spans="1:6" x14ac:dyDescent="0.2">
      <c r="A595" s="31">
        <v>44791</v>
      </c>
      <c r="B595" t="str">
        <v>New_Campaign</v>
      </c>
      <c r="C595">
        <v>1180</v>
      </c>
      <c r="D595">
        <v>295</v>
      </c>
      <c r="E595">
        <v>4996.7</v>
      </c>
      <c r="F595" t="str">
        <v>B</v>
      </c>
    </row>
    <row r="596" spans="1:6" x14ac:dyDescent="0.2">
      <c r="A596" s="31">
        <v>44792</v>
      </c>
      <c r="B596" t="str">
        <v>New_Campaign</v>
      </c>
      <c r="C596">
        <v>1196</v>
      </c>
      <c r="D596">
        <v>241</v>
      </c>
      <c r="E596">
        <v>3156.65</v>
      </c>
      <c r="F596" t="str">
        <v>B</v>
      </c>
    </row>
    <row r="597" spans="1:6" x14ac:dyDescent="0.2">
      <c r="A597" s="31">
        <v>44793</v>
      </c>
      <c r="B597" t="str">
        <v>New_Campaign</v>
      </c>
      <c r="C597">
        <v>1168</v>
      </c>
      <c r="D597">
        <v>257</v>
      </c>
      <c r="E597">
        <v>4466.7</v>
      </c>
      <c r="F597" t="str">
        <v>B</v>
      </c>
    </row>
    <row r="598" spans="1:6" x14ac:dyDescent="0.2">
      <c r="A598" s="31">
        <v>44794</v>
      </c>
      <c r="B598" t="str">
        <v>New_Campaign</v>
      </c>
      <c r="C598">
        <v>1150</v>
      </c>
      <c r="D598">
        <v>271</v>
      </c>
      <c r="E598">
        <v>4440.8100000000004</v>
      </c>
      <c r="F598" t="str">
        <v>B</v>
      </c>
    </row>
    <row r="599" spans="1:6" x14ac:dyDescent="0.2">
      <c r="A599" s="31">
        <v>44795</v>
      </c>
      <c r="B599" t="str">
        <v>New_Campaign</v>
      </c>
      <c r="C599">
        <v>1165</v>
      </c>
      <c r="D599">
        <v>278</v>
      </c>
      <c r="E599">
        <v>2925.04</v>
      </c>
      <c r="F599" t="str">
        <v>B</v>
      </c>
    </row>
    <row r="600" spans="1:6" x14ac:dyDescent="0.2">
      <c r="A600" s="31">
        <v>44796</v>
      </c>
      <c r="B600" t="str">
        <v>New_Campaign</v>
      </c>
      <c r="C600">
        <v>1136</v>
      </c>
      <c r="D600">
        <v>270</v>
      </c>
      <c r="E600">
        <v>4526.63</v>
      </c>
      <c r="F600" t="str">
        <v>B</v>
      </c>
    </row>
    <row r="601" spans="1:6" x14ac:dyDescent="0.2">
      <c r="A601" s="31">
        <v>44797</v>
      </c>
      <c r="B601" t="str">
        <v>New_Campaign</v>
      </c>
      <c r="C601">
        <v>1125</v>
      </c>
      <c r="D601">
        <v>252</v>
      </c>
      <c r="E601">
        <v>4263.33</v>
      </c>
      <c r="F601" t="str">
        <v>B</v>
      </c>
    </row>
    <row r="602" spans="1:6" x14ac:dyDescent="0.2">
      <c r="A602" s="31">
        <v>44798</v>
      </c>
      <c r="B602" t="str">
        <v>New_Campaign</v>
      </c>
      <c r="C602">
        <v>1183</v>
      </c>
      <c r="D602">
        <v>296</v>
      </c>
      <c r="E602">
        <v>4758.32</v>
      </c>
      <c r="F602" t="str">
        <v>B</v>
      </c>
    </row>
    <row r="603" spans="1:6" x14ac:dyDescent="0.2">
      <c r="A603" s="31">
        <v>44799</v>
      </c>
      <c r="B603" t="str">
        <v>New_Campaign</v>
      </c>
      <c r="C603">
        <v>1132</v>
      </c>
      <c r="D603">
        <v>259</v>
      </c>
      <c r="E603">
        <v>3975.13</v>
      </c>
      <c r="F603" t="str">
        <v>B</v>
      </c>
    </row>
    <row r="604" spans="1:6" x14ac:dyDescent="0.2">
      <c r="A604" s="31">
        <v>44800</v>
      </c>
      <c r="B604" t="str">
        <v>New_Campaign</v>
      </c>
      <c r="C604">
        <v>1167</v>
      </c>
      <c r="D604">
        <v>264</v>
      </c>
      <c r="E604">
        <v>4726.91</v>
      </c>
      <c r="F604" t="str">
        <v>B</v>
      </c>
    </row>
    <row r="605" spans="1:6" x14ac:dyDescent="0.2">
      <c r="A605" s="31">
        <v>44801</v>
      </c>
      <c r="B605" t="str">
        <v>New_Campaign</v>
      </c>
      <c r="C605">
        <v>1178</v>
      </c>
      <c r="D605">
        <v>259</v>
      </c>
      <c r="E605">
        <v>3621.9</v>
      </c>
      <c r="F605" t="str">
        <v>B</v>
      </c>
    </row>
    <row r="606" spans="1:6" x14ac:dyDescent="0.2">
      <c r="A606" s="31">
        <v>44802</v>
      </c>
      <c r="B606" t="str">
        <v>New_Campaign</v>
      </c>
      <c r="C606">
        <v>1163</v>
      </c>
      <c r="D606">
        <v>251</v>
      </c>
      <c r="E606">
        <v>4803.2299999999996</v>
      </c>
      <c r="F606" t="str">
        <v>B</v>
      </c>
    </row>
    <row r="607" spans="1:6" x14ac:dyDescent="0.2">
      <c r="A607" s="31">
        <v>44803</v>
      </c>
      <c r="B607" t="str">
        <v>New_Campaign</v>
      </c>
      <c r="C607">
        <v>1138</v>
      </c>
      <c r="D607">
        <v>252</v>
      </c>
      <c r="E607">
        <v>4009.64</v>
      </c>
      <c r="F607" t="str">
        <v>B</v>
      </c>
    </row>
    <row r="608" spans="1:6" x14ac:dyDescent="0.2">
      <c r="A608" s="31">
        <v>44804</v>
      </c>
      <c r="B608" t="str">
        <v>New_Campaign</v>
      </c>
      <c r="C608">
        <v>1159</v>
      </c>
      <c r="D608">
        <v>270</v>
      </c>
      <c r="E608">
        <v>4706.96</v>
      </c>
      <c r="F608" t="str">
        <v>B</v>
      </c>
    </row>
    <row r="609" spans="1:6" x14ac:dyDescent="0.2">
      <c r="A609" s="31">
        <v>44805</v>
      </c>
      <c r="B609" t="str">
        <v>New_Campaign</v>
      </c>
      <c r="C609">
        <v>1106</v>
      </c>
      <c r="D609">
        <v>226</v>
      </c>
      <c r="E609">
        <v>4224.01</v>
      </c>
      <c r="F609" t="str">
        <v>B</v>
      </c>
    </row>
    <row r="610" spans="1:6" x14ac:dyDescent="0.2">
      <c r="A610" s="31">
        <v>44806</v>
      </c>
      <c r="B610" t="str">
        <v>New_Campaign</v>
      </c>
      <c r="C610">
        <v>1139</v>
      </c>
      <c r="D610">
        <v>276</v>
      </c>
      <c r="E610">
        <v>3591.29</v>
      </c>
      <c r="F610" t="str">
        <v>B</v>
      </c>
    </row>
    <row r="611" spans="1:6" x14ac:dyDescent="0.2">
      <c r="A611" s="31">
        <v>44807</v>
      </c>
      <c r="B611" t="str">
        <v>New_Campaign</v>
      </c>
      <c r="C611">
        <v>1217</v>
      </c>
      <c r="D611">
        <v>241</v>
      </c>
      <c r="E611">
        <v>4108.55</v>
      </c>
      <c r="F611" t="str">
        <v>B</v>
      </c>
    </row>
    <row r="612" spans="1:6" x14ac:dyDescent="0.2">
      <c r="A612" s="31">
        <v>44808</v>
      </c>
      <c r="B612" t="str">
        <v>New_Campaign</v>
      </c>
      <c r="C612">
        <v>1069</v>
      </c>
      <c r="D612">
        <v>247</v>
      </c>
      <c r="E612">
        <v>4254.72</v>
      </c>
      <c r="F612" t="str">
        <v>B</v>
      </c>
    </row>
    <row r="613" spans="1:6" x14ac:dyDescent="0.2">
      <c r="A613" s="31">
        <v>44809</v>
      </c>
      <c r="B613" t="str">
        <v>New_Campaign</v>
      </c>
      <c r="C613">
        <v>1128</v>
      </c>
      <c r="D613">
        <v>244</v>
      </c>
      <c r="E613">
        <v>3398.36</v>
      </c>
      <c r="F613" t="str">
        <v>B</v>
      </c>
    </row>
    <row r="614" spans="1:6" x14ac:dyDescent="0.2">
      <c r="A614" s="31">
        <v>44810</v>
      </c>
      <c r="B614" t="str">
        <v>New_Campaign</v>
      </c>
      <c r="C614">
        <v>1125</v>
      </c>
      <c r="D614">
        <v>234</v>
      </c>
      <c r="E614">
        <v>4549.97</v>
      </c>
      <c r="F614" t="str">
        <v>B</v>
      </c>
    </row>
    <row r="615" spans="1:6" x14ac:dyDescent="0.2">
      <c r="A615" s="31">
        <v>44811</v>
      </c>
      <c r="B615" t="str">
        <v>New_Campaign</v>
      </c>
      <c r="C615">
        <v>1132</v>
      </c>
      <c r="D615">
        <v>286</v>
      </c>
      <c r="E615">
        <v>4444.1000000000004</v>
      </c>
      <c r="F615" t="str">
        <v>B</v>
      </c>
    </row>
    <row r="616" spans="1:6" x14ac:dyDescent="0.2">
      <c r="A616" s="31">
        <v>44812</v>
      </c>
      <c r="B616" t="str">
        <v>New_Campaign</v>
      </c>
      <c r="C616">
        <v>1157</v>
      </c>
      <c r="D616">
        <v>255</v>
      </c>
      <c r="E616">
        <v>4800.13</v>
      </c>
      <c r="F616" t="str">
        <v>B</v>
      </c>
    </row>
    <row r="617" spans="1:6" x14ac:dyDescent="0.2">
      <c r="A617" s="31">
        <v>44813</v>
      </c>
      <c r="B617" t="str">
        <v>New_Campaign</v>
      </c>
      <c r="C617">
        <v>1100</v>
      </c>
      <c r="D617">
        <v>233</v>
      </c>
      <c r="E617">
        <v>3822.26</v>
      </c>
      <c r="F617" t="str">
        <v>B</v>
      </c>
    </row>
    <row r="618" spans="1:6" x14ac:dyDescent="0.2">
      <c r="A618" s="31">
        <v>44814</v>
      </c>
      <c r="B618" t="str">
        <v>New_Campaign</v>
      </c>
      <c r="C618">
        <v>1127</v>
      </c>
      <c r="D618">
        <v>236</v>
      </c>
      <c r="E618">
        <v>3284.05</v>
      </c>
      <c r="F618" t="str">
        <v>B</v>
      </c>
    </row>
    <row r="619" spans="1:6" x14ac:dyDescent="0.2">
      <c r="A619" s="31">
        <v>44815</v>
      </c>
      <c r="B619" t="str">
        <v>New_Campaign</v>
      </c>
      <c r="C619">
        <v>1130</v>
      </c>
      <c r="D619">
        <v>236</v>
      </c>
      <c r="E619">
        <v>4019.86</v>
      </c>
      <c r="F619" t="str">
        <v>B</v>
      </c>
    </row>
    <row r="620" spans="1:6" x14ac:dyDescent="0.2">
      <c r="A620" s="31">
        <v>44816</v>
      </c>
      <c r="B620" t="str">
        <v>New_Campaign</v>
      </c>
      <c r="C620">
        <v>1086</v>
      </c>
      <c r="D620">
        <v>239</v>
      </c>
      <c r="E620">
        <v>3745.49</v>
      </c>
      <c r="F620" t="str">
        <v>B</v>
      </c>
    </row>
    <row r="621" spans="1:6" x14ac:dyDescent="0.2">
      <c r="A621" s="31">
        <v>44817</v>
      </c>
      <c r="B621" t="str">
        <v>New_Campaign</v>
      </c>
      <c r="C621">
        <v>1135</v>
      </c>
      <c r="D621">
        <v>256</v>
      </c>
      <c r="E621">
        <v>4453.3599999999997</v>
      </c>
      <c r="F621" t="str">
        <v>B</v>
      </c>
    </row>
    <row r="622" spans="1:6" x14ac:dyDescent="0.2">
      <c r="A622" s="31">
        <v>44818</v>
      </c>
      <c r="B622" t="str">
        <v>New_Campaign</v>
      </c>
      <c r="C622">
        <v>1151</v>
      </c>
      <c r="D622">
        <v>270</v>
      </c>
      <c r="E622">
        <v>5368.81</v>
      </c>
      <c r="F622" t="str">
        <v>B</v>
      </c>
    </row>
    <row r="623" spans="1:6" x14ac:dyDescent="0.2">
      <c r="A623" s="31">
        <v>44819</v>
      </c>
      <c r="B623" t="str">
        <v>New_Campaign</v>
      </c>
      <c r="C623">
        <v>1113</v>
      </c>
      <c r="D623">
        <v>284</v>
      </c>
      <c r="E623">
        <v>4397.3599999999997</v>
      </c>
      <c r="F623" t="str">
        <v>B</v>
      </c>
    </row>
    <row r="624" spans="1:6" x14ac:dyDescent="0.2">
      <c r="A624" s="31">
        <v>44820</v>
      </c>
      <c r="B624" t="str">
        <v>New_Campaign</v>
      </c>
      <c r="C624">
        <v>1149</v>
      </c>
      <c r="D624">
        <v>247</v>
      </c>
      <c r="E624">
        <v>3773.66</v>
      </c>
      <c r="F624" t="str">
        <v>B</v>
      </c>
    </row>
    <row r="625" spans="1:6" x14ac:dyDescent="0.2">
      <c r="A625" s="31">
        <v>44821</v>
      </c>
      <c r="B625" t="str">
        <v>New_Campaign</v>
      </c>
      <c r="C625">
        <v>1159</v>
      </c>
      <c r="D625">
        <v>279</v>
      </c>
      <c r="E625">
        <v>4845.76</v>
      </c>
      <c r="F625" t="str">
        <v>B</v>
      </c>
    </row>
    <row r="626" spans="1:6" x14ac:dyDescent="0.2">
      <c r="A626" s="31">
        <v>44822</v>
      </c>
      <c r="B626" t="str">
        <v>New_Campaign</v>
      </c>
      <c r="C626">
        <v>1165</v>
      </c>
      <c r="D626">
        <v>278</v>
      </c>
      <c r="E626">
        <v>3516.99</v>
      </c>
      <c r="F626" t="str">
        <v>B</v>
      </c>
    </row>
    <row r="627" spans="1:6" x14ac:dyDescent="0.2">
      <c r="A627" s="31">
        <v>44823</v>
      </c>
      <c r="B627" t="str">
        <v>New_Campaign</v>
      </c>
      <c r="C627">
        <v>1157</v>
      </c>
      <c r="D627">
        <v>275</v>
      </c>
      <c r="E627">
        <v>4168.9799999999996</v>
      </c>
      <c r="F627" t="str">
        <v>B</v>
      </c>
    </row>
    <row r="628" spans="1:6" x14ac:dyDescent="0.2">
      <c r="A628" s="31">
        <v>44824</v>
      </c>
      <c r="B628" t="str">
        <v>New_Campaign</v>
      </c>
      <c r="C628">
        <v>1149</v>
      </c>
      <c r="D628">
        <v>272</v>
      </c>
      <c r="E628">
        <v>4055.42</v>
      </c>
      <c r="F628" t="str">
        <v>B</v>
      </c>
    </row>
    <row r="629" spans="1:6" x14ac:dyDescent="0.2">
      <c r="A629" s="31">
        <v>44825</v>
      </c>
      <c r="B629" t="str">
        <v>New_Campaign</v>
      </c>
      <c r="C629">
        <v>1147</v>
      </c>
      <c r="D629">
        <v>260</v>
      </c>
      <c r="E629">
        <v>3224.93</v>
      </c>
      <c r="F629" t="str">
        <v>B</v>
      </c>
    </row>
    <row r="630" spans="1:6" x14ac:dyDescent="0.2">
      <c r="A630" s="31">
        <v>44826</v>
      </c>
      <c r="B630" t="str">
        <v>New_Campaign</v>
      </c>
      <c r="C630">
        <v>1119</v>
      </c>
      <c r="D630">
        <v>265</v>
      </c>
      <c r="E630">
        <v>3922.09</v>
      </c>
      <c r="F630" t="str">
        <v>B</v>
      </c>
    </row>
    <row r="631" spans="1:6" x14ac:dyDescent="0.2">
      <c r="A631" s="31">
        <v>44827</v>
      </c>
      <c r="B631" t="str">
        <v>New_Campaign</v>
      </c>
      <c r="C631">
        <v>1155</v>
      </c>
      <c r="D631">
        <v>289</v>
      </c>
      <c r="E631">
        <v>4057.52</v>
      </c>
      <c r="F631" t="str">
        <v>B</v>
      </c>
    </row>
    <row r="632" spans="1:6" x14ac:dyDescent="0.2">
      <c r="A632" s="31">
        <v>44828</v>
      </c>
      <c r="B632" t="str">
        <v>New_Campaign</v>
      </c>
      <c r="C632">
        <v>1121</v>
      </c>
      <c r="D632">
        <v>268</v>
      </c>
      <c r="E632">
        <v>5184.33</v>
      </c>
      <c r="F632" t="str">
        <v>B</v>
      </c>
    </row>
    <row r="633" spans="1:6" x14ac:dyDescent="0.2">
      <c r="A633" s="31">
        <v>44829</v>
      </c>
      <c r="B633" t="str">
        <v>New_Campaign</v>
      </c>
      <c r="C633">
        <v>1161</v>
      </c>
      <c r="D633">
        <v>273</v>
      </c>
      <c r="E633">
        <v>4917.67</v>
      </c>
      <c r="F633" t="str">
        <v>B</v>
      </c>
    </row>
    <row r="634" spans="1:6" x14ac:dyDescent="0.2">
      <c r="A634" s="31">
        <v>44830</v>
      </c>
      <c r="B634" t="str">
        <v>New_Campaign</v>
      </c>
      <c r="C634">
        <v>1134</v>
      </c>
      <c r="D634">
        <v>266</v>
      </c>
      <c r="E634">
        <v>4820</v>
      </c>
      <c r="F634" t="str">
        <v>B</v>
      </c>
    </row>
    <row r="635" spans="1:6" x14ac:dyDescent="0.2">
      <c r="A635" s="31">
        <v>44831</v>
      </c>
      <c r="B635" t="str">
        <v>New_Campaign</v>
      </c>
      <c r="C635">
        <v>1101</v>
      </c>
      <c r="D635">
        <v>252</v>
      </c>
      <c r="E635">
        <v>4236.6499999999996</v>
      </c>
      <c r="F635" t="str">
        <v>B</v>
      </c>
    </row>
    <row r="636" spans="1:6" x14ac:dyDescent="0.2">
      <c r="A636" s="31">
        <v>44832</v>
      </c>
      <c r="B636" t="str">
        <v>New_Campaign</v>
      </c>
      <c r="C636">
        <v>1154</v>
      </c>
      <c r="D636">
        <v>267</v>
      </c>
      <c r="E636">
        <v>3685.11</v>
      </c>
      <c r="F636" t="str">
        <v>B</v>
      </c>
    </row>
    <row r="637" spans="1:6" x14ac:dyDescent="0.2">
      <c r="A637" s="31">
        <v>44833</v>
      </c>
      <c r="B637" t="str">
        <v>New_Campaign</v>
      </c>
      <c r="C637">
        <v>1161</v>
      </c>
      <c r="D637">
        <v>272</v>
      </c>
      <c r="E637">
        <v>4442.66</v>
      </c>
      <c r="F637" t="str">
        <v>B</v>
      </c>
    </row>
    <row r="638" spans="1:6" x14ac:dyDescent="0.2">
      <c r="A638" s="31">
        <v>44834</v>
      </c>
      <c r="B638" t="str">
        <v>New_Campaign</v>
      </c>
      <c r="C638">
        <v>1136</v>
      </c>
      <c r="D638">
        <v>271</v>
      </c>
      <c r="E638">
        <v>4575.43</v>
      </c>
      <c r="F638" t="str">
        <v>B</v>
      </c>
    </row>
    <row r="639" spans="1:6" x14ac:dyDescent="0.2">
      <c r="A639" s="31">
        <v>44835</v>
      </c>
      <c r="B639" t="str">
        <v>New_Campaign</v>
      </c>
      <c r="C639">
        <v>1188</v>
      </c>
      <c r="D639">
        <v>279</v>
      </c>
      <c r="E639">
        <v>3602.21</v>
      </c>
      <c r="F639" t="str">
        <v>B</v>
      </c>
    </row>
    <row r="640" spans="1:6" x14ac:dyDescent="0.2">
      <c r="A640" s="31">
        <v>44836</v>
      </c>
      <c r="B640" t="str">
        <v>New_Campaign</v>
      </c>
      <c r="C640">
        <v>1187</v>
      </c>
      <c r="D640">
        <v>238</v>
      </c>
      <c r="E640">
        <v>4193.37</v>
      </c>
      <c r="F640" t="str">
        <v>B</v>
      </c>
    </row>
    <row r="641" spans="1:6" x14ac:dyDescent="0.2">
      <c r="A641" s="31">
        <v>44837</v>
      </c>
      <c r="B641" t="str">
        <v>New_Campaign</v>
      </c>
      <c r="C641">
        <v>1153</v>
      </c>
      <c r="D641">
        <v>254</v>
      </c>
      <c r="E641">
        <v>3365.24</v>
      </c>
      <c r="F641" t="str">
        <v>B</v>
      </c>
    </row>
    <row r="642" spans="1:6" x14ac:dyDescent="0.2">
      <c r="A642" s="31">
        <v>44838</v>
      </c>
      <c r="B642" t="str">
        <v>New_Campaign</v>
      </c>
      <c r="C642">
        <v>1109</v>
      </c>
      <c r="D642">
        <v>251</v>
      </c>
      <c r="E642">
        <v>2934.83</v>
      </c>
      <c r="F642" t="str">
        <v>B</v>
      </c>
    </row>
    <row r="643" spans="1:6" x14ac:dyDescent="0.2">
      <c r="A643" s="31">
        <v>44839</v>
      </c>
      <c r="B643" t="str">
        <v>New_Campaign</v>
      </c>
      <c r="C643">
        <v>1142</v>
      </c>
      <c r="D643">
        <v>282</v>
      </c>
      <c r="E643">
        <v>4733.6000000000004</v>
      </c>
      <c r="F643" t="str">
        <v>B</v>
      </c>
    </row>
    <row r="644" spans="1:6" x14ac:dyDescent="0.2">
      <c r="A644" s="31">
        <v>44840</v>
      </c>
      <c r="B644" t="str">
        <v>New_Campaign</v>
      </c>
      <c r="C644">
        <v>1158</v>
      </c>
      <c r="D644">
        <v>261</v>
      </c>
      <c r="E644">
        <v>4446.8100000000004</v>
      </c>
      <c r="F644" t="str">
        <v>B</v>
      </c>
    </row>
    <row r="645" spans="1:6" x14ac:dyDescent="0.2">
      <c r="A645" s="31">
        <v>44841</v>
      </c>
      <c r="B645" t="str">
        <v>New_Campaign</v>
      </c>
      <c r="C645">
        <v>1202</v>
      </c>
      <c r="D645">
        <v>274</v>
      </c>
      <c r="E645">
        <v>4083.7</v>
      </c>
      <c r="F645" t="str">
        <v>B</v>
      </c>
    </row>
    <row r="646" spans="1:6" x14ac:dyDescent="0.2">
      <c r="A646" s="31">
        <v>44842</v>
      </c>
      <c r="B646" t="str">
        <v>New_Campaign</v>
      </c>
      <c r="C646">
        <v>1111</v>
      </c>
      <c r="D646">
        <v>259</v>
      </c>
      <c r="E646">
        <v>4710.79</v>
      </c>
      <c r="F646" t="str">
        <v>B</v>
      </c>
    </row>
    <row r="647" spans="1:6" x14ac:dyDescent="0.2">
      <c r="A647" s="31">
        <v>44843</v>
      </c>
      <c r="B647" t="str">
        <v>New_Campaign</v>
      </c>
      <c r="C647">
        <v>1133</v>
      </c>
      <c r="D647">
        <v>262</v>
      </c>
      <c r="E647">
        <v>4253.09</v>
      </c>
      <c r="F647" t="str">
        <v>B</v>
      </c>
    </row>
    <row r="648" spans="1:6" x14ac:dyDescent="0.2">
      <c r="A648" s="31">
        <v>44844</v>
      </c>
      <c r="B648" t="str">
        <v>New_Campaign</v>
      </c>
      <c r="C648">
        <v>1151</v>
      </c>
      <c r="D648">
        <v>261</v>
      </c>
      <c r="E648">
        <v>3711.03</v>
      </c>
      <c r="F648" t="str">
        <v>B</v>
      </c>
    </row>
    <row r="649" spans="1:6" x14ac:dyDescent="0.2">
      <c r="A649" s="31">
        <v>44845</v>
      </c>
      <c r="B649" t="str">
        <v>New_Campaign</v>
      </c>
      <c r="C649">
        <v>1172</v>
      </c>
      <c r="D649">
        <v>271</v>
      </c>
      <c r="E649">
        <v>4778.9799999999996</v>
      </c>
      <c r="F649" t="str">
        <v>B</v>
      </c>
    </row>
    <row r="650" spans="1:6" x14ac:dyDescent="0.2">
      <c r="A650" s="31">
        <v>44846</v>
      </c>
      <c r="B650" t="str">
        <v>New_Campaign</v>
      </c>
      <c r="C650">
        <v>1194</v>
      </c>
      <c r="D650">
        <v>269</v>
      </c>
      <c r="E650">
        <v>4852.78</v>
      </c>
      <c r="F650" t="str">
        <v>B</v>
      </c>
    </row>
    <row r="651" spans="1:6" x14ac:dyDescent="0.2">
      <c r="A651" s="31">
        <v>44847</v>
      </c>
      <c r="B651" t="str">
        <v>New_Campaign</v>
      </c>
      <c r="C651">
        <v>1161</v>
      </c>
      <c r="D651">
        <v>250</v>
      </c>
      <c r="E651">
        <v>4361.22</v>
      </c>
      <c r="F651" t="str">
        <v>B</v>
      </c>
    </row>
    <row r="652" spans="1:6" x14ac:dyDescent="0.2">
      <c r="A652" s="31">
        <v>44848</v>
      </c>
      <c r="B652" t="str">
        <v>New_Campaign</v>
      </c>
      <c r="C652">
        <v>1216</v>
      </c>
      <c r="D652">
        <v>277</v>
      </c>
      <c r="E652">
        <v>3596.26</v>
      </c>
      <c r="F652" t="str">
        <v>B</v>
      </c>
    </row>
    <row r="653" spans="1:6" x14ac:dyDescent="0.2">
      <c r="A653" s="31">
        <v>44849</v>
      </c>
      <c r="B653" t="str">
        <v>New_Campaign</v>
      </c>
      <c r="C653">
        <v>1154</v>
      </c>
      <c r="D653">
        <v>256</v>
      </c>
      <c r="E653">
        <v>4259.95</v>
      </c>
      <c r="F653" t="str">
        <v>B</v>
      </c>
    </row>
    <row r="654" spans="1:6" x14ac:dyDescent="0.2">
      <c r="A654" s="31">
        <v>44850</v>
      </c>
      <c r="B654" t="str">
        <v>New_Campaign</v>
      </c>
      <c r="C654">
        <v>1155</v>
      </c>
      <c r="D654">
        <v>245</v>
      </c>
      <c r="E654">
        <v>3900.24</v>
      </c>
      <c r="F654" t="str">
        <v>B</v>
      </c>
    </row>
    <row r="655" spans="1:6" x14ac:dyDescent="0.2">
      <c r="A655" s="31">
        <v>44851</v>
      </c>
      <c r="B655" t="str">
        <v>New_Campaign</v>
      </c>
      <c r="C655">
        <v>1153</v>
      </c>
      <c r="D655">
        <v>243</v>
      </c>
      <c r="E655">
        <v>4246.78</v>
      </c>
      <c r="F655" t="str">
        <v>B</v>
      </c>
    </row>
    <row r="656" spans="1:6" x14ac:dyDescent="0.2">
      <c r="A656" s="31">
        <v>44852</v>
      </c>
      <c r="B656" t="str">
        <v>New_Campaign</v>
      </c>
      <c r="C656">
        <v>1160</v>
      </c>
      <c r="D656">
        <v>256</v>
      </c>
      <c r="E656">
        <v>4214.07</v>
      </c>
      <c r="F656" t="str">
        <v>B</v>
      </c>
    </row>
    <row r="657" spans="1:6" x14ac:dyDescent="0.2">
      <c r="A657" s="31">
        <v>44853</v>
      </c>
      <c r="B657" t="str">
        <v>New_Campaign</v>
      </c>
      <c r="C657">
        <v>1111</v>
      </c>
      <c r="D657">
        <v>249</v>
      </c>
      <c r="E657">
        <v>3353.9</v>
      </c>
      <c r="F657" t="str">
        <v>B</v>
      </c>
    </row>
    <row r="658" spans="1:6" x14ac:dyDescent="0.2">
      <c r="A658" s="31">
        <v>44854</v>
      </c>
      <c r="B658" t="str">
        <v>New_Campaign</v>
      </c>
      <c r="C658">
        <v>1161</v>
      </c>
      <c r="D658">
        <v>264</v>
      </c>
      <c r="E658">
        <v>4302.0200000000004</v>
      </c>
      <c r="F658" t="str">
        <v>B</v>
      </c>
    </row>
    <row r="659" spans="1:6" x14ac:dyDescent="0.2">
      <c r="A659" s="31">
        <v>44855</v>
      </c>
      <c r="B659" t="str">
        <v>New_Campaign</v>
      </c>
      <c r="C659">
        <v>1150</v>
      </c>
      <c r="D659">
        <v>266</v>
      </c>
      <c r="E659">
        <v>3964.78</v>
      </c>
      <c r="F659" t="str">
        <v>B</v>
      </c>
    </row>
    <row r="660" spans="1:6" x14ac:dyDescent="0.2">
      <c r="A660" s="31">
        <v>44856</v>
      </c>
      <c r="B660" t="str">
        <v>New_Campaign</v>
      </c>
      <c r="C660">
        <v>1146</v>
      </c>
      <c r="D660">
        <v>281</v>
      </c>
      <c r="E660">
        <v>5033.16</v>
      </c>
      <c r="F660" t="str">
        <v>B</v>
      </c>
    </row>
    <row r="661" spans="1:6" x14ac:dyDescent="0.2">
      <c r="A661" s="31">
        <v>44857</v>
      </c>
      <c r="B661" t="str">
        <v>New_Campaign</v>
      </c>
      <c r="C661">
        <v>1155</v>
      </c>
      <c r="D661">
        <v>265</v>
      </c>
      <c r="E661">
        <v>4042.96</v>
      </c>
      <c r="F661" t="str">
        <v>B</v>
      </c>
    </row>
    <row r="662" spans="1:6" x14ac:dyDescent="0.2">
      <c r="A662" s="31">
        <v>44858</v>
      </c>
      <c r="B662" t="str">
        <v>New_Campaign</v>
      </c>
      <c r="C662">
        <v>1059</v>
      </c>
      <c r="D662">
        <v>278</v>
      </c>
      <c r="E662">
        <v>3963.88</v>
      </c>
      <c r="F662" t="str">
        <v>B</v>
      </c>
    </row>
    <row r="663" spans="1:6" x14ac:dyDescent="0.2">
      <c r="A663" s="31">
        <v>44859</v>
      </c>
      <c r="B663" t="str">
        <v>New_Campaign</v>
      </c>
      <c r="C663">
        <v>1122</v>
      </c>
      <c r="D663">
        <v>243</v>
      </c>
      <c r="E663">
        <v>3441.84</v>
      </c>
      <c r="F663" t="str">
        <v>B</v>
      </c>
    </row>
    <row r="664" spans="1:6" x14ac:dyDescent="0.2">
      <c r="A664" s="31">
        <v>44860</v>
      </c>
      <c r="B664" t="str">
        <v>New_Campaign</v>
      </c>
      <c r="C664">
        <v>1145</v>
      </c>
      <c r="D664">
        <v>228</v>
      </c>
      <c r="E664">
        <v>3369.04</v>
      </c>
      <c r="F664" t="str">
        <v>B</v>
      </c>
    </row>
    <row r="665" spans="1:6" x14ac:dyDescent="0.2">
      <c r="A665" s="31">
        <v>44861</v>
      </c>
      <c r="B665" t="str">
        <v>New_Campaign</v>
      </c>
      <c r="C665">
        <v>1111</v>
      </c>
      <c r="D665">
        <v>261</v>
      </c>
      <c r="E665">
        <v>4038.55</v>
      </c>
      <c r="F665" t="str">
        <v>B</v>
      </c>
    </row>
    <row r="666" spans="1:6" x14ac:dyDescent="0.2">
      <c r="A666" s="31">
        <v>44862</v>
      </c>
      <c r="B666" t="str">
        <v>New_Campaign</v>
      </c>
      <c r="C666">
        <v>1185</v>
      </c>
      <c r="D666">
        <v>280</v>
      </c>
      <c r="E666">
        <v>4060.67</v>
      </c>
      <c r="F666" t="str">
        <v>B</v>
      </c>
    </row>
    <row r="667" spans="1:6" x14ac:dyDescent="0.2">
      <c r="A667" s="31">
        <v>44863</v>
      </c>
      <c r="B667" t="str">
        <v>New_Campaign</v>
      </c>
      <c r="C667">
        <v>1150</v>
      </c>
      <c r="D667">
        <v>275</v>
      </c>
      <c r="E667">
        <v>4926.6499999999996</v>
      </c>
      <c r="F667" t="str">
        <v>B</v>
      </c>
    </row>
    <row r="668" spans="1:6" x14ac:dyDescent="0.2">
      <c r="A668" s="31">
        <v>44864</v>
      </c>
      <c r="B668" t="str">
        <v>New_Campaign</v>
      </c>
      <c r="C668">
        <v>1136</v>
      </c>
      <c r="D668">
        <v>271</v>
      </c>
      <c r="E668">
        <v>3741.35</v>
      </c>
      <c r="F668" t="str">
        <v>B</v>
      </c>
    </row>
    <row r="669" spans="1:6" x14ac:dyDescent="0.2">
      <c r="A669" s="31">
        <v>44865</v>
      </c>
      <c r="B669" t="str">
        <v>New_Campaign</v>
      </c>
      <c r="C669">
        <v>1164</v>
      </c>
      <c r="D669">
        <v>257</v>
      </c>
      <c r="E669">
        <v>4925.21</v>
      </c>
      <c r="F669" t="str">
        <v>B</v>
      </c>
    </row>
    <row r="670" spans="1:6" x14ac:dyDescent="0.2">
      <c r="A670" s="31">
        <v>44866</v>
      </c>
      <c r="B670" t="str">
        <v>New_Campaign</v>
      </c>
      <c r="C670">
        <v>1132</v>
      </c>
      <c r="D670">
        <v>252</v>
      </c>
      <c r="E670">
        <v>3374.49</v>
      </c>
      <c r="F670" t="str">
        <v>B</v>
      </c>
    </row>
    <row r="671" spans="1:6" x14ac:dyDescent="0.2">
      <c r="A671" s="31">
        <v>44867</v>
      </c>
      <c r="B671" t="str">
        <v>New_Campaign</v>
      </c>
      <c r="C671">
        <v>1125</v>
      </c>
      <c r="D671">
        <v>276</v>
      </c>
      <c r="E671">
        <v>5453.69</v>
      </c>
      <c r="F671" t="str">
        <v>B</v>
      </c>
    </row>
    <row r="672" spans="1:6" x14ac:dyDescent="0.2">
      <c r="A672" s="31">
        <v>44868</v>
      </c>
      <c r="B672" t="str">
        <v>New_Campaign</v>
      </c>
      <c r="C672">
        <v>1140</v>
      </c>
      <c r="D672">
        <v>280</v>
      </c>
      <c r="E672">
        <v>4276.3999999999996</v>
      </c>
      <c r="F672" t="str">
        <v>B</v>
      </c>
    </row>
    <row r="673" spans="1:6" x14ac:dyDescent="0.2">
      <c r="A673" s="31">
        <v>44869</v>
      </c>
      <c r="B673" t="str">
        <v>New_Campaign</v>
      </c>
      <c r="C673">
        <v>1102</v>
      </c>
      <c r="D673">
        <v>261</v>
      </c>
      <c r="E673">
        <v>4364.1499999999996</v>
      </c>
      <c r="F673" t="str">
        <v>B</v>
      </c>
    </row>
    <row r="674" spans="1:6" x14ac:dyDescent="0.2">
      <c r="A674" s="31">
        <v>44870</v>
      </c>
      <c r="B674" t="str">
        <v>New_Campaign</v>
      </c>
      <c r="C674">
        <v>1185</v>
      </c>
      <c r="D674">
        <v>288</v>
      </c>
      <c r="E674">
        <v>4894.7299999999996</v>
      </c>
      <c r="F674" t="str">
        <v>B</v>
      </c>
    </row>
    <row r="675" spans="1:6" x14ac:dyDescent="0.2">
      <c r="A675" s="31">
        <v>44871</v>
      </c>
      <c r="B675" t="str">
        <v>New_Campaign</v>
      </c>
      <c r="C675">
        <v>1137</v>
      </c>
      <c r="D675">
        <v>283</v>
      </c>
      <c r="E675">
        <v>3279.8</v>
      </c>
      <c r="F675" t="str">
        <v>B</v>
      </c>
    </row>
    <row r="676" spans="1:6" x14ac:dyDescent="0.2">
      <c r="A676" s="31">
        <v>44872</v>
      </c>
      <c r="B676" t="str">
        <v>New_Campaign</v>
      </c>
      <c r="C676">
        <v>1227</v>
      </c>
      <c r="D676">
        <v>306</v>
      </c>
      <c r="E676">
        <v>5084.67</v>
      </c>
      <c r="F676" t="str">
        <v>B</v>
      </c>
    </row>
    <row r="677" spans="1:6" x14ac:dyDescent="0.2">
      <c r="A677" s="31">
        <v>44873</v>
      </c>
      <c r="B677" t="str">
        <v>New_Campaign</v>
      </c>
      <c r="C677">
        <v>1106</v>
      </c>
      <c r="D677">
        <v>278</v>
      </c>
      <c r="E677">
        <v>4860.45</v>
      </c>
      <c r="F677" t="str">
        <v>B</v>
      </c>
    </row>
    <row r="678" spans="1:6" x14ac:dyDescent="0.2">
      <c r="A678" s="31">
        <v>44874</v>
      </c>
      <c r="B678" t="str">
        <v>New_Campaign</v>
      </c>
      <c r="C678">
        <v>1209</v>
      </c>
      <c r="D678">
        <v>281</v>
      </c>
      <c r="E678">
        <v>4527.8900000000003</v>
      </c>
      <c r="F678" t="str">
        <v>B</v>
      </c>
    </row>
    <row r="679" spans="1:6" x14ac:dyDescent="0.2">
      <c r="A679" s="31">
        <v>44875</v>
      </c>
      <c r="B679" t="str">
        <v>New_Campaign</v>
      </c>
      <c r="C679">
        <v>1181</v>
      </c>
      <c r="D679">
        <v>293</v>
      </c>
      <c r="E679">
        <v>5547.53</v>
      </c>
      <c r="F679" t="str">
        <v>B</v>
      </c>
    </row>
    <row r="680" spans="1:6" x14ac:dyDescent="0.2">
      <c r="A680" s="31">
        <v>44876</v>
      </c>
      <c r="B680" t="str">
        <v>New_Campaign</v>
      </c>
      <c r="C680">
        <v>1204</v>
      </c>
      <c r="D680">
        <v>255</v>
      </c>
      <c r="E680">
        <v>3345.1</v>
      </c>
      <c r="F680" t="str">
        <v>B</v>
      </c>
    </row>
    <row r="681" spans="1:6" x14ac:dyDescent="0.2">
      <c r="A681" s="31">
        <v>44877</v>
      </c>
      <c r="B681" t="str">
        <v>New_Campaign</v>
      </c>
      <c r="C681">
        <v>1188</v>
      </c>
      <c r="D681">
        <v>294</v>
      </c>
      <c r="E681">
        <v>4720.92</v>
      </c>
      <c r="F681" t="str">
        <v>B</v>
      </c>
    </row>
    <row r="682" spans="1:6" x14ac:dyDescent="0.2">
      <c r="A682" s="31">
        <v>44878</v>
      </c>
      <c r="B682" t="str">
        <v>New_Campaign</v>
      </c>
      <c r="C682">
        <v>1150</v>
      </c>
      <c r="D682">
        <v>262</v>
      </c>
      <c r="E682">
        <v>4136.41</v>
      </c>
      <c r="F682" t="str">
        <v>B</v>
      </c>
    </row>
    <row r="683" spans="1:6" x14ac:dyDescent="0.2">
      <c r="A683" s="31">
        <v>44879</v>
      </c>
      <c r="B683" t="str">
        <v>New_Campaign</v>
      </c>
      <c r="C683">
        <v>1124</v>
      </c>
      <c r="D683">
        <v>259</v>
      </c>
      <c r="E683">
        <v>3440.47</v>
      </c>
      <c r="F683" t="str">
        <v>B</v>
      </c>
    </row>
    <row r="684" spans="1:6" x14ac:dyDescent="0.2">
      <c r="A684" s="31">
        <v>44880</v>
      </c>
      <c r="B684" t="str">
        <v>New_Campaign</v>
      </c>
      <c r="C684">
        <v>1171</v>
      </c>
      <c r="D684">
        <v>285</v>
      </c>
      <c r="E684">
        <v>4495.21</v>
      </c>
      <c r="F684" t="str">
        <v>B</v>
      </c>
    </row>
    <row r="685" spans="1:6" x14ac:dyDescent="0.2">
      <c r="A685" s="31">
        <v>44881</v>
      </c>
      <c r="B685" t="str">
        <v>New_Campaign</v>
      </c>
      <c r="C685">
        <v>1134</v>
      </c>
      <c r="D685">
        <v>266</v>
      </c>
      <c r="E685">
        <v>4933.08</v>
      </c>
      <c r="F685" t="str">
        <v>B</v>
      </c>
    </row>
    <row r="686" spans="1:6" x14ac:dyDescent="0.2">
      <c r="A686" s="31">
        <v>44882</v>
      </c>
      <c r="B686" t="str">
        <v>New_Campaign</v>
      </c>
      <c r="C686">
        <v>1144</v>
      </c>
      <c r="D686">
        <v>272</v>
      </c>
      <c r="E686">
        <v>3511.55</v>
      </c>
      <c r="F686" t="str">
        <v>B</v>
      </c>
    </row>
    <row r="687" spans="1:6" x14ac:dyDescent="0.2">
      <c r="A687" s="31">
        <v>44883</v>
      </c>
      <c r="B687" t="str">
        <v>New_Campaign</v>
      </c>
      <c r="C687">
        <v>1120</v>
      </c>
      <c r="D687">
        <v>235</v>
      </c>
      <c r="E687">
        <v>3559.4</v>
      </c>
      <c r="F687" t="str">
        <v>B</v>
      </c>
    </row>
    <row r="688" spans="1:6" x14ac:dyDescent="0.2">
      <c r="A688" s="31">
        <v>44884</v>
      </c>
      <c r="B688" t="str">
        <v>New_Campaign</v>
      </c>
      <c r="C688">
        <v>1093</v>
      </c>
      <c r="D688">
        <v>253</v>
      </c>
      <c r="E688">
        <v>4084.56</v>
      </c>
      <c r="F688" t="str">
        <v>B</v>
      </c>
    </row>
    <row r="689" spans="1:6" x14ac:dyDescent="0.2">
      <c r="A689" s="31">
        <v>44885</v>
      </c>
      <c r="B689" t="str">
        <v>New_Campaign</v>
      </c>
      <c r="C689">
        <v>1150</v>
      </c>
      <c r="D689">
        <v>295</v>
      </c>
      <c r="E689">
        <v>5165.43</v>
      </c>
      <c r="F689" t="str">
        <v>B</v>
      </c>
    </row>
    <row r="690" spans="1:6" x14ac:dyDescent="0.2">
      <c r="A690" s="31">
        <v>44886</v>
      </c>
      <c r="B690" t="str">
        <v>New_Campaign</v>
      </c>
      <c r="C690">
        <v>1129</v>
      </c>
      <c r="D690">
        <v>246</v>
      </c>
      <c r="E690">
        <v>3303.49</v>
      </c>
      <c r="F690" t="str">
        <v>B</v>
      </c>
    </row>
    <row r="691" spans="1:6" x14ac:dyDescent="0.2">
      <c r="A691" s="31">
        <v>44887</v>
      </c>
      <c r="B691" t="str">
        <v>New_Campaign</v>
      </c>
      <c r="C691">
        <v>1179</v>
      </c>
      <c r="D691">
        <v>307</v>
      </c>
      <c r="E691">
        <v>5221.62</v>
      </c>
      <c r="F691" t="str">
        <v>B</v>
      </c>
    </row>
    <row r="692" spans="1:6" x14ac:dyDescent="0.2">
      <c r="A692" s="31">
        <v>44888</v>
      </c>
      <c r="B692" t="str">
        <v>New_Campaign</v>
      </c>
      <c r="C692">
        <v>1104</v>
      </c>
      <c r="D692">
        <v>271</v>
      </c>
      <c r="E692">
        <v>4515.66</v>
      </c>
      <c r="F692" t="str">
        <v>B</v>
      </c>
    </row>
    <row r="693" spans="1:6" x14ac:dyDescent="0.2">
      <c r="A693" s="31">
        <v>44889</v>
      </c>
      <c r="B693" t="str">
        <v>New_Campaign</v>
      </c>
      <c r="C693">
        <v>1153</v>
      </c>
      <c r="D693">
        <v>243</v>
      </c>
      <c r="E693">
        <v>3488.6</v>
      </c>
      <c r="F693" t="str">
        <v>B</v>
      </c>
    </row>
    <row r="694" spans="1:6" x14ac:dyDescent="0.2">
      <c r="A694" s="31">
        <v>44890</v>
      </c>
      <c r="B694" t="str">
        <v>New_Campaign</v>
      </c>
      <c r="C694">
        <v>1242</v>
      </c>
      <c r="D694">
        <v>290</v>
      </c>
      <c r="E694">
        <v>4369.3900000000003</v>
      </c>
      <c r="F694" t="str">
        <v>B</v>
      </c>
    </row>
    <row r="695" spans="1:6" x14ac:dyDescent="0.2">
      <c r="A695" s="31">
        <v>44891</v>
      </c>
      <c r="B695" t="str">
        <v>New_Campaign</v>
      </c>
      <c r="C695">
        <v>1185</v>
      </c>
      <c r="D695">
        <v>285</v>
      </c>
      <c r="E695">
        <v>4399.74</v>
      </c>
      <c r="F695" t="str">
        <v>B</v>
      </c>
    </row>
    <row r="696" spans="1:6" x14ac:dyDescent="0.2">
      <c r="A696" s="31">
        <v>44892</v>
      </c>
      <c r="B696" t="str">
        <v>New_Campaign</v>
      </c>
      <c r="C696">
        <v>1152</v>
      </c>
      <c r="D696">
        <v>282</v>
      </c>
      <c r="E696">
        <v>4251.8500000000004</v>
      </c>
      <c r="F696" t="str">
        <v>B</v>
      </c>
    </row>
    <row r="697" spans="1:6" x14ac:dyDescent="0.2">
      <c r="A697" s="31">
        <v>44893</v>
      </c>
      <c r="B697" t="str">
        <v>New_Campaign</v>
      </c>
      <c r="C697">
        <v>1157</v>
      </c>
      <c r="D697">
        <v>263</v>
      </c>
      <c r="E697">
        <v>4731.88</v>
      </c>
      <c r="F697" t="str">
        <v>B</v>
      </c>
    </row>
    <row r="698" spans="1:6" x14ac:dyDescent="0.2">
      <c r="A698" s="31">
        <v>44894</v>
      </c>
      <c r="B698" t="str">
        <v>New_Campaign</v>
      </c>
      <c r="C698">
        <v>1114</v>
      </c>
      <c r="D698">
        <v>241</v>
      </c>
      <c r="E698">
        <v>3623.2</v>
      </c>
      <c r="F698" t="str">
        <v>B</v>
      </c>
    </row>
    <row r="699" spans="1:6" x14ac:dyDescent="0.2">
      <c r="A699" s="31">
        <v>44895</v>
      </c>
      <c r="B699" t="str">
        <v>New_Campaign</v>
      </c>
      <c r="C699">
        <v>1194</v>
      </c>
      <c r="D699">
        <v>253</v>
      </c>
      <c r="E699">
        <v>3587.29</v>
      </c>
      <c r="F699" t="str">
        <v>B</v>
      </c>
    </row>
    <row r="700" spans="1:6" x14ac:dyDescent="0.2">
      <c r="A700" s="31">
        <v>44896</v>
      </c>
      <c r="B700" t="str">
        <v>New_Campaign</v>
      </c>
      <c r="C700">
        <v>1118</v>
      </c>
      <c r="D700">
        <v>246</v>
      </c>
      <c r="E700">
        <v>5165.2299999999996</v>
      </c>
      <c r="F700" t="str">
        <v>B</v>
      </c>
    </row>
    <row r="701" spans="1:6" x14ac:dyDescent="0.2">
      <c r="A701" s="31">
        <v>44897</v>
      </c>
      <c r="B701" t="str">
        <v>New_Campaign</v>
      </c>
      <c r="C701">
        <v>1133</v>
      </c>
      <c r="D701">
        <v>253</v>
      </c>
      <c r="E701">
        <v>4646.04</v>
      </c>
      <c r="F701" t="str">
        <v>B</v>
      </c>
    </row>
    <row r="702" spans="1:6" x14ac:dyDescent="0.2">
      <c r="A702" s="31">
        <v>44898</v>
      </c>
      <c r="B702" t="str">
        <v>New_Campaign</v>
      </c>
      <c r="C702">
        <v>1161</v>
      </c>
      <c r="D702">
        <v>266</v>
      </c>
      <c r="E702">
        <v>4118.72</v>
      </c>
      <c r="F702" t="str">
        <v>B</v>
      </c>
    </row>
    <row r="703" spans="1:6" x14ac:dyDescent="0.2">
      <c r="A703" s="31">
        <v>44899</v>
      </c>
      <c r="B703" t="str">
        <v>New_Campaign</v>
      </c>
      <c r="C703">
        <v>1161</v>
      </c>
      <c r="D703">
        <v>278</v>
      </c>
      <c r="E703">
        <v>5240.09</v>
      </c>
      <c r="F703" t="str">
        <v>B</v>
      </c>
    </row>
    <row r="704" spans="1:6" x14ac:dyDescent="0.2">
      <c r="A704" s="31">
        <v>44900</v>
      </c>
      <c r="B704" t="str">
        <v>New_Campaign</v>
      </c>
      <c r="C704">
        <v>1140</v>
      </c>
      <c r="D704">
        <v>249</v>
      </c>
      <c r="E704">
        <v>4153</v>
      </c>
      <c r="F704" t="str">
        <v>B</v>
      </c>
    </row>
    <row r="705" spans="1:6" x14ac:dyDescent="0.2">
      <c r="A705" s="31">
        <v>44901</v>
      </c>
      <c r="B705" t="str">
        <v>New_Campaign</v>
      </c>
      <c r="C705">
        <v>1089</v>
      </c>
      <c r="D705">
        <v>279</v>
      </c>
      <c r="E705">
        <v>4440.93</v>
      </c>
      <c r="F705" t="str">
        <v>B</v>
      </c>
    </row>
    <row r="706" spans="1:6" x14ac:dyDescent="0.2">
      <c r="A706" s="31">
        <v>44902</v>
      </c>
      <c r="B706" t="str">
        <v>New_Campaign</v>
      </c>
      <c r="C706">
        <v>1171</v>
      </c>
      <c r="D706">
        <v>265</v>
      </c>
      <c r="E706">
        <v>4674.76</v>
      </c>
      <c r="F706" t="str">
        <v>B</v>
      </c>
    </row>
    <row r="707" spans="1:6" x14ac:dyDescent="0.2">
      <c r="A707" s="31">
        <v>44903</v>
      </c>
      <c r="B707" t="str">
        <v>New_Campaign</v>
      </c>
      <c r="C707">
        <v>1140</v>
      </c>
      <c r="D707">
        <v>276</v>
      </c>
      <c r="E707">
        <v>4318.0200000000004</v>
      </c>
      <c r="F707" t="str">
        <v>B</v>
      </c>
    </row>
    <row r="708" spans="1:6" x14ac:dyDescent="0.2">
      <c r="A708" s="31">
        <v>44904</v>
      </c>
      <c r="B708" t="str">
        <v>New_Campaign</v>
      </c>
      <c r="C708">
        <v>1175</v>
      </c>
      <c r="D708">
        <v>236</v>
      </c>
      <c r="E708">
        <v>4300.91</v>
      </c>
      <c r="F708" t="str">
        <v>B</v>
      </c>
    </row>
    <row r="709" spans="1:6" x14ac:dyDescent="0.2">
      <c r="A709" s="31">
        <v>44905</v>
      </c>
      <c r="B709" t="str">
        <v>New_Campaign</v>
      </c>
      <c r="C709">
        <v>1184</v>
      </c>
      <c r="D709">
        <v>274</v>
      </c>
      <c r="E709">
        <v>3660.15</v>
      </c>
      <c r="F709" t="str">
        <v>B</v>
      </c>
    </row>
    <row r="710" spans="1:6" x14ac:dyDescent="0.2">
      <c r="A710" s="31">
        <v>44906</v>
      </c>
      <c r="B710" t="str">
        <v>New_Campaign</v>
      </c>
      <c r="C710">
        <v>1128</v>
      </c>
      <c r="D710">
        <v>257</v>
      </c>
      <c r="E710">
        <v>3593.96</v>
      </c>
      <c r="F710" t="str">
        <v>B</v>
      </c>
    </row>
    <row r="711" spans="1:6" x14ac:dyDescent="0.2">
      <c r="A711" s="31">
        <v>44907</v>
      </c>
      <c r="B711" t="str">
        <v>New_Campaign</v>
      </c>
      <c r="C711">
        <v>1145</v>
      </c>
      <c r="D711">
        <v>286</v>
      </c>
      <c r="E711">
        <v>4635.22</v>
      </c>
      <c r="F711" t="str">
        <v>B</v>
      </c>
    </row>
    <row r="712" spans="1:6" x14ac:dyDescent="0.2">
      <c r="A712" s="31">
        <v>44908</v>
      </c>
      <c r="B712" t="str">
        <v>New_Campaign</v>
      </c>
      <c r="C712">
        <v>1113</v>
      </c>
      <c r="D712">
        <v>269</v>
      </c>
      <c r="E712">
        <v>5018.55</v>
      </c>
      <c r="F712" t="str">
        <v>B</v>
      </c>
    </row>
    <row r="713" spans="1:6" x14ac:dyDescent="0.2">
      <c r="A713" s="31">
        <v>44909</v>
      </c>
      <c r="B713" t="str">
        <v>New_Campaign</v>
      </c>
      <c r="C713">
        <v>1160</v>
      </c>
      <c r="D713">
        <v>279</v>
      </c>
      <c r="E713">
        <v>4568.79</v>
      </c>
      <c r="F713" t="str">
        <v>B</v>
      </c>
    </row>
    <row r="714" spans="1:6" x14ac:dyDescent="0.2">
      <c r="A714" s="31">
        <v>44910</v>
      </c>
      <c r="B714" t="str">
        <v>New_Campaign</v>
      </c>
      <c r="C714">
        <v>1151</v>
      </c>
      <c r="D714">
        <v>256</v>
      </c>
      <c r="E714">
        <v>3980.67</v>
      </c>
      <c r="F714" t="str">
        <v>B</v>
      </c>
    </row>
    <row r="715" spans="1:6" x14ac:dyDescent="0.2">
      <c r="A715" s="31">
        <v>44911</v>
      </c>
      <c r="B715" t="str">
        <v>New_Campaign</v>
      </c>
      <c r="C715">
        <v>1177</v>
      </c>
      <c r="D715">
        <v>288</v>
      </c>
      <c r="E715">
        <v>5446.33</v>
      </c>
      <c r="F715" t="str">
        <v>B</v>
      </c>
    </row>
    <row r="716" spans="1:6" x14ac:dyDescent="0.2">
      <c r="A716" s="31">
        <v>44912</v>
      </c>
      <c r="B716" t="str">
        <v>New_Campaign</v>
      </c>
      <c r="C716">
        <v>1118</v>
      </c>
      <c r="D716">
        <v>236</v>
      </c>
      <c r="E716">
        <v>3590.22</v>
      </c>
      <c r="F716" t="str">
        <v>B</v>
      </c>
    </row>
    <row r="717" spans="1:6" x14ac:dyDescent="0.2">
      <c r="A717" s="31">
        <v>44913</v>
      </c>
      <c r="B717" t="str">
        <v>New_Campaign</v>
      </c>
      <c r="C717">
        <v>1126</v>
      </c>
      <c r="D717">
        <v>275</v>
      </c>
      <c r="E717">
        <v>5388.17</v>
      </c>
      <c r="F717" t="str">
        <v>B</v>
      </c>
    </row>
    <row r="718" spans="1:6" x14ac:dyDescent="0.2">
      <c r="A718" s="31">
        <v>44914</v>
      </c>
      <c r="B718" t="str">
        <v>New_Campaign</v>
      </c>
      <c r="C718">
        <v>1167</v>
      </c>
      <c r="D718">
        <v>285</v>
      </c>
      <c r="E718">
        <v>4363.6499999999996</v>
      </c>
      <c r="F718" t="str">
        <v>B</v>
      </c>
    </row>
    <row r="719" spans="1:6" x14ac:dyDescent="0.2">
      <c r="A719" s="31">
        <v>44915</v>
      </c>
      <c r="B719" t="str">
        <v>New_Campaign</v>
      </c>
      <c r="C719">
        <v>1144</v>
      </c>
      <c r="D719">
        <v>275</v>
      </c>
      <c r="E719">
        <v>4053.36</v>
      </c>
      <c r="F719" t="str">
        <v>B</v>
      </c>
    </row>
    <row r="720" spans="1:6" x14ac:dyDescent="0.2">
      <c r="A720" s="31">
        <v>44916</v>
      </c>
      <c r="B720" t="str">
        <v>New_Campaign</v>
      </c>
      <c r="C720">
        <v>1094</v>
      </c>
      <c r="D720">
        <v>244</v>
      </c>
      <c r="E720">
        <v>4246.8999999999996</v>
      </c>
      <c r="F720" t="str">
        <v>B</v>
      </c>
    </row>
    <row r="721" spans="1:6" x14ac:dyDescent="0.2">
      <c r="A721" s="31">
        <v>44917</v>
      </c>
      <c r="B721" t="str">
        <v>New_Campaign</v>
      </c>
      <c r="C721">
        <v>1184</v>
      </c>
      <c r="D721">
        <v>266</v>
      </c>
      <c r="E721">
        <v>3963.51</v>
      </c>
      <c r="F721" t="str">
        <v>B</v>
      </c>
    </row>
    <row r="722" spans="1:6" x14ac:dyDescent="0.2">
      <c r="A722" s="31">
        <v>44918</v>
      </c>
      <c r="B722" t="str">
        <v>New_Campaign</v>
      </c>
      <c r="C722">
        <v>1207</v>
      </c>
      <c r="D722">
        <v>266</v>
      </c>
      <c r="E722">
        <v>3882.05</v>
      </c>
      <c r="F722" t="str">
        <v>B</v>
      </c>
    </row>
    <row r="723" spans="1:6" x14ac:dyDescent="0.2">
      <c r="A723" s="31">
        <v>44919</v>
      </c>
      <c r="B723" t="str">
        <v>New_Campaign</v>
      </c>
      <c r="C723">
        <v>1145</v>
      </c>
      <c r="D723">
        <v>258</v>
      </c>
      <c r="E723">
        <v>4052.22</v>
      </c>
      <c r="F723" t="str">
        <v>B</v>
      </c>
    </row>
    <row r="724" spans="1:6" x14ac:dyDescent="0.2">
      <c r="A724" s="31">
        <v>44920</v>
      </c>
      <c r="B724" t="str">
        <v>New_Campaign</v>
      </c>
      <c r="C724">
        <v>1204</v>
      </c>
      <c r="D724">
        <v>279</v>
      </c>
      <c r="E724">
        <v>5261.25</v>
      </c>
      <c r="F724" t="str">
        <v>B</v>
      </c>
    </row>
    <row r="725" spans="1:6" x14ac:dyDescent="0.2">
      <c r="A725" s="31">
        <v>44921</v>
      </c>
      <c r="B725" t="str">
        <v>New_Campaign</v>
      </c>
      <c r="C725">
        <v>1158</v>
      </c>
      <c r="D725">
        <v>269</v>
      </c>
      <c r="E725">
        <v>4260.3900000000003</v>
      </c>
      <c r="F725" t="str">
        <v>B</v>
      </c>
    </row>
    <row r="726" spans="1:6" x14ac:dyDescent="0.2">
      <c r="A726" s="31">
        <v>44922</v>
      </c>
      <c r="B726" t="str">
        <v>New_Campaign</v>
      </c>
      <c r="C726">
        <v>1141</v>
      </c>
      <c r="D726">
        <v>248</v>
      </c>
      <c r="E726">
        <v>4852.83</v>
      </c>
      <c r="F726" t="str">
        <v>B</v>
      </c>
    </row>
    <row r="727" spans="1:6" x14ac:dyDescent="0.2">
      <c r="A727" s="31">
        <v>44923</v>
      </c>
      <c r="B727" t="str">
        <v>New_Campaign</v>
      </c>
      <c r="C727">
        <v>1149</v>
      </c>
      <c r="D727">
        <v>275</v>
      </c>
      <c r="E727">
        <v>4582.5600000000004</v>
      </c>
      <c r="F727" t="str">
        <v>B</v>
      </c>
    </row>
    <row r="728" spans="1:6" x14ac:dyDescent="0.2">
      <c r="A728" s="31">
        <v>44924</v>
      </c>
      <c r="B728" t="str">
        <v>New_Campaign</v>
      </c>
      <c r="C728">
        <v>1135</v>
      </c>
      <c r="D728">
        <v>251</v>
      </c>
      <c r="E728">
        <v>4276.1499999999996</v>
      </c>
      <c r="F728" t="str">
        <v>B</v>
      </c>
    </row>
    <row r="729" spans="1:6" x14ac:dyDescent="0.2">
      <c r="A729" s="31">
        <v>44925</v>
      </c>
      <c r="B729" t="str">
        <v>New_Campaign</v>
      </c>
      <c r="C729">
        <v>1151</v>
      </c>
      <c r="D729">
        <v>275</v>
      </c>
      <c r="E729">
        <v>4670.6099999999997</v>
      </c>
      <c r="F729" t="str">
        <v>B</v>
      </c>
    </row>
    <row r="730" spans="1:6" x14ac:dyDescent="0.2">
      <c r="A730" s="31">
        <v>44926</v>
      </c>
      <c r="B730" t="str">
        <v>New_Campaign</v>
      </c>
      <c r="C730">
        <v>1152</v>
      </c>
      <c r="D730">
        <v>263</v>
      </c>
      <c r="E730">
        <v>4425.5600000000004</v>
      </c>
      <c r="F730" t="str">
        <v>B</v>
      </c>
    </row>
    <row r="731" spans="1:6" x14ac:dyDescent="0.2">
      <c r="A731" s="31">
        <v>44927</v>
      </c>
      <c r="B731" t="str">
        <v>New_Campaign</v>
      </c>
      <c r="C731">
        <v>1164</v>
      </c>
      <c r="D731">
        <v>259</v>
      </c>
      <c r="E731">
        <v>4569.83</v>
      </c>
      <c r="F731" t="str">
        <v>B</v>
      </c>
    </row>
    <row r="732" spans="1:6" x14ac:dyDescent="0.2">
      <c r="A732" s="31">
        <v>44928</v>
      </c>
      <c r="B732" t="str">
        <v>New_Campaign</v>
      </c>
      <c r="C732">
        <v>1127</v>
      </c>
      <c r="D732">
        <v>252</v>
      </c>
      <c r="E732">
        <v>4036.43</v>
      </c>
      <c r="F732" t="str">
        <v>B</v>
      </c>
    </row>
    <row r="733" spans="1:6" x14ac:dyDescent="0.2">
      <c r="A733" s="31">
        <v>44929</v>
      </c>
      <c r="B733" t="str">
        <v>New_Campaign</v>
      </c>
      <c r="C733">
        <v>1182</v>
      </c>
      <c r="D733">
        <v>281</v>
      </c>
      <c r="E733">
        <v>4154.72</v>
      </c>
      <c r="F733" t="str">
        <v>B</v>
      </c>
    </row>
    <row r="734" spans="1:6" x14ac:dyDescent="0.2">
      <c r="A734" s="31">
        <v>44930</v>
      </c>
      <c r="B734" t="str">
        <v>New_Campaign</v>
      </c>
      <c r="C734">
        <v>1144</v>
      </c>
      <c r="D734">
        <v>248</v>
      </c>
      <c r="E734">
        <v>4797.74</v>
      </c>
      <c r="F734" t="str">
        <v>B</v>
      </c>
    </row>
    <row r="735" spans="1:6" x14ac:dyDescent="0.2">
      <c r="A735" s="31">
        <v>44931</v>
      </c>
      <c r="B735" t="str">
        <v>New_Campaign</v>
      </c>
      <c r="C735">
        <v>1153</v>
      </c>
      <c r="D735">
        <v>247</v>
      </c>
      <c r="E735">
        <v>2911.2</v>
      </c>
      <c r="F735" t="str">
        <v>B</v>
      </c>
    </row>
    <row r="736" spans="1:6" x14ac:dyDescent="0.2">
      <c r="A736" s="31">
        <v>44932</v>
      </c>
      <c r="B736" t="str">
        <v>New_Campaign</v>
      </c>
      <c r="C736">
        <v>1171</v>
      </c>
      <c r="D736">
        <v>257</v>
      </c>
      <c r="E736">
        <v>5054.62</v>
      </c>
      <c r="F736" t="str">
        <v>B</v>
      </c>
    </row>
    <row r="737" spans="1:6" x14ac:dyDescent="0.2">
      <c r="A737" s="31">
        <v>44933</v>
      </c>
      <c r="B737" t="str">
        <v>New_Campaign</v>
      </c>
      <c r="C737">
        <v>1109</v>
      </c>
      <c r="D737">
        <v>273</v>
      </c>
      <c r="E737">
        <v>4130.07</v>
      </c>
      <c r="F737" t="str">
        <v>B</v>
      </c>
    </row>
    <row r="738" spans="1:6" x14ac:dyDescent="0.2">
      <c r="A738" s="31">
        <v>44934</v>
      </c>
      <c r="B738" t="str">
        <v>New_Campaign</v>
      </c>
      <c r="C738">
        <v>1121</v>
      </c>
      <c r="D738">
        <v>258</v>
      </c>
      <c r="E738">
        <v>3994.87</v>
      </c>
      <c r="F738" t="str">
        <v>B</v>
      </c>
    </row>
    <row r="739" spans="1:6" x14ac:dyDescent="0.2">
      <c r="A739" s="31">
        <v>44935</v>
      </c>
      <c r="B739" t="str">
        <v>New_Campaign</v>
      </c>
      <c r="C739">
        <v>1147</v>
      </c>
      <c r="D739">
        <v>235</v>
      </c>
      <c r="E739">
        <v>3983.83</v>
      </c>
      <c r="F739" t="str">
        <v>B</v>
      </c>
    </row>
    <row r="740" spans="1:6" x14ac:dyDescent="0.2">
      <c r="A740" s="31">
        <v>44936</v>
      </c>
      <c r="B740" t="str">
        <v>New_Campaign</v>
      </c>
      <c r="C740">
        <v>1086</v>
      </c>
      <c r="D740">
        <v>254</v>
      </c>
      <c r="E740">
        <v>4924.32</v>
      </c>
      <c r="F740" t="str">
        <v>B</v>
      </c>
    </row>
    <row r="741" spans="1:6" x14ac:dyDescent="0.2">
      <c r="A741" s="31">
        <v>44937</v>
      </c>
      <c r="B741" t="str">
        <v>New_Campaign</v>
      </c>
      <c r="C741">
        <v>1131</v>
      </c>
      <c r="D741">
        <v>259</v>
      </c>
      <c r="E741">
        <v>4677.88</v>
      </c>
      <c r="F741" t="str">
        <v>B</v>
      </c>
    </row>
    <row r="742" spans="1:6" x14ac:dyDescent="0.2">
      <c r="A742" s="31">
        <v>44938</v>
      </c>
      <c r="B742" t="str">
        <v>New_Campaign</v>
      </c>
      <c r="C742">
        <v>1114</v>
      </c>
      <c r="D742">
        <v>254</v>
      </c>
      <c r="E742">
        <v>3607.41</v>
      </c>
      <c r="F742" t="str">
        <v>B</v>
      </c>
    </row>
    <row r="743" spans="1:6" x14ac:dyDescent="0.2">
      <c r="A743" s="31">
        <v>44939</v>
      </c>
      <c r="B743" t="str">
        <v>New_Campaign</v>
      </c>
      <c r="C743">
        <v>1160</v>
      </c>
      <c r="D743">
        <v>284</v>
      </c>
      <c r="E743">
        <v>4081.15</v>
      </c>
      <c r="F743" t="str">
        <v>B</v>
      </c>
    </row>
    <row r="744" spans="1:6" x14ac:dyDescent="0.2">
      <c r="A744" s="31">
        <v>44940</v>
      </c>
      <c r="B744" t="str">
        <v>New_Campaign</v>
      </c>
      <c r="C744">
        <v>1124</v>
      </c>
      <c r="D744">
        <v>259</v>
      </c>
      <c r="E744">
        <v>4377.01</v>
      </c>
      <c r="F744" t="str">
        <v>B</v>
      </c>
    </row>
    <row r="745" spans="1:6" x14ac:dyDescent="0.2">
      <c r="A745" s="31">
        <v>44941</v>
      </c>
      <c r="B745" t="str">
        <v>New_Campaign</v>
      </c>
      <c r="C745">
        <v>1112</v>
      </c>
      <c r="D745">
        <v>267</v>
      </c>
      <c r="E745">
        <v>4301.37</v>
      </c>
      <c r="F745" t="str">
        <v>B</v>
      </c>
    </row>
    <row r="746" spans="1:6" x14ac:dyDescent="0.2">
      <c r="A746" s="31">
        <v>44942</v>
      </c>
      <c r="B746" t="str">
        <v>New_Campaign</v>
      </c>
      <c r="C746">
        <v>1109</v>
      </c>
      <c r="D746">
        <v>250</v>
      </c>
      <c r="E746">
        <v>4581.6899999999996</v>
      </c>
      <c r="F746" t="str">
        <v>B</v>
      </c>
    </row>
    <row r="747" spans="1:6" x14ac:dyDescent="0.2">
      <c r="A747" s="31">
        <v>44943</v>
      </c>
      <c r="B747" t="str">
        <v>New_Campaign</v>
      </c>
      <c r="C747">
        <v>1200</v>
      </c>
      <c r="D747">
        <v>262</v>
      </c>
      <c r="E747">
        <v>3861.44</v>
      </c>
      <c r="F747" t="str">
        <v>B</v>
      </c>
    </row>
    <row r="748" spans="1:6" x14ac:dyDescent="0.2">
      <c r="A748" s="31">
        <v>44944</v>
      </c>
      <c r="B748" t="str">
        <v>New_Campaign</v>
      </c>
      <c r="C748">
        <v>1177</v>
      </c>
      <c r="D748">
        <v>263</v>
      </c>
      <c r="E748">
        <v>3642.73</v>
      </c>
      <c r="F748" t="str">
        <v>B</v>
      </c>
    </row>
    <row r="749" spans="1:6" x14ac:dyDescent="0.2">
      <c r="A749" s="31">
        <v>44945</v>
      </c>
      <c r="B749" t="str">
        <v>New_Campaign</v>
      </c>
      <c r="C749">
        <v>1189</v>
      </c>
      <c r="D749">
        <v>281</v>
      </c>
      <c r="E749">
        <v>3764.78</v>
      </c>
      <c r="F749" t="str">
        <v>B</v>
      </c>
    </row>
    <row r="750" spans="1:6" x14ac:dyDescent="0.2">
      <c r="A750" s="31">
        <v>44946</v>
      </c>
      <c r="B750" t="str">
        <v>New_Campaign</v>
      </c>
      <c r="C750">
        <v>1165</v>
      </c>
      <c r="D750">
        <v>277</v>
      </c>
      <c r="E750">
        <v>4821.2</v>
      </c>
      <c r="F750" t="str">
        <v>B</v>
      </c>
    </row>
    <row r="751" spans="1:6" x14ac:dyDescent="0.2">
      <c r="A751" s="31">
        <v>44947</v>
      </c>
      <c r="B751" t="str">
        <v>New_Campaign</v>
      </c>
      <c r="C751">
        <v>1208</v>
      </c>
      <c r="D751">
        <v>278</v>
      </c>
      <c r="E751">
        <v>4502.0200000000004</v>
      </c>
      <c r="F751" t="str">
        <v>B</v>
      </c>
    </row>
    <row r="752" spans="1:6" x14ac:dyDescent="0.2">
      <c r="A752" s="31">
        <v>44948</v>
      </c>
      <c r="B752" t="str">
        <v>New_Campaign</v>
      </c>
      <c r="C752">
        <v>1144</v>
      </c>
      <c r="D752">
        <v>289</v>
      </c>
      <c r="E752">
        <v>4934.66</v>
      </c>
      <c r="F752" t="str">
        <v>B</v>
      </c>
    </row>
    <row r="753" spans="1:6" x14ac:dyDescent="0.2">
      <c r="A753" s="31">
        <v>44949</v>
      </c>
      <c r="B753" t="str">
        <v>New_Campaign</v>
      </c>
      <c r="C753">
        <v>1150</v>
      </c>
      <c r="D753">
        <v>278</v>
      </c>
      <c r="E753">
        <v>5095.22</v>
      </c>
      <c r="F753" t="str">
        <v>B</v>
      </c>
    </row>
    <row r="754" spans="1:6" x14ac:dyDescent="0.2">
      <c r="A754" s="31">
        <v>44950</v>
      </c>
      <c r="B754" t="str">
        <v>New_Campaign</v>
      </c>
      <c r="C754">
        <v>1138</v>
      </c>
      <c r="D754">
        <v>273</v>
      </c>
      <c r="E754">
        <v>4001.24</v>
      </c>
      <c r="F754" t="str">
        <v>B</v>
      </c>
    </row>
    <row r="755" spans="1:6" x14ac:dyDescent="0.2">
      <c r="A755" s="31">
        <v>44951</v>
      </c>
      <c r="B755" t="str">
        <v>New_Campaign</v>
      </c>
      <c r="C755">
        <v>1132</v>
      </c>
      <c r="D755">
        <v>237</v>
      </c>
      <c r="E755">
        <v>3542.02</v>
      </c>
      <c r="F755" t="str">
        <v>B</v>
      </c>
    </row>
    <row r="756" spans="1:6" x14ac:dyDescent="0.2">
      <c r="A756" s="31">
        <v>44952</v>
      </c>
      <c r="B756" t="str">
        <v>New_Campaign</v>
      </c>
      <c r="C756">
        <v>1155</v>
      </c>
      <c r="D756">
        <v>282</v>
      </c>
      <c r="E756">
        <v>5326.23</v>
      </c>
      <c r="F756" t="str">
        <v>B</v>
      </c>
    </row>
    <row r="757" spans="1:6" x14ac:dyDescent="0.2">
      <c r="A757" s="31">
        <v>44953</v>
      </c>
      <c r="B757" t="str">
        <v>New_Campaign</v>
      </c>
      <c r="C757">
        <v>1153</v>
      </c>
      <c r="D757">
        <v>268</v>
      </c>
      <c r="E757">
        <v>3416.74</v>
      </c>
      <c r="F757" t="str">
        <v>B</v>
      </c>
    </row>
    <row r="758" spans="1:6" x14ac:dyDescent="0.2">
      <c r="A758" s="31">
        <v>44954</v>
      </c>
      <c r="B758" t="str">
        <v>New_Campaign</v>
      </c>
      <c r="C758">
        <v>1113</v>
      </c>
      <c r="D758">
        <v>264</v>
      </c>
      <c r="E758">
        <v>3943.17</v>
      </c>
      <c r="F758" t="str">
        <v>B</v>
      </c>
    </row>
    <row r="759" spans="1:6" x14ac:dyDescent="0.2">
      <c r="A759" s="31">
        <v>44955</v>
      </c>
      <c r="B759" t="str">
        <v>New_Campaign</v>
      </c>
      <c r="C759">
        <v>1130</v>
      </c>
      <c r="D759">
        <v>254</v>
      </c>
      <c r="E759">
        <v>3666.44</v>
      </c>
      <c r="F759" t="str">
        <v>B</v>
      </c>
    </row>
    <row r="760" spans="1:6" x14ac:dyDescent="0.2">
      <c r="A760" s="31">
        <v>44956</v>
      </c>
      <c r="B760" t="str">
        <v>New_Campaign</v>
      </c>
      <c r="C760">
        <v>1164</v>
      </c>
      <c r="D760">
        <v>269</v>
      </c>
      <c r="E760">
        <v>3683.64</v>
      </c>
      <c r="F760" t="str">
        <v>B</v>
      </c>
    </row>
    <row r="761" spans="1:6" x14ac:dyDescent="0.2">
      <c r="A761" s="31">
        <v>44957</v>
      </c>
      <c r="B761" t="str">
        <v>New_Campaign</v>
      </c>
      <c r="C761">
        <v>1159</v>
      </c>
      <c r="D761">
        <v>288</v>
      </c>
      <c r="E761">
        <v>5003.6899999999996</v>
      </c>
      <c r="F761" t="str">
        <v>B</v>
      </c>
    </row>
    <row r="762" spans="1:6" x14ac:dyDescent="0.2">
      <c r="A762" s="31">
        <v>44958</v>
      </c>
      <c r="B762" t="str">
        <v>New_Campaign</v>
      </c>
      <c r="C762">
        <v>1133</v>
      </c>
      <c r="D762">
        <v>278</v>
      </c>
      <c r="E762">
        <v>3291.11</v>
      </c>
      <c r="F762" t="str">
        <v>B</v>
      </c>
    </row>
    <row r="763" spans="1:6" x14ac:dyDescent="0.2">
      <c r="A763" s="31">
        <v>44959</v>
      </c>
      <c r="B763" t="str">
        <v>New_Campaign</v>
      </c>
      <c r="C763">
        <v>1185</v>
      </c>
      <c r="D763">
        <v>277</v>
      </c>
      <c r="E763">
        <v>4345.3100000000004</v>
      </c>
      <c r="F763" t="str">
        <v>B</v>
      </c>
    </row>
    <row r="764" spans="1:6" x14ac:dyDescent="0.2">
      <c r="A764" s="31">
        <v>44960</v>
      </c>
      <c r="B764" t="str">
        <v>New_Campaign</v>
      </c>
      <c r="C764">
        <v>1173</v>
      </c>
      <c r="D764">
        <v>288</v>
      </c>
      <c r="E764">
        <v>5106.41</v>
      </c>
      <c r="F764" t="str">
        <v>B</v>
      </c>
    </row>
    <row r="765" spans="1:6" x14ac:dyDescent="0.2">
      <c r="A765" s="31">
        <v>44961</v>
      </c>
      <c r="B765" t="str">
        <v>New_Campaign</v>
      </c>
      <c r="C765">
        <v>1093</v>
      </c>
      <c r="D765">
        <v>259</v>
      </c>
      <c r="E765">
        <v>3415.13</v>
      </c>
      <c r="F765" t="str">
        <v>B</v>
      </c>
    </row>
    <row r="766" spans="1:6" x14ac:dyDescent="0.2">
      <c r="A766" s="31">
        <v>44962</v>
      </c>
      <c r="B766" t="str">
        <v>New_Campaign</v>
      </c>
      <c r="C766">
        <v>1148</v>
      </c>
      <c r="D766">
        <v>275</v>
      </c>
      <c r="E766">
        <v>4186.8</v>
      </c>
      <c r="F766" t="str">
        <v>B</v>
      </c>
    </row>
    <row r="767" spans="1:6" x14ac:dyDescent="0.2">
      <c r="A767" s="31">
        <v>44963</v>
      </c>
      <c r="B767" t="str">
        <v>New_Campaign</v>
      </c>
      <c r="C767">
        <v>1146</v>
      </c>
      <c r="D767">
        <v>244</v>
      </c>
      <c r="E767">
        <v>3692.51</v>
      </c>
      <c r="F767" t="str">
        <v>B</v>
      </c>
    </row>
    <row r="768" spans="1:6" x14ac:dyDescent="0.2">
      <c r="A768" s="31">
        <v>44964</v>
      </c>
      <c r="B768" t="str">
        <v>New_Campaign</v>
      </c>
      <c r="C768">
        <v>1140</v>
      </c>
      <c r="D768">
        <v>268</v>
      </c>
      <c r="E768">
        <v>4264.09</v>
      </c>
      <c r="F768" t="str">
        <v>B</v>
      </c>
    </row>
    <row r="769" spans="1:6" x14ac:dyDescent="0.2">
      <c r="A769" s="31">
        <v>44965</v>
      </c>
      <c r="B769" t="str">
        <v>New_Campaign</v>
      </c>
      <c r="C769">
        <v>1120</v>
      </c>
      <c r="D769">
        <v>254</v>
      </c>
      <c r="E769">
        <v>4326.2</v>
      </c>
      <c r="F769" t="str">
        <v>B</v>
      </c>
    </row>
    <row r="770" spans="1:6" x14ac:dyDescent="0.2">
      <c r="A770" s="31">
        <v>44966</v>
      </c>
      <c r="B770" t="str">
        <v>New_Campaign</v>
      </c>
      <c r="C770">
        <v>1142</v>
      </c>
      <c r="D770">
        <v>257</v>
      </c>
      <c r="E770">
        <v>4356.54</v>
      </c>
      <c r="F770" t="str">
        <v>B</v>
      </c>
    </row>
    <row r="771" spans="1:6" x14ac:dyDescent="0.2">
      <c r="A771" s="31">
        <v>44967</v>
      </c>
      <c r="B771" t="str">
        <v>New_Campaign</v>
      </c>
      <c r="C771">
        <v>1133</v>
      </c>
      <c r="D771">
        <v>270</v>
      </c>
      <c r="E771">
        <v>3201.46</v>
      </c>
      <c r="F771" t="str">
        <v>B</v>
      </c>
    </row>
    <row r="772" spans="1:6" x14ac:dyDescent="0.2">
      <c r="A772" s="31">
        <v>44968</v>
      </c>
      <c r="B772" t="str">
        <v>New_Campaign</v>
      </c>
      <c r="C772">
        <v>1149</v>
      </c>
      <c r="D772">
        <v>262</v>
      </c>
      <c r="E772">
        <v>4131.22</v>
      </c>
      <c r="F772" t="str">
        <v>B</v>
      </c>
    </row>
    <row r="773" spans="1:6" x14ac:dyDescent="0.2">
      <c r="A773" s="31">
        <v>44969</v>
      </c>
      <c r="B773" t="str">
        <v>New_Campaign</v>
      </c>
      <c r="C773">
        <v>1132</v>
      </c>
      <c r="D773">
        <v>258</v>
      </c>
      <c r="E773">
        <v>4313.6000000000004</v>
      </c>
      <c r="F773" t="str">
        <v>B</v>
      </c>
    </row>
    <row r="774" spans="1:6" x14ac:dyDescent="0.2">
      <c r="A774" s="31">
        <v>44970</v>
      </c>
      <c r="B774" t="str">
        <v>New_Campaign</v>
      </c>
      <c r="C774">
        <v>1154</v>
      </c>
      <c r="D774">
        <v>266</v>
      </c>
      <c r="E774">
        <v>4621.41</v>
      </c>
      <c r="F774" t="str">
        <v>B</v>
      </c>
    </row>
    <row r="775" spans="1:6" x14ac:dyDescent="0.2">
      <c r="A775" s="31">
        <v>44971</v>
      </c>
      <c r="B775" t="str">
        <v>New_Campaign</v>
      </c>
      <c r="C775">
        <v>1166</v>
      </c>
      <c r="D775">
        <v>258</v>
      </c>
      <c r="E775">
        <v>4639.45</v>
      </c>
      <c r="F775" t="str">
        <v>B</v>
      </c>
    </row>
    <row r="776" spans="1:6" x14ac:dyDescent="0.2">
      <c r="A776" s="31">
        <v>44972</v>
      </c>
      <c r="B776" t="str">
        <v>New_Campaign</v>
      </c>
      <c r="C776">
        <v>1179</v>
      </c>
      <c r="D776">
        <v>243</v>
      </c>
      <c r="E776">
        <v>3964.22</v>
      </c>
      <c r="F776" t="str">
        <v>B</v>
      </c>
    </row>
    <row r="777" spans="1:6" x14ac:dyDescent="0.2">
      <c r="A777" s="31">
        <v>44973</v>
      </c>
      <c r="B777" t="str">
        <v>New_Campaign</v>
      </c>
      <c r="C777">
        <v>1174</v>
      </c>
      <c r="D777">
        <v>274</v>
      </c>
      <c r="E777">
        <v>4692.96</v>
      </c>
      <c r="F777" t="str">
        <v>B</v>
      </c>
    </row>
    <row r="778" spans="1:6" x14ac:dyDescent="0.2">
      <c r="A778" s="31">
        <v>44974</v>
      </c>
      <c r="B778" t="str">
        <v>New_Campaign</v>
      </c>
      <c r="C778">
        <v>1113</v>
      </c>
      <c r="D778">
        <v>225</v>
      </c>
      <c r="E778">
        <v>3095.65</v>
      </c>
      <c r="F778" t="str">
        <v>B</v>
      </c>
    </row>
    <row r="779" spans="1:6" x14ac:dyDescent="0.2">
      <c r="A779" s="31">
        <v>44975</v>
      </c>
      <c r="B779" t="str">
        <v>New_Campaign</v>
      </c>
      <c r="C779">
        <v>1127</v>
      </c>
      <c r="D779">
        <v>247</v>
      </c>
      <c r="E779">
        <v>4089.11</v>
      </c>
      <c r="F779" t="str">
        <v>B</v>
      </c>
    </row>
    <row r="780" spans="1:6" x14ac:dyDescent="0.2">
      <c r="A780" s="31">
        <v>44976</v>
      </c>
      <c r="B780" t="str">
        <v>New_Campaign</v>
      </c>
      <c r="C780">
        <v>1156</v>
      </c>
      <c r="D780">
        <v>273</v>
      </c>
      <c r="E780">
        <v>4024.55</v>
      </c>
      <c r="F780" t="str">
        <v>B</v>
      </c>
    </row>
    <row r="781" spans="1:6" x14ac:dyDescent="0.2">
      <c r="A781" s="31">
        <v>44977</v>
      </c>
      <c r="B781" t="str">
        <v>New_Campaign</v>
      </c>
      <c r="C781">
        <v>1223</v>
      </c>
      <c r="D781">
        <v>293</v>
      </c>
      <c r="E781">
        <v>5754.39</v>
      </c>
      <c r="F781" t="str">
        <v>B</v>
      </c>
    </row>
    <row r="782" spans="1:6" x14ac:dyDescent="0.2">
      <c r="A782" s="31">
        <v>44978</v>
      </c>
      <c r="B782" t="str">
        <v>New_Campaign</v>
      </c>
      <c r="C782">
        <v>1204</v>
      </c>
      <c r="D782">
        <v>268</v>
      </c>
      <c r="E782">
        <v>5016.58</v>
      </c>
      <c r="F782" t="str">
        <v>B</v>
      </c>
    </row>
    <row r="783" spans="1:6" x14ac:dyDescent="0.2">
      <c r="A783" s="31">
        <v>44979</v>
      </c>
      <c r="B783" t="str">
        <v>New_Campaign</v>
      </c>
      <c r="C783">
        <v>1153</v>
      </c>
      <c r="D783">
        <v>257</v>
      </c>
      <c r="E783">
        <v>3683.18</v>
      </c>
      <c r="F783" t="str">
        <v>B</v>
      </c>
    </row>
    <row r="784" spans="1:6" x14ac:dyDescent="0.2">
      <c r="A784" s="31">
        <v>44980</v>
      </c>
      <c r="B784" t="str">
        <v>New_Campaign</v>
      </c>
      <c r="C784">
        <v>1174</v>
      </c>
      <c r="D784">
        <v>268</v>
      </c>
      <c r="E784">
        <v>4700.7</v>
      </c>
      <c r="F784" t="str">
        <v>B</v>
      </c>
    </row>
    <row r="785" spans="1:6" x14ac:dyDescent="0.2">
      <c r="A785" s="31">
        <v>44981</v>
      </c>
      <c r="B785" t="str">
        <v>New_Campaign</v>
      </c>
      <c r="C785">
        <v>1149</v>
      </c>
      <c r="D785">
        <v>272</v>
      </c>
      <c r="E785">
        <v>4921.72</v>
      </c>
      <c r="F785" t="str">
        <v>B</v>
      </c>
    </row>
    <row r="786" spans="1:6" x14ac:dyDescent="0.2">
      <c r="A786" s="31">
        <v>44982</v>
      </c>
      <c r="B786" t="str">
        <v>New_Campaign</v>
      </c>
      <c r="C786">
        <v>1178</v>
      </c>
      <c r="D786">
        <v>277</v>
      </c>
      <c r="E786">
        <v>3845.42</v>
      </c>
      <c r="F786" t="str">
        <v>B</v>
      </c>
    </row>
    <row r="787" spans="1:6" x14ac:dyDescent="0.2">
      <c r="A787" s="31">
        <v>44983</v>
      </c>
      <c r="B787" t="str">
        <v>New_Campaign</v>
      </c>
      <c r="C787">
        <v>1184</v>
      </c>
      <c r="D787">
        <v>277</v>
      </c>
      <c r="E787">
        <v>5227.75</v>
      </c>
      <c r="F787" t="str">
        <v>B</v>
      </c>
    </row>
    <row r="788" spans="1:6" x14ac:dyDescent="0.2">
      <c r="A788" s="31">
        <v>44984</v>
      </c>
      <c r="B788" t="str">
        <v>New_Campaign</v>
      </c>
      <c r="C788">
        <v>1172</v>
      </c>
      <c r="D788">
        <v>266</v>
      </c>
      <c r="E788">
        <v>5074.8500000000004</v>
      </c>
      <c r="F788" t="str">
        <v>B</v>
      </c>
    </row>
    <row r="789" spans="1:6" x14ac:dyDescent="0.2">
      <c r="A789" s="31">
        <v>44985</v>
      </c>
      <c r="B789" t="str">
        <v>New_Campaign</v>
      </c>
      <c r="C789">
        <v>1161</v>
      </c>
      <c r="D789">
        <v>278</v>
      </c>
      <c r="E789">
        <v>4841.42</v>
      </c>
      <c r="F789" t="str">
        <v>B</v>
      </c>
    </row>
    <row r="790" spans="1:6" x14ac:dyDescent="0.2">
      <c r="A790" s="31">
        <v>44986</v>
      </c>
      <c r="B790" t="str">
        <v>New_Campaign</v>
      </c>
      <c r="C790">
        <v>1221</v>
      </c>
      <c r="D790">
        <v>278</v>
      </c>
      <c r="E790">
        <v>4615.58</v>
      </c>
      <c r="F790" t="str">
        <v>B</v>
      </c>
    </row>
    <row r="791" spans="1:6" x14ac:dyDescent="0.2">
      <c r="A791" s="31">
        <v>44987</v>
      </c>
      <c r="B791" t="str">
        <v>New_Campaign</v>
      </c>
      <c r="C791">
        <v>1112</v>
      </c>
      <c r="D791">
        <v>257</v>
      </c>
      <c r="E791">
        <v>3644.42</v>
      </c>
      <c r="F791" t="str">
        <v>B</v>
      </c>
    </row>
    <row r="792" spans="1:6" x14ac:dyDescent="0.2">
      <c r="A792" s="31">
        <v>44988</v>
      </c>
      <c r="B792" t="str">
        <v>New_Campaign</v>
      </c>
      <c r="C792">
        <v>1165</v>
      </c>
      <c r="D792">
        <v>252</v>
      </c>
      <c r="E792">
        <v>4626.1499999999996</v>
      </c>
      <c r="F792" t="str">
        <v>B</v>
      </c>
    </row>
    <row r="793" spans="1:6" x14ac:dyDescent="0.2">
      <c r="A793" s="31">
        <v>44989</v>
      </c>
      <c r="B793" t="str">
        <v>New_Campaign</v>
      </c>
      <c r="C793">
        <v>1134</v>
      </c>
      <c r="D793">
        <v>260</v>
      </c>
      <c r="E793">
        <v>4505.1000000000004</v>
      </c>
      <c r="F793" t="str">
        <v>B</v>
      </c>
    </row>
    <row r="794" spans="1:6" x14ac:dyDescent="0.2">
      <c r="A794" s="31">
        <v>44990</v>
      </c>
      <c r="B794" t="str">
        <v>New_Campaign</v>
      </c>
      <c r="C794">
        <v>1167</v>
      </c>
      <c r="D794">
        <v>242</v>
      </c>
      <c r="E794">
        <v>2947.95</v>
      </c>
      <c r="F794" t="str">
        <v>B</v>
      </c>
    </row>
    <row r="795" spans="1:6" x14ac:dyDescent="0.2">
      <c r="A795" s="31">
        <v>44991</v>
      </c>
      <c r="B795" t="str">
        <v>New_Campaign</v>
      </c>
      <c r="C795">
        <v>1091</v>
      </c>
      <c r="D795">
        <v>260</v>
      </c>
      <c r="E795">
        <v>4323.3500000000004</v>
      </c>
      <c r="F795" t="str">
        <v>B</v>
      </c>
    </row>
    <row r="796" spans="1:6" x14ac:dyDescent="0.2">
      <c r="A796" s="31">
        <v>44992</v>
      </c>
      <c r="B796" t="str">
        <v>New_Campaign</v>
      </c>
      <c r="C796">
        <v>1128</v>
      </c>
      <c r="D796">
        <v>259</v>
      </c>
      <c r="E796">
        <v>3965.24</v>
      </c>
      <c r="F796" t="str">
        <v>B</v>
      </c>
    </row>
    <row r="797" spans="1:6" x14ac:dyDescent="0.2">
      <c r="A797" s="31">
        <v>44993</v>
      </c>
      <c r="B797" t="str">
        <v>New_Campaign</v>
      </c>
      <c r="C797">
        <v>1170</v>
      </c>
      <c r="D797">
        <v>286</v>
      </c>
      <c r="E797">
        <v>4470.7</v>
      </c>
      <c r="F797" t="str">
        <v>B</v>
      </c>
    </row>
    <row r="798" spans="1:6" x14ac:dyDescent="0.2">
      <c r="A798" s="31">
        <v>44994</v>
      </c>
      <c r="B798" t="str">
        <v>New_Campaign</v>
      </c>
      <c r="C798">
        <v>1146</v>
      </c>
      <c r="D798">
        <v>253</v>
      </c>
      <c r="E798">
        <v>4250.3999999999996</v>
      </c>
      <c r="F798" t="str">
        <v>B</v>
      </c>
    </row>
    <row r="799" spans="1:6" x14ac:dyDescent="0.2">
      <c r="A799" s="31">
        <v>44995</v>
      </c>
      <c r="B799" t="str">
        <v>New_Campaign</v>
      </c>
      <c r="C799">
        <v>1169</v>
      </c>
      <c r="D799">
        <v>285</v>
      </c>
      <c r="E799">
        <v>4554.03</v>
      </c>
      <c r="F799" t="str">
        <v>B</v>
      </c>
    </row>
    <row r="800" spans="1:6" x14ac:dyDescent="0.2">
      <c r="A800" s="31">
        <v>44996</v>
      </c>
      <c r="B800" t="str">
        <v>New_Campaign</v>
      </c>
      <c r="C800">
        <v>1111</v>
      </c>
      <c r="D800">
        <v>248</v>
      </c>
      <c r="E800">
        <v>3262.25</v>
      </c>
      <c r="F800" t="str">
        <v>B</v>
      </c>
    </row>
    <row r="801" spans="1:6" x14ac:dyDescent="0.2">
      <c r="A801" s="31">
        <v>44997</v>
      </c>
      <c r="B801" t="str">
        <v>New_Campaign</v>
      </c>
      <c r="C801">
        <v>1210</v>
      </c>
      <c r="D801">
        <v>292</v>
      </c>
      <c r="E801">
        <v>6302.65</v>
      </c>
      <c r="F801" t="str">
        <v>B</v>
      </c>
    </row>
    <row r="802" spans="1:6" x14ac:dyDescent="0.2">
      <c r="A802" s="31">
        <v>44998</v>
      </c>
      <c r="B802" t="str">
        <v>New_Campaign</v>
      </c>
      <c r="C802">
        <v>1186</v>
      </c>
      <c r="D802">
        <v>253</v>
      </c>
      <c r="E802">
        <v>3919.24</v>
      </c>
      <c r="F802" t="str">
        <v>B</v>
      </c>
    </row>
    <row r="803" spans="1:6" x14ac:dyDescent="0.2">
      <c r="A803" s="31">
        <v>44999</v>
      </c>
      <c r="B803" t="str">
        <v>New_Campaign</v>
      </c>
      <c r="C803">
        <v>1148</v>
      </c>
      <c r="D803">
        <v>294</v>
      </c>
      <c r="E803">
        <v>3911.38</v>
      </c>
      <c r="F803" t="str">
        <v>B</v>
      </c>
    </row>
    <row r="804" spans="1:6" x14ac:dyDescent="0.2">
      <c r="A804" s="31">
        <v>45000</v>
      </c>
      <c r="B804" t="str">
        <v>New_Campaign</v>
      </c>
      <c r="C804">
        <v>1192</v>
      </c>
      <c r="D804">
        <v>266</v>
      </c>
      <c r="E804">
        <v>4060.63</v>
      </c>
      <c r="F804" t="str">
        <v>B</v>
      </c>
    </row>
    <row r="805" spans="1:6" x14ac:dyDescent="0.2">
      <c r="A805" s="31">
        <v>45001</v>
      </c>
      <c r="B805" t="str">
        <v>New_Campaign</v>
      </c>
      <c r="C805">
        <v>1211</v>
      </c>
      <c r="D805">
        <v>290</v>
      </c>
      <c r="E805">
        <v>5643.59</v>
      </c>
      <c r="F805" t="str">
        <v>B</v>
      </c>
    </row>
    <row r="806" spans="1:6" x14ac:dyDescent="0.2">
      <c r="A806" s="31">
        <v>45002</v>
      </c>
      <c r="B806" t="str">
        <v>New_Campaign</v>
      </c>
      <c r="C806">
        <v>1102</v>
      </c>
      <c r="D806">
        <v>257</v>
      </c>
      <c r="E806">
        <v>3951.6</v>
      </c>
      <c r="F806" t="str">
        <v>B</v>
      </c>
    </row>
    <row r="807" spans="1:6" x14ac:dyDescent="0.2">
      <c r="A807" s="31">
        <v>45003</v>
      </c>
      <c r="B807" t="str">
        <v>New_Campaign</v>
      </c>
      <c r="C807">
        <v>1150</v>
      </c>
      <c r="D807">
        <v>274</v>
      </c>
      <c r="E807">
        <v>3959.74</v>
      </c>
      <c r="F807" t="str">
        <v>B</v>
      </c>
    </row>
    <row r="808" spans="1:6" x14ac:dyDescent="0.2">
      <c r="A808" s="31">
        <v>45004</v>
      </c>
      <c r="B808" t="str">
        <v>New_Campaign</v>
      </c>
      <c r="C808">
        <v>1155</v>
      </c>
      <c r="D808">
        <v>268</v>
      </c>
      <c r="E808">
        <v>4353.3100000000004</v>
      </c>
      <c r="F808" t="str">
        <v>B</v>
      </c>
    </row>
    <row r="809" spans="1:6" x14ac:dyDescent="0.2">
      <c r="A809" s="31">
        <v>45005</v>
      </c>
      <c r="B809" t="str">
        <v>New_Campaign</v>
      </c>
      <c r="C809">
        <v>1090</v>
      </c>
      <c r="D809">
        <v>270</v>
      </c>
      <c r="E809">
        <v>5618.61</v>
      </c>
      <c r="F809" t="str">
        <v>B</v>
      </c>
    </row>
    <row r="810" spans="1:6" x14ac:dyDescent="0.2">
      <c r="A810" s="31">
        <v>45006</v>
      </c>
      <c r="B810" t="str">
        <v>New_Campaign</v>
      </c>
      <c r="C810">
        <v>1218</v>
      </c>
      <c r="D810">
        <v>270</v>
      </c>
      <c r="E810">
        <v>3463.64</v>
      </c>
      <c r="F810" t="str">
        <v>B</v>
      </c>
    </row>
    <row r="811" spans="1:6" x14ac:dyDescent="0.2">
      <c r="A811" s="31">
        <v>45007</v>
      </c>
      <c r="B811" t="str">
        <v>New_Campaign</v>
      </c>
      <c r="C811">
        <v>1142</v>
      </c>
      <c r="D811">
        <v>267</v>
      </c>
      <c r="E811">
        <v>4056.6</v>
      </c>
      <c r="F811" t="str">
        <v>B</v>
      </c>
    </row>
    <row r="812" spans="1:6" x14ac:dyDescent="0.2">
      <c r="A812" s="31">
        <v>45008</v>
      </c>
      <c r="B812" t="str">
        <v>New_Campaign</v>
      </c>
      <c r="C812">
        <v>1109</v>
      </c>
      <c r="D812">
        <v>249</v>
      </c>
      <c r="E812">
        <v>3829.15</v>
      </c>
      <c r="F812" t="str">
        <v>B</v>
      </c>
    </row>
    <row r="813" spans="1:6" x14ac:dyDescent="0.2">
      <c r="A813" s="31">
        <v>45009</v>
      </c>
      <c r="B813" t="str">
        <v>New_Campaign</v>
      </c>
      <c r="C813">
        <v>1100</v>
      </c>
      <c r="D813">
        <v>261</v>
      </c>
      <c r="E813">
        <v>4421.6099999999997</v>
      </c>
      <c r="F813" t="str">
        <v>B</v>
      </c>
    </row>
    <row r="814" spans="1:6" x14ac:dyDescent="0.2">
      <c r="A814" s="31">
        <v>45010</v>
      </c>
      <c r="B814" t="str">
        <v>New_Campaign</v>
      </c>
      <c r="C814">
        <v>1150</v>
      </c>
      <c r="D814">
        <v>278</v>
      </c>
      <c r="E814">
        <v>4594.95</v>
      </c>
      <c r="F814" t="str">
        <v>B</v>
      </c>
    </row>
    <row r="815" spans="1:6" x14ac:dyDescent="0.2">
      <c r="A815" s="31">
        <v>45011</v>
      </c>
      <c r="B815" t="str">
        <v>New_Campaign</v>
      </c>
      <c r="C815">
        <v>1074</v>
      </c>
      <c r="D815">
        <v>244</v>
      </c>
      <c r="E815">
        <v>4329.92</v>
      </c>
      <c r="F815" t="str">
        <v>B</v>
      </c>
    </row>
    <row r="816" spans="1:6" x14ac:dyDescent="0.2">
      <c r="A816" s="31">
        <v>45012</v>
      </c>
      <c r="B816" t="str">
        <v>New_Campaign</v>
      </c>
      <c r="C816">
        <v>1136</v>
      </c>
      <c r="D816">
        <v>279</v>
      </c>
      <c r="E816">
        <v>3780.45</v>
      </c>
      <c r="F816" t="str">
        <v>B</v>
      </c>
    </row>
    <row r="817" spans="1:6" x14ac:dyDescent="0.2">
      <c r="A817" s="31">
        <v>45013</v>
      </c>
      <c r="B817" t="str">
        <v>New_Campaign</v>
      </c>
      <c r="C817">
        <v>1123</v>
      </c>
      <c r="D817">
        <v>238</v>
      </c>
      <c r="E817">
        <v>3793.35</v>
      </c>
      <c r="F817" t="str">
        <v>B</v>
      </c>
    </row>
    <row r="818" spans="1:6" x14ac:dyDescent="0.2">
      <c r="A818" s="31">
        <v>45014</v>
      </c>
      <c r="B818" t="str">
        <v>New_Campaign</v>
      </c>
      <c r="C818">
        <v>1170</v>
      </c>
      <c r="D818">
        <v>292</v>
      </c>
      <c r="E818">
        <v>4191.45</v>
      </c>
      <c r="F818" t="str">
        <v>B</v>
      </c>
    </row>
    <row r="819" spans="1:6" x14ac:dyDescent="0.2">
      <c r="A819" s="31">
        <v>45015</v>
      </c>
      <c r="B819" t="str">
        <v>New_Campaign</v>
      </c>
      <c r="C819">
        <v>1139</v>
      </c>
      <c r="D819">
        <v>269</v>
      </c>
      <c r="E819">
        <v>4249.13</v>
      </c>
      <c r="F819" t="str">
        <v>B</v>
      </c>
    </row>
    <row r="820" spans="1:6" x14ac:dyDescent="0.2">
      <c r="A820" s="31">
        <v>45016</v>
      </c>
      <c r="B820" t="str">
        <v>New_Campaign</v>
      </c>
      <c r="C820">
        <v>1100</v>
      </c>
      <c r="D820">
        <v>260</v>
      </c>
      <c r="E820">
        <v>3718.47</v>
      </c>
      <c r="F820" t="str">
        <v>B</v>
      </c>
    </row>
    <row r="821" spans="1:6" x14ac:dyDescent="0.2">
      <c r="A821" s="31">
        <v>45017</v>
      </c>
      <c r="B821" t="str">
        <v>New_Campaign</v>
      </c>
      <c r="C821">
        <v>1132</v>
      </c>
      <c r="D821">
        <v>257</v>
      </c>
      <c r="E821">
        <v>2216.1799999999998</v>
      </c>
      <c r="F821" t="str">
        <v>B</v>
      </c>
    </row>
    <row r="822" spans="1:6" x14ac:dyDescent="0.2">
      <c r="A822" s="31">
        <v>45018</v>
      </c>
      <c r="B822" t="str">
        <v>New_Campaign</v>
      </c>
      <c r="C822">
        <v>1124</v>
      </c>
      <c r="D822">
        <v>264</v>
      </c>
      <c r="E822">
        <v>3957.55</v>
      </c>
      <c r="F822" t="str">
        <v>B</v>
      </c>
    </row>
    <row r="823" spans="1:6" x14ac:dyDescent="0.2">
      <c r="A823" s="31">
        <v>45019</v>
      </c>
      <c r="B823" t="str">
        <v>New_Campaign</v>
      </c>
      <c r="C823">
        <v>1126</v>
      </c>
      <c r="D823">
        <v>251</v>
      </c>
      <c r="E823">
        <v>4214.2700000000004</v>
      </c>
      <c r="F823" t="str">
        <v>B</v>
      </c>
    </row>
    <row r="824" spans="1:6" x14ac:dyDescent="0.2">
      <c r="A824" s="31">
        <v>45020</v>
      </c>
      <c r="B824" t="str">
        <v>New_Campaign</v>
      </c>
      <c r="C824">
        <v>1140</v>
      </c>
      <c r="D824">
        <v>274</v>
      </c>
      <c r="E824">
        <v>4185.83</v>
      </c>
      <c r="F824" t="str">
        <v>B</v>
      </c>
    </row>
    <row r="825" spans="1:6" x14ac:dyDescent="0.2">
      <c r="A825" s="31">
        <v>45021</v>
      </c>
      <c r="B825" t="str">
        <v>New_Campaign</v>
      </c>
      <c r="C825">
        <v>1128</v>
      </c>
      <c r="D825">
        <v>252</v>
      </c>
      <c r="E825">
        <v>5062.42</v>
      </c>
      <c r="F825" t="str">
        <v>B</v>
      </c>
    </row>
    <row r="826" spans="1:6" x14ac:dyDescent="0.2">
      <c r="A826" s="31">
        <v>45022</v>
      </c>
      <c r="B826" t="str">
        <v>New_Campaign</v>
      </c>
      <c r="C826">
        <v>1153</v>
      </c>
      <c r="D826">
        <v>263</v>
      </c>
      <c r="E826">
        <v>3766.41</v>
      </c>
      <c r="F826" t="str">
        <v>B</v>
      </c>
    </row>
    <row r="827" spans="1:6" x14ac:dyDescent="0.2">
      <c r="A827" s="31">
        <v>45023</v>
      </c>
      <c r="B827" t="str">
        <v>New_Campaign</v>
      </c>
      <c r="C827">
        <v>1135</v>
      </c>
      <c r="D827">
        <v>245</v>
      </c>
      <c r="E827">
        <v>3899.78</v>
      </c>
      <c r="F827" t="str">
        <v>B</v>
      </c>
    </row>
    <row r="828" spans="1:6" x14ac:dyDescent="0.2">
      <c r="A828" s="31">
        <v>45024</v>
      </c>
      <c r="B828" t="str">
        <v>New_Campaign</v>
      </c>
      <c r="C828">
        <v>1113</v>
      </c>
      <c r="D828">
        <v>252</v>
      </c>
      <c r="E828">
        <v>3590.59</v>
      </c>
      <c r="F828" t="str">
        <v>B</v>
      </c>
    </row>
    <row r="829" spans="1:6" x14ac:dyDescent="0.2">
      <c r="A829" s="31">
        <v>45025</v>
      </c>
      <c r="B829" t="str">
        <v>New_Campaign</v>
      </c>
      <c r="C829">
        <v>1116</v>
      </c>
      <c r="D829">
        <v>241</v>
      </c>
      <c r="E829">
        <v>4117.74</v>
      </c>
      <c r="F829" t="str">
        <v>B</v>
      </c>
    </row>
    <row r="830" spans="1:6" x14ac:dyDescent="0.2">
      <c r="A830" s="31">
        <v>45026</v>
      </c>
      <c r="B830" t="str">
        <v>New_Campaign</v>
      </c>
      <c r="C830">
        <v>1190</v>
      </c>
      <c r="D830">
        <v>265</v>
      </c>
      <c r="E830">
        <v>3493.27</v>
      </c>
      <c r="F830" t="str">
        <v>B</v>
      </c>
    </row>
    <row r="831" spans="1:6" x14ac:dyDescent="0.2">
      <c r="A831" s="31">
        <v>45027</v>
      </c>
      <c r="B831" t="str">
        <v>New_Campaign</v>
      </c>
      <c r="C831">
        <v>1149</v>
      </c>
      <c r="D831">
        <v>266</v>
      </c>
      <c r="E831">
        <v>4096.5600000000004</v>
      </c>
      <c r="F831" t="str">
        <v>B</v>
      </c>
    </row>
    <row r="832" spans="1:6" x14ac:dyDescent="0.2">
      <c r="A832" s="31">
        <v>45028</v>
      </c>
      <c r="B832" t="str">
        <v>New_Campaign</v>
      </c>
      <c r="C832">
        <v>1163</v>
      </c>
      <c r="D832">
        <v>262</v>
      </c>
      <c r="E832">
        <v>4366.6099999999997</v>
      </c>
      <c r="F832" t="str">
        <v>B</v>
      </c>
    </row>
    <row r="833" spans="1:6" x14ac:dyDescent="0.2">
      <c r="A833" s="31">
        <v>45029</v>
      </c>
      <c r="B833" t="str">
        <v>New_Campaign</v>
      </c>
      <c r="C833">
        <v>1137</v>
      </c>
      <c r="D833">
        <v>263</v>
      </c>
      <c r="E833">
        <v>3455.11</v>
      </c>
      <c r="F833" t="str">
        <v>B</v>
      </c>
    </row>
    <row r="834" spans="1:6" x14ac:dyDescent="0.2">
      <c r="A834" s="31">
        <v>45030</v>
      </c>
      <c r="B834" t="str">
        <v>New_Campaign</v>
      </c>
      <c r="C834">
        <v>1151</v>
      </c>
      <c r="D834">
        <v>291</v>
      </c>
      <c r="E834">
        <v>3683.03</v>
      </c>
      <c r="F834" t="str">
        <v>B</v>
      </c>
    </row>
    <row r="835" spans="1:6" x14ac:dyDescent="0.2">
      <c r="A835" s="31">
        <v>45031</v>
      </c>
      <c r="B835" t="str">
        <v>New_Campaign</v>
      </c>
      <c r="C835">
        <v>1174</v>
      </c>
      <c r="D835">
        <v>303</v>
      </c>
      <c r="E835">
        <v>5025.7700000000004</v>
      </c>
      <c r="F835" t="str">
        <v>B</v>
      </c>
    </row>
    <row r="836" spans="1:6" x14ac:dyDescent="0.2">
      <c r="A836" s="31">
        <v>45032</v>
      </c>
      <c r="B836" t="str">
        <v>New_Campaign</v>
      </c>
      <c r="C836">
        <v>1159</v>
      </c>
      <c r="D836">
        <v>272</v>
      </c>
      <c r="E836">
        <v>4420.3</v>
      </c>
      <c r="F836" t="str">
        <v>B</v>
      </c>
    </row>
    <row r="837" spans="1:6" x14ac:dyDescent="0.2">
      <c r="A837" s="31">
        <v>45033</v>
      </c>
      <c r="B837" t="str">
        <v>New_Campaign</v>
      </c>
      <c r="C837">
        <v>1148</v>
      </c>
      <c r="D837">
        <v>257</v>
      </c>
      <c r="E837">
        <v>4096.4399999999996</v>
      </c>
      <c r="F837" t="str">
        <v>B</v>
      </c>
    </row>
    <row r="838" spans="1:6" x14ac:dyDescent="0.2">
      <c r="A838" s="31">
        <v>45034</v>
      </c>
      <c r="B838" t="str">
        <v>New_Campaign</v>
      </c>
      <c r="C838">
        <v>1129</v>
      </c>
      <c r="D838">
        <v>253</v>
      </c>
      <c r="E838">
        <v>4352.8500000000004</v>
      </c>
      <c r="F838" t="str">
        <v>B</v>
      </c>
    </row>
    <row r="839" spans="1:6" x14ac:dyDescent="0.2">
      <c r="A839" s="31">
        <v>45035</v>
      </c>
      <c r="B839" t="str">
        <v>New_Campaign</v>
      </c>
      <c r="C839">
        <v>1078</v>
      </c>
      <c r="D839">
        <v>236</v>
      </c>
      <c r="E839">
        <v>3804.17</v>
      </c>
      <c r="F839" t="str">
        <v>B</v>
      </c>
    </row>
    <row r="840" spans="1:6" x14ac:dyDescent="0.2">
      <c r="A840" s="31">
        <v>45036</v>
      </c>
      <c r="B840" t="str">
        <v>New_Campaign</v>
      </c>
      <c r="C840">
        <v>1205</v>
      </c>
      <c r="D840">
        <v>275</v>
      </c>
      <c r="E840">
        <v>4224.1000000000004</v>
      </c>
      <c r="F840" t="str">
        <v>B</v>
      </c>
    </row>
    <row r="841" spans="1:6" x14ac:dyDescent="0.2">
      <c r="A841" s="31">
        <v>45037</v>
      </c>
      <c r="B841" t="str">
        <v>New_Campaign</v>
      </c>
      <c r="C841">
        <v>1172</v>
      </c>
      <c r="D841">
        <v>271</v>
      </c>
      <c r="E841">
        <v>4035.03</v>
      </c>
      <c r="F841" t="str">
        <v>B</v>
      </c>
    </row>
    <row r="842" spans="1:6" x14ac:dyDescent="0.2">
      <c r="A842" s="31">
        <v>45038</v>
      </c>
      <c r="B842" t="str">
        <v>New_Campaign</v>
      </c>
      <c r="C842">
        <v>1115</v>
      </c>
      <c r="D842">
        <v>241</v>
      </c>
      <c r="E842">
        <v>3928.98</v>
      </c>
      <c r="F842" t="str">
        <v>B</v>
      </c>
    </row>
    <row r="843" spans="1:6" x14ac:dyDescent="0.2">
      <c r="A843" s="31">
        <v>45039</v>
      </c>
      <c r="B843" t="str">
        <v>New_Campaign</v>
      </c>
      <c r="C843">
        <v>1187</v>
      </c>
      <c r="D843">
        <v>263</v>
      </c>
      <c r="E843">
        <v>4821.1000000000004</v>
      </c>
      <c r="F843" t="str">
        <v>B</v>
      </c>
    </row>
    <row r="844" spans="1:6" x14ac:dyDescent="0.2">
      <c r="A844" s="31">
        <v>45040</v>
      </c>
      <c r="B844" t="str">
        <v>New_Campaign</v>
      </c>
      <c r="C844">
        <v>1098</v>
      </c>
      <c r="D844">
        <v>245</v>
      </c>
      <c r="E844">
        <v>3787.57</v>
      </c>
      <c r="F844" t="str">
        <v>B</v>
      </c>
    </row>
    <row r="845" spans="1:6" x14ac:dyDescent="0.2">
      <c r="A845" s="31">
        <v>45041</v>
      </c>
      <c r="B845" t="str">
        <v>New_Campaign</v>
      </c>
      <c r="C845">
        <v>1160</v>
      </c>
      <c r="D845">
        <v>287</v>
      </c>
      <c r="E845">
        <v>4365.1099999999997</v>
      </c>
      <c r="F845" t="str">
        <v>B</v>
      </c>
    </row>
    <row r="846" spans="1:6" x14ac:dyDescent="0.2">
      <c r="A846" s="31">
        <v>45042</v>
      </c>
      <c r="B846" t="str">
        <v>New_Campaign</v>
      </c>
      <c r="C846">
        <v>1147</v>
      </c>
      <c r="D846">
        <v>246</v>
      </c>
      <c r="E846">
        <v>3775.29</v>
      </c>
      <c r="F846" t="str">
        <v>B</v>
      </c>
    </row>
    <row r="847" spans="1:6" x14ac:dyDescent="0.2">
      <c r="A847" s="31">
        <v>45043</v>
      </c>
      <c r="B847" t="str">
        <v>New_Campaign</v>
      </c>
      <c r="C847">
        <v>1151</v>
      </c>
      <c r="D847">
        <v>273</v>
      </c>
      <c r="E847">
        <v>4665.34</v>
      </c>
      <c r="F847" t="str">
        <v>B</v>
      </c>
    </row>
    <row r="848" spans="1:6" x14ac:dyDescent="0.2">
      <c r="A848" s="31">
        <v>45044</v>
      </c>
      <c r="B848" t="str">
        <v>New_Campaign</v>
      </c>
      <c r="C848">
        <v>1148</v>
      </c>
      <c r="D848">
        <v>269</v>
      </c>
      <c r="E848">
        <v>5327.58</v>
      </c>
      <c r="F848" t="str">
        <v>B</v>
      </c>
    </row>
    <row r="849" spans="1:6" x14ac:dyDescent="0.2">
      <c r="A849" s="31">
        <v>45045</v>
      </c>
      <c r="B849" t="str">
        <v>New_Campaign</v>
      </c>
      <c r="C849">
        <v>1149</v>
      </c>
      <c r="D849">
        <v>262</v>
      </c>
      <c r="E849">
        <v>4066.89</v>
      </c>
      <c r="F849" t="str">
        <v>B</v>
      </c>
    </row>
    <row r="850" spans="1:6" x14ac:dyDescent="0.2">
      <c r="A850" s="31">
        <v>45046</v>
      </c>
      <c r="B850" t="str">
        <v>New_Campaign</v>
      </c>
      <c r="C850">
        <v>1145</v>
      </c>
      <c r="D850">
        <v>260</v>
      </c>
      <c r="E850">
        <v>3633.42</v>
      </c>
      <c r="F850" t="str">
        <v>B</v>
      </c>
    </row>
    <row r="851" spans="1:6" x14ac:dyDescent="0.2">
      <c r="A851" s="31">
        <v>45047</v>
      </c>
      <c r="B851" t="str">
        <v>New_Campaign</v>
      </c>
      <c r="C851">
        <v>1114</v>
      </c>
      <c r="D851">
        <v>252</v>
      </c>
      <c r="E851">
        <v>3464.91</v>
      </c>
      <c r="F851" t="str">
        <v>B</v>
      </c>
    </row>
    <row r="852" spans="1:6" x14ac:dyDescent="0.2">
      <c r="A852" s="31">
        <v>45048</v>
      </c>
      <c r="B852" t="str">
        <v>New_Campaign</v>
      </c>
      <c r="C852">
        <v>1099</v>
      </c>
      <c r="D852">
        <v>260</v>
      </c>
      <c r="E852">
        <v>4161.16</v>
      </c>
      <c r="F852" t="str">
        <v>B</v>
      </c>
    </row>
    <row r="853" spans="1:6" x14ac:dyDescent="0.2">
      <c r="A853" s="31">
        <v>45049</v>
      </c>
      <c r="B853" t="str">
        <v>New_Campaign</v>
      </c>
      <c r="C853">
        <v>1196</v>
      </c>
      <c r="D853">
        <v>294</v>
      </c>
      <c r="E853">
        <v>5392.61</v>
      </c>
      <c r="F853" t="str">
        <v>B</v>
      </c>
    </row>
    <row r="854" spans="1:6" x14ac:dyDescent="0.2">
      <c r="A854" s="31">
        <v>45050</v>
      </c>
      <c r="B854" t="str">
        <v>New_Campaign</v>
      </c>
      <c r="C854">
        <v>1178</v>
      </c>
      <c r="D854">
        <v>281</v>
      </c>
      <c r="E854">
        <v>3661.65</v>
      </c>
      <c r="F854" t="str">
        <v>B</v>
      </c>
    </row>
    <row r="855" spans="1:6" x14ac:dyDescent="0.2">
      <c r="A855" s="31">
        <v>45051</v>
      </c>
      <c r="B855" t="str">
        <v>New_Campaign</v>
      </c>
      <c r="C855">
        <v>1145</v>
      </c>
      <c r="D855">
        <v>276</v>
      </c>
      <c r="E855">
        <v>5751.17</v>
      </c>
      <c r="F855" t="str">
        <v>B</v>
      </c>
    </row>
    <row r="856" spans="1:6" x14ac:dyDescent="0.2">
      <c r="A856" s="31">
        <v>45052</v>
      </c>
      <c r="B856" t="str">
        <v>New_Campaign</v>
      </c>
      <c r="C856">
        <v>1168</v>
      </c>
      <c r="D856">
        <v>264</v>
      </c>
      <c r="E856">
        <v>3726.94</v>
      </c>
      <c r="F856" t="str">
        <v>B</v>
      </c>
    </row>
    <row r="857" spans="1:6" x14ac:dyDescent="0.2">
      <c r="A857" s="31">
        <v>45053</v>
      </c>
      <c r="B857" t="str">
        <v>New_Campaign</v>
      </c>
      <c r="C857">
        <v>1158</v>
      </c>
      <c r="D857">
        <v>239</v>
      </c>
      <c r="E857">
        <v>3159.69</v>
      </c>
      <c r="F857" t="str">
        <v>B</v>
      </c>
    </row>
    <row r="858" spans="1:6" x14ac:dyDescent="0.2">
      <c r="A858" s="31">
        <v>45054</v>
      </c>
      <c r="B858" t="str">
        <v>New_Campaign</v>
      </c>
      <c r="C858">
        <v>1137</v>
      </c>
      <c r="D858">
        <v>268</v>
      </c>
      <c r="E858">
        <v>4041.28</v>
      </c>
      <c r="F858" t="str">
        <v>B</v>
      </c>
    </row>
    <row r="859" spans="1:6" x14ac:dyDescent="0.2">
      <c r="A859" s="31">
        <v>45055</v>
      </c>
      <c r="B859" t="str">
        <v>New_Campaign</v>
      </c>
      <c r="C859">
        <v>1170</v>
      </c>
      <c r="D859">
        <v>266</v>
      </c>
      <c r="E859">
        <v>4426.7299999999996</v>
      </c>
      <c r="F859" t="str">
        <v>B</v>
      </c>
    </row>
    <row r="860" spans="1:6" x14ac:dyDescent="0.2">
      <c r="A860" s="31">
        <v>45056</v>
      </c>
      <c r="B860" t="str">
        <v>New_Campaign</v>
      </c>
      <c r="C860">
        <v>1097</v>
      </c>
      <c r="D860">
        <v>239</v>
      </c>
      <c r="E860">
        <v>4727.08</v>
      </c>
      <c r="F860" t="str">
        <v>B</v>
      </c>
    </row>
    <row r="861" spans="1:6" x14ac:dyDescent="0.2">
      <c r="A861" s="31">
        <v>45057</v>
      </c>
      <c r="B861" t="str">
        <v>New_Campaign</v>
      </c>
      <c r="C861">
        <v>1088</v>
      </c>
      <c r="D861">
        <v>248</v>
      </c>
      <c r="E861">
        <v>4255.96</v>
      </c>
      <c r="F861" t="str">
        <v>B</v>
      </c>
    </row>
    <row r="862" spans="1:6" x14ac:dyDescent="0.2">
      <c r="A862" s="31">
        <v>45058</v>
      </c>
      <c r="B862" t="str">
        <v>New_Campaign</v>
      </c>
      <c r="C862">
        <v>1156</v>
      </c>
      <c r="D862">
        <v>254</v>
      </c>
      <c r="E862">
        <v>3639.76</v>
      </c>
      <c r="F862" t="str">
        <v>B</v>
      </c>
    </row>
    <row r="863" spans="1:6" x14ac:dyDescent="0.2">
      <c r="A863" s="31">
        <v>45059</v>
      </c>
      <c r="B863" t="str">
        <v>New_Campaign</v>
      </c>
      <c r="C863">
        <v>1192</v>
      </c>
      <c r="D863">
        <v>294</v>
      </c>
      <c r="E863">
        <v>5584.83</v>
      </c>
      <c r="F863" t="str">
        <v>B</v>
      </c>
    </row>
    <row r="864" spans="1:6" x14ac:dyDescent="0.2">
      <c r="A864" s="31">
        <v>45060</v>
      </c>
      <c r="B864" t="str">
        <v>New_Campaign</v>
      </c>
      <c r="C864">
        <v>1147</v>
      </c>
      <c r="D864">
        <v>289</v>
      </c>
      <c r="E864">
        <v>5189.2</v>
      </c>
      <c r="F864" t="str">
        <v>B</v>
      </c>
    </row>
    <row r="865" spans="1:6" x14ac:dyDescent="0.2">
      <c r="A865" s="31">
        <v>45061</v>
      </c>
      <c r="B865" t="str">
        <v>New_Campaign</v>
      </c>
      <c r="C865">
        <v>1151</v>
      </c>
      <c r="D865">
        <v>270</v>
      </c>
      <c r="E865">
        <v>4352.3500000000004</v>
      </c>
      <c r="F865" t="str">
        <v>B</v>
      </c>
    </row>
    <row r="866" spans="1:6" x14ac:dyDescent="0.2">
      <c r="A866" s="31">
        <v>45062</v>
      </c>
      <c r="B866" t="str">
        <v>New_Campaign</v>
      </c>
      <c r="C866">
        <v>1139</v>
      </c>
      <c r="D866">
        <v>275</v>
      </c>
      <c r="E866">
        <v>5491.96</v>
      </c>
      <c r="F866" t="str">
        <v>B</v>
      </c>
    </row>
    <row r="867" spans="1:6" x14ac:dyDescent="0.2">
      <c r="A867" s="31">
        <v>45063</v>
      </c>
      <c r="B867" t="str">
        <v>New_Campaign</v>
      </c>
      <c r="C867">
        <v>1172</v>
      </c>
      <c r="D867">
        <v>271</v>
      </c>
      <c r="E867">
        <v>4848.6899999999996</v>
      </c>
      <c r="F867" t="str">
        <v>B</v>
      </c>
    </row>
    <row r="868" spans="1:6" x14ac:dyDescent="0.2">
      <c r="A868" s="31">
        <v>45064</v>
      </c>
      <c r="B868" t="str">
        <v>New_Campaign</v>
      </c>
      <c r="C868">
        <v>1181</v>
      </c>
      <c r="D868">
        <v>254</v>
      </c>
      <c r="E868">
        <v>3815.51</v>
      </c>
      <c r="F868" t="str">
        <v>B</v>
      </c>
    </row>
    <row r="869" spans="1:6" x14ac:dyDescent="0.2">
      <c r="A869" s="31">
        <v>45065</v>
      </c>
      <c r="B869" t="str">
        <v>New_Campaign</v>
      </c>
      <c r="C869">
        <v>1168</v>
      </c>
      <c r="D869">
        <v>307</v>
      </c>
      <c r="E869">
        <v>4967.45</v>
      </c>
      <c r="F869" t="str">
        <v>B</v>
      </c>
    </row>
    <row r="870" spans="1:6" x14ac:dyDescent="0.2">
      <c r="A870" s="31">
        <v>45066</v>
      </c>
      <c r="B870" t="str">
        <v>New_Campaign</v>
      </c>
      <c r="C870">
        <v>1192</v>
      </c>
      <c r="D870">
        <v>270</v>
      </c>
      <c r="E870">
        <v>4403.18</v>
      </c>
      <c r="F870" t="str">
        <v>B</v>
      </c>
    </row>
    <row r="871" spans="1:6" x14ac:dyDescent="0.2">
      <c r="A871" s="31">
        <v>45067</v>
      </c>
      <c r="B871" t="str">
        <v>New_Campaign</v>
      </c>
      <c r="C871">
        <v>1112</v>
      </c>
      <c r="D871">
        <v>237</v>
      </c>
      <c r="E871">
        <v>3665.38</v>
      </c>
      <c r="F871" t="str">
        <v>B</v>
      </c>
    </row>
    <row r="872" spans="1:6" x14ac:dyDescent="0.2">
      <c r="A872" s="31">
        <v>45068</v>
      </c>
      <c r="B872" t="str">
        <v>New_Campaign</v>
      </c>
      <c r="C872">
        <v>1167</v>
      </c>
      <c r="D872">
        <v>274</v>
      </c>
      <c r="E872">
        <v>5021.09</v>
      </c>
      <c r="F872" t="str">
        <v>B</v>
      </c>
    </row>
    <row r="873" spans="1:6" x14ac:dyDescent="0.2">
      <c r="A873" s="31">
        <v>45069</v>
      </c>
      <c r="B873" t="str">
        <v>New_Campaign</v>
      </c>
      <c r="C873">
        <v>1209</v>
      </c>
      <c r="D873">
        <v>281</v>
      </c>
      <c r="E873">
        <v>3382.77</v>
      </c>
      <c r="F873" t="str">
        <v>B</v>
      </c>
    </row>
    <row r="874" spans="1:6" x14ac:dyDescent="0.2">
      <c r="A874" s="31">
        <v>45070</v>
      </c>
      <c r="B874" t="str">
        <v>New_Campaign</v>
      </c>
      <c r="C874">
        <v>1162</v>
      </c>
      <c r="D874">
        <v>289</v>
      </c>
      <c r="E874">
        <v>4531.67</v>
      </c>
      <c r="F874" t="str">
        <v>B</v>
      </c>
    </row>
    <row r="875" spans="1:6" x14ac:dyDescent="0.2">
      <c r="A875" s="31">
        <v>45071</v>
      </c>
      <c r="B875" t="str">
        <v>New_Campaign</v>
      </c>
      <c r="C875">
        <v>1205</v>
      </c>
      <c r="D875">
        <v>254</v>
      </c>
      <c r="E875">
        <v>4513.71</v>
      </c>
      <c r="F875" t="str">
        <v>B</v>
      </c>
    </row>
    <row r="876" spans="1:6" x14ac:dyDescent="0.2">
      <c r="A876" s="31">
        <v>45072</v>
      </c>
      <c r="B876" t="str">
        <v>New_Campaign</v>
      </c>
      <c r="C876">
        <v>1230</v>
      </c>
      <c r="D876">
        <v>265</v>
      </c>
      <c r="E876">
        <v>4550.0600000000004</v>
      </c>
      <c r="F876" t="str">
        <v>B</v>
      </c>
    </row>
    <row r="877" spans="1:6" x14ac:dyDescent="0.2">
      <c r="A877" s="31">
        <v>45073</v>
      </c>
      <c r="B877" t="str">
        <v>New_Campaign</v>
      </c>
      <c r="C877">
        <v>1232</v>
      </c>
      <c r="D877">
        <v>285</v>
      </c>
      <c r="E877">
        <v>4757.3999999999996</v>
      </c>
      <c r="F877" t="str">
        <v>B</v>
      </c>
    </row>
    <row r="878" spans="1:6" x14ac:dyDescent="0.2">
      <c r="A878" s="31">
        <v>45074</v>
      </c>
      <c r="B878" t="str">
        <v>New_Campaign</v>
      </c>
      <c r="C878">
        <v>1095</v>
      </c>
      <c r="D878">
        <v>237</v>
      </c>
      <c r="E878">
        <v>4581.04</v>
      </c>
      <c r="F878" t="str">
        <v>B</v>
      </c>
    </row>
    <row r="879" spans="1:6" x14ac:dyDescent="0.2">
      <c r="A879" s="31">
        <v>45075</v>
      </c>
      <c r="B879" t="str">
        <v>New_Campaign</v>
      </c>
      <c r="C879">
        <v>1108</v>
      </c>
      <c r="D879">
        <v>250</v>
      </c>
      <c r="E879">
        <v>3482.02</v>
      </c>
      <c r="F879" t="str">
        <v>B</v>
      </c>
    </row>
    <row r="880" spans="1:6" x14ac:dyDescent="0.2">
      <c r="A880" s="31">
        <v>45076</v>
      </c>
      <c r="B880" t="str">
        <v>New_Campaign</v>
      </c>
      <c r="C880">
        <v>1180</v>
      </c>
      <c r="D880">
        <v>257</v>
      </c>
      <c r="E880">
        <v>4053.61</v>
      </c>
      <c r="F880" t="str">
        <v>B</v>
      </c>
    </row>
    <row r="881" spans="1:6" x14ac:dyDescent="0.2">
      <c r="A881" s="31">
        <v>45077</v>
      </c>
      <c r="B881" t="str">
        <v>New_Campaign</v>
      </c>
      <c r="C881">
        <v>1160</v>
      </c>
      <c r="D881">
        <v>257</v>
      </c>
      <c r="E881">
        <v>4688.29</v>
      </c>
      <c r="F881" t="str">
        <v>B</v>
      </c>
    </row>
    <row r="882" spans="1:6" x14ac:dyDescent="0.2">
      <c r="A882" s="31">
        <v>45078</v>
      </c>
      <c r="B882" t="str">
        <v>New_Campaign</v>
      </c>
      <c r="C882">
        <v>1181</v>
      </c>
      <c r="D882">
        <v>257</v>
      </c>
      <c r="E882">
        <v>4436.96</v>
      </c>
      <c r="F882" t="str">
        <v>B</v>
      </c>
    </row>
    <row r="883" spans="1:6" x14ac:dyDescent="0.2">
      <c r="A883" s="31">
        <v>45079</v>
      </c>
      <c r="B883" t="str">
        <v>New_Campaign</v>
      </c>
      <c r="C883">
        <v>1164</v>
      </c>
      <c r="D883">
        <v>249</v>
      </c>
      <c r="E883">
        <v>4481.1099999999997</v>
      </c>
      <c r="F883" t="str">
        <v>B</v>
      </c>
    </row>
    <row r="884" spans="1:6" x14ac:dyDescent="0.2">
      <c r="A884" s="31">
        <v>45080</v>
      </c>
      <c r="B884" t="str">
        <v>New_Campaign</v>
      </c>
      <c r="C884">
        <v>1111</v>
      </c>
      <c r="D884">
        <v>297</v>
      </c>
      <c r="E884">
        <v>4275.92</v>
      </c>
      <c r="F884" t="str">
        <v>B</v>
      </c>
    </row>
    <row r="885" spans="1:6" x14ac:dyDescent="0.2">
      <c r="A885" s="31">
        <v>45081</v>
      </c>
      <c r="B885" t="str">
        <v>New_Campaign</v>
      </c>
      <c r="C885">
        <v>1123</v>
      </c>
      <c r="D885">
        <v>229</v>
      </c>
      <c r="E885">
        <v>3957.83</v>
      </c>
      <c r="F885" t="str">
        <v>B</v>
      </c>
    </row>
    <row r="886" spans="1:6" x14ac:dyDescent="0.2">
      <c r="A886" s="31">
        <v>45082</v>
      </c>
      <c r="B886" t="str">
        <v>New_Campaign</v>
      </c>
      <c r="C886">
        <v>1160</v>
      </c>
      <c r="D886">
        <v>258</v>
      </c>
      <c r="E886">
        <v>3440.34</v>
      </c>
      <c r="F886" t="str">
        <v>B</v>
      </c>
    </row>
    <row r="887" spans="1:6" x14ac:dyDescent="0.2">
      <c r="A887" s="31">
        <v>45083</v>
      </c>
      <c r="B887" t="str">
        <v>New_Campaign</v>
      </c>
      <c r="C887">
        <v>1204</v>
      </c>
      <c r="D887">
        <v>275</v>
      </c>
      <c r="E887">
        <v>5602.15</v>
      </c>
      <c r="F887" t="str">
        <v>B</v>
      </c>
    </row>
    <row r="888" spans="1:6" x14ac:dyDescent="0.2">
      <c r="A888" s="31">
        <v>45084</v>
      </c>
      <c r="B888" t="str">
        <v>New_Campaign</v>
      </c>
      <c r="C888">
        <v>1187</v>
      </c>
      <c r="D888">
        <v>277</v>
      </c>
      <c r="E888">
        <v>3897.45</v>
      </c>
      <c r="F888" t="str">
        <v>B</v>
      </c>
    </row>
    <row r="889" spans="1:6" x14ac:dyDescent="0.2">
      <c r="A889" s="31">
        <v>45085</v>
      </c>
      <c r="B889" t="str">
        <v>New_Campaign</v>
      </c>
      <c r="C889">
        <v>1112</v>
      </c>
      <c r="D889">
        <v>263</v>
      </c>
      <c r="E889">
        <v>4563.84</v>
      </c>
      <c r="F889" t="str">
        <v>B</v>
      </c>
    </row>
    <row r="890" spans="1:6" x14ac:dyDescent="0.2">
      <c r="A890" s="31">
        <v>45086</v>
      </c>
      <c r="B890" t="str">
        <v>New_Campaign</v>
      </c>
      <c r="C890">
        <v>1172</v>
      </c>
      <c r="D890">
        <v>280</v>
      </c>
      <c r="E890">
        <v>4630.53</v>
      </c>
      <c r="F890" t="str">
        <v>B</v>
      </c>
    </row>
    <row r="891" spans="1:6" x14ac:dyDescent="0.2">
      <c r="A891" s="31">
        <v>45087</v>
      </c>
      <c r="B891" t="str">
        <v>New_Campaign</v>
      </c>
      <c r="C891">
        <v>1162</v>
      </c>
      <c r="D891">
        <v>277</v>
      </c>
      <c r="E891">
        <v>4871.16</v>
      </c>
      <c r="F891" t="str">
        <v>B</v>
      </c>
    </row>
    <row r="892" spans="1:6" x14ac:dyDescent="0.2">
      <c r="A892" s="31">
        <v>45088</v>
      </c>
      <c r="B892" t="str">
        <v>New_Campaign</v>
      </c>
      <c r="C892">
        <v>1130</v>
      </c>
      <c r="D892">
        <v>261</v>
      </c>
      <c r="E892">
        <v>4583.9399999999996</v>
      </c>
      <c r="F892" t="str">
        <v>B</v>
      </c>
    </row>
    <row r="893" spans="1:6" x14ac:dyDescent="0.2">
      <c r="A893" s="31">
        <v>45089</v>
      </c>
      <c r="B893" t="str">
        <v>New_Campaign</v>
      </c>
      <c r="C893">
        <v>1104</v>
      </c>
      <c r="D893">
        <v>256</v>
      </c>
      <c r="E893">
        <v>4579.53</v>
      </c>
      <c r="F893" t="str">
        <v>B</v>
      </c>
    </row>
    <row r="894" spans="1:6" x14ac:dyDescent="0.2">
      <c r="A894" s="31">
        <v>45090</v>
      </c>
      <c r="B894" t="str">
        <v>New_Campaign</v>
      </c>
      <c r="C894">
        <v>1153</v>
      </c>
      <c r="D894">
        <v>282</v>
      </c>
      <c r="E894">
        <v>5091.5</v>
      </c>
      <c r="F894" t="str">
        <v>B</v>
      </c>
    </row>
    <row r="895" spans="1:6" x14ac:dyDescent="0.2">
      <c r="A895" s="31">
        <v>45091</v>
      </c>
      <c r="B895" t="str">
        <v>New_Campaign</v>
      </c>
      <c r="C895">
        <v>1230</v>
      </c>
      <c r="D895">
        <v>297</v>
      </c>
      <c r="E895">
        <v>5226.07</v>
      </c>
      <c r="F895" t="str">
        <v>B</v>
      </c>
    </row>
    <row r="896" spans="1:6" x14ac:dyDescent="0.2">
      <c r="A896" s="31">
        <v>45092</v>
      </c>
      <c r="B896" t="str">
        <v>New_Campaign</v>
      </c>
      <c r="C896">
        <v>1174</v>
      </c>
      <c r="D896">
        <v>293</v>
      </c>
      <c r="E896">
        <v>4189.33</v>
      </c>
      <c r="F896" t="str">
        <v>B</v>
      </c>
    </row>
    <row r="897" spans="1:6" x14ac:dyDescent="0.2">
      <c r="A897" s="31">
        <v>45093</v>
      </c>
      <c r="B897" t="str">
        <v>New_Campaign</v>
      </c>
      <c r="C897">
        <v>1176</v>
      </c>
      <c r="D897">
        <v>250</v>
      </c>
      <c r="E897">
        <v>4820.71</v>
      </c>
      <c r="F897" t="str">
        <v>B</v>
      </c>
    </row>
    <row r="898" spans="1:6" x14ac:dyDescent="0.2">
      <c r="A898" s="31">
        <v>45094</v>
      </c>
      <c r="B898" t="str">
        <v>New_Campaign</v>
      </c>
      <c r="C898">
        <v>1212</v>
      </c>
      <c r="D898">
        <v>281</v>
      </c>
      <c r="E898">
        <v>5138.59</v>
      </c>
      <c r="F898" t="str">
        <v>B</v>
      </c>
    </row>
    <row r="899" spans="1:6" x14ac:dyDescent="0.2">
      <c r="A899" s="31">
        <v>45095</v>
      </c>
      <c r="B899" t="str">
        <v>New_Campaign</v>
      </c>
      <c r="C899">
        <v>1141</v>
      </c>
      <c r="D899">
        <v>267</v>
      </c>
      <c r="E899">
        <v>4180.55</v>
      </c>
      <c r="F899" t="str">
        <v>B</v>
      </c>
    </row>
    <row r="900" spans="1:6" x14ac:dyDescent="0.2">
      <c r="A900" s="31">
        <v>45096</v>
      </c>
      <c r="B900" t="str">
        <v>New_Campaign</v>
      </c>
      <c r="C900">
        <v>1179</v>
      </c>
      <c r="D900">
        <v>281</v>
      </c>
      <c r="E900">
        <v>4673.63</v>
      </c>
      <c r="F900" t="str">
        <v>B</v>
      </c>
    </row>
    <row r="901" spans="1:6" x14ac:dyDescent="0.2">
      <c r="A901" s="31">
        <v>45097</v>
      </c>
      <c r="B901" t="str">
        <v>New_Campaign</v>
      </c>
      <c r="C901">
        <v>1117</v>
      </c>
      <c r="D901">
        <v>268</v>
      </c>
      <c r="E901">
        <v>3810.73</v>
      </c>
      <c r="F901" t="str">
        <v>B</v>
      </c>
    </row>
    <row r="902" spans="1:6" x14ac:dyDescent="0.2">
      <c r="A902" s="31">
        <v>45098</v>
      </c>
      <c r="B902" t="str">
        <v>New_Campaign</v>
      </c>
      <c r="C902">
        <v>1139</v>
      </c>
      <c r="D902">
        <v>234</v>
      </c>
      <c r="E902">
        <v>3315.43</v>
      </c>
      <c r="F902" t="str">
        <v>B</v>
      </c>
    </row>
    <row r="903" spans="1:6" x14ac:dyDescent="0.2">
      <c r="A903" s="31">
        <v>45099</v>
      </c>
      <c r="B903" t="str">
        <v>New_Campaign</v>
      </c>
      <c r="C903">
        <v>1188</v>
      </c>
      <c r="D903">
        <v>267</v>
      </c>
      <c r="E903">
        <v>4395.2</v>
      </c>
      <c r="F903" t="str">
        <v>B</v>
      </c>
    </row>
    <row r="904" spans="1:6" x14ac:dyDescent="0.2">
      <c r="A904" s="31">
        <v>45100</v>
      </c>
      <c r="B904" t="str">
        <v>New_Campaign</v>
      </c>
      <c r="C904">
        <v>1145</v>
      </c>
      <c r="D904">
        <v>255</v>
      </c>
      <c r="E904">
        <v>4020.24</v>
      </c>
      <c r="F904" t="str">
        <v>B</v>
      </c>
    </row>
    <row r="905" spans="1:6" x14ac:dyDescent="0.2">
      <c r="A905" s="31">
        <v>45101</v>
      </c>
      <c r="B905" t="str">
        <v>New_Campaign</v>
      </c>
      <c r="C905">
        <v>1138</v>
      </c>
      <c r="D905">
        <v>264</v>
      </c>
      <c r="E905">
        <v>4839.12</v>
      </c>
      <c r="F905" t="str">
        <v>B</v>
      </c>
    </row>
    <row r="906" spans="1:6" x14ac:dyDescent="0.2">
      <c r="A906" s="31">
        <v>45102</v>
      </c>
      <c r="B906" t="str">
        <v>New_Campaign</v>
      </c>
      <c r="C906">
        <v>1159</v>
      </c>
      <c r="D906">
        <v>259</v>
      </c>
      <c r="E906">
        <v>4665.32</v>
      </c>
      <c r="F906" t="str">
        <v>B</v>
      </c>
    </row>
    <row r="907" spans="1:6" x14ac:dyDescent="0.2">
      <c r="A907" s="31">
        <v>45103</v>
      </c>
      <c r="B907" t="str">
        <v>New_Campaign</v>
      </c>
      <c r="C907">
        <v>1195</v>
      </c>
      <c r="D907">
        <v>275</v>
      </c>
      <c r="E907">
        <v>4119.46</v>
      </c>
      <c r="F907" t="str">
        <v>B</v>
      </c>
    </row>
    <row r="908" spans="1:6" x14ac:dyDescent="0.2">
      <c r="A908" s="31">
        <v>45104</v>
      </c>
      <c r="B908" t="str">
        <v>New_Campaign</v>
      </c>
      <c r="C908">
        <v>1146</v>
      </c>
      <c r="D908">
        <v>265</v>
      </c>
      <c r="E908">
        <v>3957.51</v>
      </c>
      <c r="F908" t="str">
        <v>B</v>
      </c>
    </row>
    <row r="909" spans="1:6" x14ac:dyDescent="0.2">
      <c r="A909" s="31">
        <v>45105</v>
      </c>
      <c r="B909" t="str">
        <v>New_Campaign</v>
      </c>
      <c r="C909">
        <v>1115</v>
      </c>
      <c r="D909">
        <v>236</v>
      </c>
      <c r="E909">
        <v>4436.53</v>
      </c>
      <c r="F909" t="str">
        <v>B</v>
      </c>
    </row>
    <row r="910" spans="1:6" x14ac:dyDescent="0.2">
      <c r="A910" s="31">
        <v>45106</v>
      </c>
      <c r="B910" t="str">
        <v>New_Campaign</v>
      </c>
      <c r="C910">
        <v>1155</v>
      </c>
      <c r="D910">
        <v>236</v>
      </c>
      <c r="E910">
        <v>3932.88</v>
      </c>
      <c r="F910" t="str">
        <v>B</v>
      </c>
    </row>
    <row r="911" spans="1:6" x14ac:dyDescent="0.2">
      <c r="A911" s="31">
        <v>45107</v>
      </c>
      <c r="B911" t="str">
        <v>New_Campaign</v>
      </c>
      <c r="C911">
        <v>1151</v>
      </c>
      <c r="D911">
        <v>267</v>
      </c>
      <c r="E911">
        <v>4662.97</v>
      </c>
      <c r="F911" t="str">
        <v>B</v>
      </c>
    </row>
    <row r="912" spans="1:6" x14ac:dyDescent="0.2">
      <c r="A912" s="31">
        <v>45108</v>
      </c>
      <c r="B912" t="str">
        <v>New_Campaign</v>
      </c>
      <c r="C912">
        <v>1137</v>
      </c>
      <c r="D912">
        <v>265</v>
      </c>
      <c r="E912">
        <v>4982.8</v>
      </c>
      <c r="F912" t="str">
        <v>B</v>
      </c>
    </row>
    <row r="913" spans="1:6" x14ac:dyDescent="0.2">
      <c r="A913" s="31">
        <v>45109</v>
      </c>
      <c r="B913" t="str">
        <v>New_Campaign</v>
      </c>
      <c r="C913">
        <v>1196</v>
      </c>
      <c r="D913">
        <v>294</v>
      </c>
      <c r="E913">
        <v>3911.55</v>
      </c>
      <c r="F913" t="str">
        <v>B</v>
      </c>
    </row>
    <row r="914" spans="1:6" x14ac:dyDescent="0.2">
      <c r="A914" s="31">
        <v>45110</v>
      </c>
      <c r="B914" t="str">
        <v>New_Campaign</v>
      </c>
      <c r="C914">
        <v>1115</v>
      </c>
      <c r="D914">
        <v>251</v>
      </c>
      <c r="E914">
        <v>3521.71</v>
      </c>
      <c r="F914" t="str">
        <v>B</v>
      </c>
    </row>
    <row r="915" spans="1:6" x14ac:dyDescent="0.2">
      <c r="A915" s="31">
        <v>45111</v>
      </c>
      <c r="B915" t="str">
        <v>New_Campaign</v>
      </c>
      <c r="C915">
        <v>1158</v>
      </c>
      <c r="D915">
        <v>270</v>
      </c>
      <c r="E915">
        <v>4972.87</v>
      </c>
      <c r="F915" t="str">
        <v>B</v>
      </c>
    </row>
    <row r="916" spans="1:6" x14ac:dyDescent="0.2">
      <c r="A916" s="31">
        <v>45112</v>
      </c>
      <c r="B916" t="str">
        <v>New_Campaign</v>
      </c>
      <c r="C916">
        <v>1181</v>
      </c>
      <c r="D916">
        <v>256</v>
      </c>
      <c r="E916">
        <v>3666.85</v>
      </c>
      <c r="F916" t="str">
        <v>B</v>
      </c>
    </row>
    <row r="917" spans="1:6" x14ac:dyDescent="0.2">
      <c r="A917" s="31">
        <v>45113</v>
      </c>
      <c r="B917" t="str">
        <v>New_Campaign</v>
      </c>
      <c r="C917">
        <v>1185</v>
      </c>
      <c r="D917">
        <v>270</v>
      </c>
      <c r="E917">
        <v>4929.58</v>
      </c>
      <c r="F917" t="str">
        <v>B</v>
      </c>
    </row>
    <row r="918" spans="1:6" x14ac:dyDescent="0.2">
      <c r="A918" s="31">
        <v>45114</v>
      </c>
      <c r="B918" t="str">
        <v>New_Campaign</v>
      </c>
      <c r="C918">
        <v>1129</v>
      </c>
      <c r="D918">
        <v>265</v>
      </c>
      <c r="E918">
        <v>4003.75</v>
      </c>
      <c r="F918" t="str">
        <v>B</v>
      </c>
    </row>
    <row r="919" spans="1:6" x14ac:dyDescent="0.2">
      <c r="A919" s="31">
        <v>45115</v>
      </c>
      <c r="B919" t="str">
        <v>New_Campaign</v>
      </c>
      <c r="C919">
        <v>1231</v>
      </c>
      <c r="D919">
        <v>258</v>
      </c>
      <c r="E919">
        <v>4123.2700000000004</v>
      </c>
      <c r="F919" t="str">
        <v>B</v>
      </c>
    </row>
    <row r="920" spans="1:6" x14ac:dyDescent="0.2">
      <c r="A920" s="31">
        <v>45116</v>
      </c>
      <c r="B920" t="str">
        <v>New_Campaign</v>
      </c>
      <c r="C920">
        <v>1151</v>
      </c>
      <c r="D920">
        <v>264</v>
      </c>
      <c r="E920">
        <v>3832.05</v>
      </c>
      <c r="F920" t="str">
        <v>B</v>
      </c>
    </row>
    <row r="921" spans="1:6" x14ac:dyDescent="0.2">
      <c r="A921" s="31">
        <v>45117</v>
      </c>
      <c r="B921" t="str">
        <v>New_Campaign</v>
      </c>
      <c r="C921">
        <v>1106</v>
      </c>
      <c r="D921">
        <v>254</v>
      </c>
      <c r="E921">
        <v>4424.4799999999996</v>
      </c>
      <c r="F921" t="str">
        <v>B</v>
      </c>
    </row>
    <row r="922" spans="1:6" x14ac:dyDescent="0.2">
      <c r="A922" s="31">
        <v>45118</v>
      </c>
      <c r="B922" t="str">
        <v>New_Campaign</v>
      </c>
      <c r="C922">
        <v>1128</v>
      </c>
      <c r="D922">
        <v>242</v>
      </c>
      <c r="E922">
        <v>4127.3</v>
      </c>
      <c r="F922" t="str">
        <v>B</v>
      </c>
    </row>
    <row r="923" spans="1:6" x14ac:dyDescent="0.2">
      <c r="A923" s="31">
        <v>45119</v>
      </c>
      <c r="B923" t="str">
        <v>New_Campaign</v>
      </c>
      <c r="C923">
        <v>1085</v>
      </c>
      <c r="D923">
        <v>265</v>
      </c>
      <c r="E923">
        <v>4468.4399999999996</v>
      </c>
      <c r="F923" t="str">
        <v>B</v>
      </c>
    </row>
    <row r="924" spans="1:6" x14ac:dyDescent="0.2">
      <c r="A924" s="31">
        <v>45120</v>
      </c>
      <c r="B924" t="str">
        <v>New_Campaign</v>
      </c>
      <c r="C924">
        <v>1139</v>
      </c>
      <c r="D924">
        <v>264</v>
      </c>
      <c r="E924">
        <v>4113.45</v>
      </c>
      <c r="F924" t="str">
        <v>B</v>
      </c>
    </row>
    <row r="925" spans="1:6" x14ac:dyDescent="0.2">
      <c r="A925" s="31">
        <v>45121</v>
      </c>
      <c r="B925" t="str">
        <v>New_Campaign</v>
      </c>
      <c r="C925">
        <v>1161</v>
      </c>
      <c r="D925">
        <v>264</v>
      </c>
      <c r="E925">
        <v>4777.41</v>
      </c>
      <c r="F925" t="str">
        <v>B</v>
      </c>
    </row>
    <row r="926" spans="1:6" x14ac:dyDescent="0.2">
      <c r="A926" s="31">
        <v>45122</v>
      </c>
      <c r="B926" t="str">
        <v>New_Campaign</v>
      </c>
      <c r="C926">
        <v>1161</v>
      </c>
      <c r="D926">
        <v>275</v>
      </c>
      <c r="E926">
        <v>5025.78</v>
      </c>
      <c r="F926" t="str">
        <v>B</v>
      </c>
    </row>
    <row r="927" spans="1:6" x14ac:dyDescent="0.2">
      <c r="A927" s="31">
        <v>45123</v>
      </c>
      <c r="B927" t="str">
        <v>New_Campaign</v>
      </c>
      <c r="C927">
        <v>1192</v>
      </c>
      <c r="D927">
        <v>264</v>
      </c>
      <c r="E927">
        <v>4135.92</v>
      </c>
      <c r="F927" t="str">
        <v>B</v>
      </c>
    </row>
    <row r="928" spans="1:6" x14ac:dyDescent="0.2">
      <c r="A928" s="31">
        <v>45124</v>
      </c>
      <c r="B928" t="str">
        <v>New_Campaign</v>
      </c>
      <c r="C928">
        <v>1187</v>
      </c>
      <c r="D928">
        <v>273</v>
      </c>
      <c r="E928">
        <v>4746.28</v>
      </c>
      <c r="F928" t="str">
        <v>B</v>
      </c>
    </row>
    <row r="929" spans="1:6" x14ac:dyDescent="0.2">
      <c r="A929" s="31">
        <v>45125</v>
      </c>
      <c r="B929" t="str">
        <v>New_Campaign</v>
      </c>
      <c r="C929">
        <v>1203</v>
      </c>
      <c r="D929">
        <v>277</v>
      </c>
      <c r="E929">
        <v>4272.1499999999996</v>
      </c>
      <c r="F929" t="str">
        <v>B</v>
      </c>
    </row>
    <row r="930" spans="1:6" x14ac:dyDescent="0.2">
      <c r="A930" s="31">
        <v>45126</v>
      </c>
      <c r="B930" t="str">
        <v>New_Campaign</v>
      </c>
      <c r="C930">
        <v>1113</v>
      </c>
      <c r="D930">
        <v>263</v>
      </c>
      <c r="E930">
        <v>3610.66</v>
      </c>
      <c r="F930" t="str">
        <v>B</v>
      </c>
    </row>
    <row r="931" spans="1:6" x14ac:dyDescent="0.2">
      <c r="A931" s="31">
        <v>45127</v>
      </c>
      <c r="B931" t="str">
        <v>New_Campaign</v>
      </c>
      <c r="C931">
        <v>1131</v>
      </c>
      <c r="D931">
        <v>271</v>
      </c>
      <c r="E931">
        <v>4436.1899999999996</v>
      </c>
      <c r="F931" t="str">
        <v>B</v>
      </c>
    </row>
    <row r="932" spans="1:6" x14ac:dyDescent="0.2">
      <c r="A932" s="31">
        <v>45128</v>
      </c>
      <c r="B932" t="str">
        <v>New_Campaign</v>
      </c>
      <c r="C932">
        <v>1139</v>
      </c>
      <c r="D932">
        <v>254</v>
      </c>
      <c r="E932">
        <v>4349.2299999999996</v>
      </c>
      <c r="F932" t="str">
        <v>B</v>
      </c>
    </row>
    <row r="933" spans="1:6" x14ac:dyDescent="0.2">
      <c r="A933" s="31">
        <v>45129</v>
      </c>
      <c r="B933" t="str">
        <v>New_Campaign</v>
      </c>
      <c r="C933">
        <v>1169</v>
      </c>
      <c r="D933">
        <v>276</v>
      </c>
      <c r="E933">
        <v>3643.56</v>
      </c>
      <c r="F933" t="str">
        <v>B</v>
      </c>
    </row>
    <row r="934" spans="1:6" x14ac:dyDescent="0.2">
      <c r="A934" s="31">
        <v>45130</v>
      </c>
      <c r="B934" t="str">
        <v>New_Campaign</v>
      </c>
      <c r="C934">
        <v>1211</v>
      </c>
      <c r="D934">
        <v>273</v>
      </c>
      <c r="E934">
        <v>4860.54</v>
      </c>
      <c r="F934" t="str">
        <v>B</v>
      </c>
    </row>
    <row r="935" spans="1:6" x14ac:dyDescent="0.2">
      <c r="A935" s="31">
        <v>45131</v>
      </c>
      <c r="B935" t="str">
        <v>New_Campaign</v>
      </c>
      <c r="C935">
        <v>1167</v>
      </c>
      <c r="D935">
        <v>271</v>
      </c>
      <c r="E935">
        <v>4513.33</v>
      </c>
      <c r="F935" t="str">
        <v>B</v>
      </c>
    </row>
    <row r="936" spans="1:6" x14ac:dyDescent="0.2">
      <c r="A936" s="31">
        <v>45132</v>
      </c>
      <c r="B936" t="str">
        <v>New_Campaign</v>
      </c>
      <c r="C936">
        <v>1146</v>
      </c>
      <c r="D936">
        <v>256</v>
      </c>
      <c r="E936">
        <v>4559.7299999999996</v>
      </c>
      <c r="F936" t="str">
        <v>B</v>
      </c>
    </row>
    <row r="937" spans="1:6" x14ac:dyDescent="0.2">
      <c r="A937" s="31">
        <v>45133</v>
      </c>
      <c r="B937" t="str">
        <v>New_Campaign</v>
      </c>
      <c r="C937">
        <v>1161</v>
      </c>
      <c r="D937">
        <v>272</v>
      </c>
      <c r="E937">
        <v>4032.27</v>
      </c>
      <c r="F937" t="str">
        <v>B</v>
      </c>
    </row>
    <row r="938" spans="1:6" x14ac:dyDescent="0.2">
      <c r="A938" s="31">
        <v>45134</v>
      </c>
      <c r="B938" t="str">
        <v>New_Campaign</v>
      </c>
      <c r="C938">
        <v>1141</v>
      </c>
      <c r="D938">
        <v>259</v>
      </c>
      <c r="E938">
        <v>3909.51</v>
      </c>
      <c r="F938" t="str">
        <v>B</v>
      </c>
    </row>
    <row r="939" spans="1:6" x14ac:dyDescent="0.2">
      <c r="A939" s="31">
        <v>45135</v>
      </c>
      <c r="B939" t="str">
        <v>New_Campaign</v>
      </c>
      <c r="C939">
        <v>1176</v>
      </c>
      <c r="D939">
        <v>269</v>
      </c>
      <c r="E939">
        <v>3873.28</v>
      </c>
      <c r="F939" t="str">
        <v>B</v>
      </c>
    </row>
    <row r="940" spans="1:6" x14ac:dyDescent="0.2">
      <c r="A940" s="31">
        <v>45136</v>
      </c>
      <c r="B940" t="str">
        <v>New_Campaign</v>
      </c>
      <c r="C940">
        <v>1137</v>
      </c>
      <c r="D940">
        <v>259</v>
      </c>
      <c r="E940">
        <v>4023.2</v>
      </c>
      <c r="F940" t="str">
        <v>B</v>
      </c>
    </row>
    <row r="941" spans="1:6" x14ac:dyDescent="0.2">
      <c r="A941" s="31">
        <v>45137</v>
      </c>
      <c r="B941" t="str">
        <v>New_Campaign</v>
      </c>
      <c r="C941">
        <v>1172</v>
      </c>
      <c r="D941">
        <v>270</v>
      </c>
      <c r="E941">
        <v>3519.51</v>
      </c>
      <c r="F941" t="str">
        <v>B</v>
      </c>
    </row>
    <row r="942" spans="1:6" x14ac:dyDescent="0.2">
      <c r="A942" s="31">
        <v>45138</v>
      </c>
      <c r="B942" t="str">
        <v>New_Campaign</v>
      </c>
      <c r="C942">
        <v>1127</v>
      </c>
      <c r="D942">
        <v>254</v>
      </c>
      <c r="E942">
        <v>4338.62</v>
      </c>
      <c r="F942" t="str">
        <v>B</v>
      </c>
    </row>
    <row r="943" spans="1:6" x14ac:dyDescent="0.2">
      <c r="A943" s="31">
        <v>45139</v>
      </c>
      <c r="B943" t="str">
        <v>New_Campaign</v>
      </c>
      <c r="C943">
        <v>1157</v>
      </c>
      <c r="D943">
        <v>234</v>
      </c>
      <c r="E943">
        <v>4014.93</v>
      </c>
      <c r="F943" t="str">
        <v>B</v>
      </c>
    </row>
    <row r="944" spans="1:6" x14ac:dyDescent="0.2">
      <c r="A944" s="31">
        <v>45140</v>
      </c>
      <c r="B944" t="str">
        <v>New_Campaign</v>
      </c>
      <c r="C944">
        <v>1188</v>
      </c>
      <c r="D944">
        <v>268</v>
      </c>
      <c r="E944">
        <v>3549.77</v>
      </c>
      <c r="F944" t="str">
        <v>B</v>
      </c>
    </row>
    <row r="945" spans="1:6" x14ac:dyDescent="0.2">
      <c r="A945" s="31">
        <v>45141</v>
      </c>
      <c r="B945" t="str">
        <v>New_Campaign</v>
      </c>
      <c r="C945">
        <v>1131</v>
      </c>
      <c r="D945">
        <v>248</v>
      </c>
      <c r="E945">
        <v>4079.73</v>
      </c>
      <c r="F945" t="str">
        <v>B</v>
      </c>
    </row>
    <row r="946" spans="1:6" x14ac:dyDescent="0.2">
      <c r="A946" s="31">
        <v>45142</v>
      </c>
      <c r="B946" t="str">
        <v>New_Campaign</v>
      </c>
      <c r="C946">
        <v>1187</v>
      </c>
      <c r="D946">
        <v>232</v>
      </c>
      <c r="E946">
        <v>2869.54</v>
      </c>
      <c r="F946" t="str">
        <v>B</v>
      </c>
    </row>
    <row r="947" spans="1:6" x14ac:dyDescent="0.2">
      <c r="A947" s="31">
        <v>45143</v>
      </c>
      <c r="B947" t="str">
        <v>New_Campaign</v>
      </c>
      <c r="C947">
        <v>1133</v>
      </c>
      <c r="D947">
        <v>257</v>
      </c>
      <c r="E947">
        <v>4438.4399999999996</v>
      </c>
      <c r="F947" t="str">
        <v>B</v>
      </c>
    </row>
    <row r="948" spans="1:6" x14ac:dyDescent="0.2">
      <c r="A948" s="31">
        <v>45144</v>
      </c>
      <c r="B948" t="str">
        <v>New_Campaign</v>
      </c>
      <c r="C948">
        <v>1160</v>
      </c>
      <c r="D948">
        <v>293</v>
      </c>
      <c r="E948">
        <v>5089.7700000000004</v>
      </c>
      <c r="F948" t="str">
        <v>B</v>
      </c>
    </row>
    <row r="949" spans="1:6" x14ac:dyDescent="0.2">
      <c r="A949" s="31">
        <v>45145</v>
      </c>
      <c r="B949" t="str">
        <v>New_Campaign</v>
      </c>
      <c r="C949">
        <v>1160</v>
      </c>
      <c r="D949">
        <v>259</v>
      </c>
      <c r="E949">
        <v>3436.31</v>
      </c>
      <c r="F949" t="str">
        <v>B</v>
      </c>
    </row>
    <row r="950" spans="1:6" x14ac:dyDescent="0.2">
      <c r="A950" s="31">
        <v>45146</v>
      </c>
      <c r="B950" t="str">
        <v>New_Campaign</v>
      </c>
      <c r="C950">
        <v>1121</v>
      </c>
      <c r="D950">
        <v>263</v>
      </c>
      <c r="E950">
        <v>4197.9399999999996</v>
      </c>
      <c r="F950" t="str">
        <v>B</v>
      </c>
    </row>
    <row r="951" spans="1:6" x14ac:dyDescent="0.2">
      <c r="A951" s="31">
        <v>45147</v>
      </c>
      <c r="B951" t="str">
        <v>New_Campaign</v>
      </c>
      <c r="C951">
        <v>1108</v>
      </c>
      <c r="D951">
        <v>229</v>
      </c>
      <c r="E951">
        <v>3532.5</v>
      </c>
      <c r="F951" t="str">
        <v>B</v>
      </c>
    </row>
    <row r="952" spans="1:6" x14ac:dyDescent="0.2">
      <c r="A952" s="31">
        <v>45148</v>
      </c>
      <c r="B952" t="str">
        <v>New_Campaign</v>
      </c>
      <c r="C952">
        <v>1085</v>
      </c>
      <c r="D952">
        <v>255</v>
      </c>
      <c r="E952">
        <v>3059.11</v>
      </c>
      <c r="F952" t="str">
        <v>B</v>
      </c>
    </row>
    <row r="953" spans="1:6" x14ac:dyDescent="0.2">
      <c r="A953" s="31">
        <v>45149</v>
      </c>
      <c r="B953" t="str">
        <v>New_Campaign</v>
      </c>
      <c r="C953">
        <v>1101</v>
      </c>
      <c r="D953">
        <v>247</v>
      </c>
      <c r="E953">
        <v>4580.32</v>
      </c>
      <c r="F953" t="str">
        <v>B</v>
      </c>
    </row>
    <row r="954" spans="1:6" x14ac:dyDescent="0.2">
      <c r="A954" s="31">
        <v>45150</v>
      </c>
      <c r="B954" t="str">
        <v>New_Campaign</v>
      </c>
      <c r="C954">
        <v>1113</v>
      </c>
      <c r="D954">
        <v>243</v>
      </c>
      <c r="E954">
        <v>3726.14</v>
      </c>
      <c r="F954" t="str">
        <v>B</v>
      </c>
    </row>
    <row r="955" spans="1:6" x14ac:dyDescent="0.2">
      <c r="A955" s="31">
        <v>45151</v>
      </c>
      <c r="B955" t="str">
        <v>New_Campaign</v>
      </c>
      <c r="C955">
        <v>1201</v>
      </c>
      <c r="D955">
        <v>263</v>
      </c>
      <c r="E955">
        <v>4433.6400000000003</v>
      </c>
      <c r="F955" t="str">
        <v>B</v>
      </c>
    </row>
    <row r="956" spans="1:6" x14ac:dyDescent="0.2">
      <c r="A956" s="31">
        <v>45152</v>
      </c>
      <c r="B956" t="str">
        <v>New_Campaign</v>
      </c>
      <c r="C956">
        <v>1173</v>
      </c>
      <c r="D956">
        <v>245</v>
      </c>
      <c r="E956">
        <v>4922.37</v>
      </c>
      <c r="F956" t="str">
        <v>B</v>
      </c>
    </row>
    <row r="957" spans="1:6" x14ac:dyDescent="0.2">
      <c r="A957" s="31">
        <v>45153</v>
      </c>
      <c r="B957" t="str">
        <v>New_Campaign</v>
      </c>
      <c r="C957">
        <v>1108</v>
      </c>
      <c r="D957">
        <v>250</v>
      </c>
      <c r="E957">
        <v>4080.13</v>
      </c>
      <c r="F957" t="str">
        <v>B</v>
      </c>
    </row>
    <row r="958" spans="1:6" x14ac:dyDescent="0.2">
      <c r="A958" s="31">
        <v>45154</v>
      </c>
      <c r="B958" t="str">
        <v>New_Campaign</v>
      </c>
      <c r="C958">
        <v>1224</v>
      </c>
      <c r="D958">
        <v>280</v>
      </c>
      <c r="E958">
        <v>4637.9399999999996</v>
      </c>
      <c r="F958" t="str">
        <v>B</v>
      </c>
    </row>
    <row r="959" spans="1:6" x14ac:dyDescent="0.2">
      <c r="A959" s="31">
        <v>45155</v>
      </c>
      <c r="B959" t="str">
        <v>New_Campaign</v>
      </c>
      <c r="C959">
        <v>1166</v>
      </c>
      <c r="D959">
        <v>281</v>
      </c>
      <c r="E959">
        <v>4426.37</v>
      </c>
      <c r="F959" t="str">
        <v>B</v>
      </c>
    </row>
    <row r="960" spans="1:6" x14ac:dyDescent="0.2">
      <c r="A960" s="31">
        <v>45156</v>
      </c>
      <c r="B960" t="str">
        <v>New_Campaign</v>
      </c>
      <c r="C960">
        <v>1101</v>
      </c>
      <c r="D960">
        <v>246</v>
      </c>
      <c r="E960">
        <v>4022.97</v>
      </c>
      <c r="F960" t="str">
        <v>B</v>
      </c>
    </row>
    <row r="961" spans="1:6" x14ac:dyDescent="0.2">
      <c r="A961" s="31">
        <v>45157</v>
      </c>
      <c r="B961" t="str">
        <v>New_Campaign</v>
      </c>
      <c r="C961">
        <v>1160</v>
      </c>
      <c r="D961">
        <v>275</v>
      </c>
      <c r="E961">
        <v>4315.71</v>
      </c>
      <c r="F961" t="str">
        <v>B</v>
      </c>
    </row>
    <row r="962" spans="1:6" x14ac:dyDescent="0.2">
      <c r="A962" s="31">
        <v>45158</v>
      </c>
      <c r="B962" t="str">
        <v>New_Campaign</v>
      </c>
      <c r="C962">
        <v>1198</v>
      </c>
      <c r="D962">
        <v>266</v>
      </c>
      <c r="E962">
        <v>4354.33</v>
      </c>
      <c r="F962" t="str">
        <v>B</v>
      </c>
    </row>
    <row r="963" spans="1:6" x14ac:dyDescent="0.2">
      <c r="A963" s="31">
        <v>45159</v>
      </c>
      <c r="B963" t="str">
        <v>New_Campaign</v>
      </c>
      <c r="C963">
        <v>1139</v>
      </c>
      <c r="D963">
        <v>251</v>
      </c>
      <c r="E963">
        <v>3836.58</v>
      </c>
      <c r="F963" t="str">
        <v>B</v>
      </c>
    </row>
    <row r="964" spans="1:6" x14ac:dyDescent="0.2">
      <c r="A964" s="31">
        <v>45160</v>
      </c>
      <c r="B964" t="str">
        <v>New_Campaign</v>
      </c>
      <c r="C964">
        <v>1182</v>
      </c>
      <c r="D964">
        <v>250</v>
      </c>
      <c r="E964">
        <v>3227.47</v>
      </c>
      <c r="F964" t="str">
        <v>B</v>
      </c>
    </row>
    <row r="965" spans="1:6" x14ac:dyDescent="0.2">
      <c r="A965" s="31">
        <v>45161</v>
      </c>
      <c r="B965" t="str">
        <v>New_Campaign</v>
      </c>
      <c r="C965">
        <v>1123</v>
      </c>
      <c r="D965">
        <v>249</v>
      </c>
      <c r="E965">
        <v>4645.67</v>
      </c>
      <c r="F965" t="str">
        <v>B</v>
      </c>
    </row>
    <row r="966" spans="1:6" x14ac:dyDescent="0.2">
      <c r="A966" s="31">
        <v>45162</v>
      </c>
      <c r="B966" t="str">
        <v>New_Campaign</v>
      </c>
      <c r="C966">
        <v>1207</v>
      </c>
      <c r="D966">
        <v>266</v>
      </c>
      <c r="E966">
        <v>4984.3599999999997</v>
      </c>
      <c r="F966" t="str">
        <v>B</v>
      </c>
    </row>
    <row r="967" spans="1:6" x14ac:dyDescent="0.2">
      <c r="A967" s="31">
        <v>45163</v>
      </c>
      <c r="B967" t="str">
        <v>New_Campaign</v>
      </c>
      <c r="C967">
        <v>1128</v>
      </c>
      <c r="D967">
        <v>238</v>
      </c>
      <c r="E967">
        <v>4232.5200000000004</v>
      </c>
      <c r="F967" t="str">
        <v>B</v>
      </c>
    </row>
    <row r="968" spans="1:6" x14ac:dyDescent="0.2">
      <c r="A968" s="31">
        <v>45164</v>
      </c>
      <c r="B968" t="str">
        <v>New_Campaign</v>
      </c>
      <c r="C968">
        <v>1196</v>
      </c>
      <c r="D968">
        <v>267</v>
      </c>
      <c r="E968">
        <v>3654.85</v>
      </c>
      <c r="F968" t="str">
        <v>B</v>
      </c>
    </row>
    <row r="969" spans="1:6" x14ac:dyDescent="0.2">
      <c r="A969" s="31">
        <v>45165</v>
      </c>
      <c r="B969" t="str">
        <v>New_Campaign</v>
      </c>
      <c r="C969">
        <v>1211</v>
      </c>
      <c r="D969">
        <v>270</v>
      </c>
      <c r="E969">
        <v>3923.24</v>
      </c>
      <c r="F969" t="str">
        <v>B</v>
      </c>
    </row>
    <row r="970" spans="1:6" x14ac:dyDescent="0.2">
      <c r="A970" s="31">
        <v>45166</v>
      </c>
      <c r="B970" t="str">
        <v>New_Campaign</v>
      </c>
      <c r="C970">
        <v>1099</v>
      </c>
      <c r="D970">
        <v>240</v>
      </c>
      <c r="E970">
        <v>4354.41</v>
      </c>
      <c r="F970" t="str">
        <v>B</v>
      </c>
    </row>
    <row r="971" spans="1:6" x14ac:dyDescent="0.2">
      <c r="A971" s="31">
        <v>45167</v>
      </c>
      <c r="B971" t="str">
        <v>New_Campaign</v>
      </c>
      <c r="C971">
        <v>1150</v>
      </c>
      <c r="D971">
        <v>261</v>
      </c>
      <c r="E971">
        <v>4879.1000000000004</v>
      </c>
      <c r="F971" t="str">
        <v>B</v>
      </c>
    </row>
    <row r="972" spans="1:6" x14ac:dyDescent="0.2">
      <c r="A972" s="31">
        <v>45168</v>
      </c>
      <c r="B972" t="str">
        <v>New_Campaign</v>
      </c>
      <c r="C972">
        <v>1114</v>
      </c>
      <c r="D972">
        <v>246</v>
      </c>
      <c r="E972">
        <v>4377.22</v>
      </c>
      <c r="F972" t="str">
        <v>B</v>
      </c>
    </row>
    <row r="973" spans="1:6" x14ac:dyDescent="0.2">
      <c r="A973" s="31">
        <v>45169</v>
      </c>
      <c r="B973" t="str">
        <v>New_Campaign</v>
      </c>
      <c r="C973">
        <v>1167</v>
      </c>
      <c r="D973">
        <v>254</v>
      </c>
      <c r="E973">
        <v>4649.05</v>
      </c>
      <c r="F973" t="str">
        <v>B</v>
      </c>
    </row>
    <row r="974" spans="1:6" x14ac:dyDescent="0.2">
      <c r="A974" s="31">
        <v>45170</v>
      </c>
      <c r="B974" t="str">
        <v>New_Campaign</v>
      </c>
      <c r="C974">
        <v>1161</v>
      </c>
      <c r="D974">
        <v>257</v>
      </c>
      <c r="E974">
        <v>4406.75</v>
      </c>
      <c r="F974" t="str">
        <v>B</v>
      </c>
    </row>
    <row r="975" spans="1:6" x14ac:dyDescent="0.2">
      <c r="A975" s="31">
        <v>45171</v>
      </c>
      <c r="B975" t="str">
        <v>New_Campaign</v>
      </c>
      <c r="C975">
        <v>1134</v>
      </c>
      <c r="D975">
        <v>255</v>
      </c>
      <c r="E975">
        <v>3491.14</v>
      </c>
      <c r="F975" t="str">
        <v>B</v>
      </c>
    </row>
    <row r="976" spans="1:6" x14ac:dyDescent="0.2">
      <c r="A976" s="31">
        <v>45172</v>
      </c>
      <c r="B976" t="str">
        <v>New_Campaign</v>
      </c>
      <c r="C976">
        <v>1076</v>
      </c>
      <c r="D976">
        <v>232</v>
      </c>
      <c r="E976">
        <v>4636.33</v>
      </c>
      <c r="F976" t="str">
        <v>B</v>
      </c>
    </row>
    <row r="977" spans="1:6" x14ac:dyDescent="0.2">
      <c r="A977" s="31">
        <v>45173</v>
      </c>
      <c r="B977" t="str">
        <v>New_Campaign</v>
      </c>
      <c r="C977">
        <v>1197</v>
      </c>
      <c r="D977">
        <v>280</v>
      </c>
      <c r="E977">
        <v>4567.09</v>
      </c>
      <c r="F977" t="str">
        <v>B</v>
      </c>
    </row>
    <row r="978" spans="1:6" x14ac:dyDescent="0.2">
      <c r="A978" s="31">
        <v>45174</v>
      </c>
      <c r="B978" t="str">
        <v>New_Campaign</v>
      </c>
      <c r="C978">
        <v>1171</v>
      </c>
      <c r="D978">
        <v>246</v>
      </c>
      <c r="E978">
        <v>3767.15</v>
      </c>
      <c r="F978" t="str">
        <v>B</v>
      </c>
    </row>
    <row r="979" spans="1:6" x14ac:dyDescent="0.2">
      <c r="A979" s="31">
        <v>45175</v>
      </c>
      <c r="B979" t="str">
        <v>New_Campaign</v>
      </c>
      <c r="C979">
        <v>1260</v>
      </c>
      <c r="D979">
        <v>313</v>
      </c>
      <c r="E979">
        <v>5346.05</v>
      </c>
      <c r="F979" t="str">
        <v>B</v>
      </c>
    </row>
    <row r="980" spans="1:6" x14ac:dyDescent="0.2">
      <c r="A980" s="31">
        <v>45176</v>
      </c>
      <c r="B980" t="str">
        <v>New_Campaign</v>
      </c>
      <c r="C980">
        <v>1187</v>
      </c>
      <c r="D980">
        <v>280</v>
      </c>
      <c r="E980">
        <v>4888.37</v>
      </c>
      <c r="F980" t="str">
        <v>B</v>
      </c>
    </row>
    <row r="981" spans="1:6" x14ac:dyDescent="0.2">
      <c r="A981" s="31">
        <v>45177</v>
      </c>
      <c r="B981" t="str">
        <v>New_Campaign</v>
      </c>
      <c r="C981">
        <v>1184</v>
      </c>
      <c r="D981">
        <v>282</v>
      </c>
      <c r="E981">
        <v>4052.68</v>
      </c>
      <c r="F981" t="str">
        <v>B</v>
      </c>
    </row>
    <row r="982" spans="1:6" x14ac:dyDescent="0.2">
      <c r="A982" s="31">
        <v>45178</v>
      </c>
      <c r="B982" t="str">
        <v>New_Campaign</v>
      </c>
      <c r="C982">
        <v>1194</v>
      </c>
      <c r="D982">
        <v>277</v>
      </c>
      <c r="E982">
        <v>4137.6000000000004</v>
      </c>
      <c r="F982" t="str">
        <v>B</v>
      </c>
    </row>
    <row r="983" spans="1:6" x14ac:dyDescent="0.2">
      <c r="A983" s="31">
        <v>45179</v>
      </c>
      <c r="B983" t="str">
        <v>New_Campaign</v>
      </c>
      <c r="C983">
        <v>1180</v>
      </c>
      <c r="D983">
        <v>273</v>
      </c>
      <c r="E983">
        <v>4105.9399999999996</v>
      </c>
      <c r="F983" t="str">
        <v>B</v>
      </c>
    </row>
    <row r="984" spans="1:6" x14ac:dyDescent="0.2">
      <c r="A984" s="31">
        <v>45180</v>
      </c>
      <c r="B984" t="str">
        <v>New_Campaign</v>
      </c>
      <c r="C984">
        <v>1164</v>
      </c>
      <c r="D984">
        <v>283</v>
      </c>
      <c r="E984">
        <v>4852.75</v>
      </c>
      <c r="F984" t="str">
        <v>B</v>
      </c>
    </row>
    <row r="985" spans="1:6" x14ac:dyDescent="0.2">
      <c r="A985" s="31">
        <v>45181</v>
      </c>
      <c r="B985" t="str">
        <v>New_Campaign</v>
      </c>
      <c r="C985">
        <v>1195</v>
      </c>
      <c r="D985">
        <v>294</v>
      </c>
      <c r="E985">
        <v>4116.63</v>
      </c>
      <c r="F985" t="str">
        <v>B</v>
      </c>
    </row>
    <row r="986" spans="1:6" x14ac:dyDescent="0.2">
      <c r="A986" s="31">
        <v>45182</v>
      </c>
      <c r="B986" t="str">
        <v>New_Campaign</v>
      </c>
      <c r="C986">
        <v>1135</v>
      </c>
      <c r="D986">
        <v>252</v>
      </c>
      <c r="E986">
        <v>3763.14</v>
      </c>
      <c r="F986" t="str">
        <v>B</v>
      </c>
    </row>
    <row r="987" spans="1:6" x14ac:dyDescent="0.2">
      <c r="A987" s="31">
        <v>45183</v>
      </c>
      <c r="B987" t="str">
        <v>New_Campaign</v>
      </c>
      <c r="C987">
        <v>1207</v>
      </c>
      <c r="D987">
        <v>293</v>
      </c>
      <c r="E987">
        <v>4649.26</v>
      </c>
      <c r="F987" t="str">
        <v>B</v>
      </c>
    </row>
    <row r="988" spans="1:6" x14ac:dyDescent="0.2">
      <c r="A988" s="31">
        <v>45184</v>
      </c>
      <c r="B988" t="str">
        <v>New_Campaign</v>
      </c>
      <c r="C988">
        <v>1134</v>
      </c>
      <c r="D988">
        <v>233</v>
      </c>
      <c r="E988">
        <v>4478.3999999999996</v>
      </c>
      <c r="F988" t="str">
        <v>B</v>
      </c>
    </row>
    <row r="989" spans="1:6" x14ac:dyDescent="0.2">
      <c r="A989" s="31">
        <v>45185</v>
      </c>
      <c r="B989" t="str">
        <v>New_Campaign</v>
      </c>
      <c r="C989">
        <v>1148</v>
      </c>
      <c r="D989">
        <v>293</v>
      </c>
      <c r="E989">
        <v>5516.67</v>
      </c>
      <c r="F989" t="str">
        <v>B</v>
      </c>
    </row>
    <row r="990" spans="1:6" x14ac:dyDescent="0.2">
      <c r="A990" s="31">
        <v>45186</v>
      </c>
      <c r="B990" t="str">
        <v>New_Campaign</v>
      </c>
      <c r="C990">
        <v>1136</v>
      </c>
      <c r="D990">
        <v>259</v>
      </c>
      <c r="E990">
        <v>3260.93</v>
      </c>
      <c r="F990" t="str">
        <v>B</v>
      </c>
    </row>
    <row r="991" spans="1:6" x14ac:dyDescent="0.2">
      <c r="A991" s="31">
        <v>45187</v>
      </c>
      <c r="B991" t="str">
        <v>New_Campaign</v>
      </c>
      <c r="C991">
        <v>1180</v>
      </c>
      <c r="D991">
        <v>272</v>
      </c>
      <c r="E991">
        <v>4641.8900000000003</v>
      </c>
      <c r="F991" t="str">
        <v>B</v>
      </c>
    </row>
    <row r="992" spans="1:6" x14ac:dyDescent="0.2">
      <c r="A992" s="31">
        <v>45188</v>
      </c>
      <c r="B992" t="str">
        <v>New_Campaign</v>
      </c>
      <c r="C992">
        <v>1057</v>
      </c>
      <c r="D992">
        <v>239</v>
      </c>
      <c r="E992">
        <v>3733.85</v>
      </c>
      <c r="F992" t="str">
        <v>B</v>
      </c>
    </row>
    <row r="993" spans="1:6" x14ac:dyDescent="0.2">
      <c r="A993" s="31">
        <v>45189</v>
      </c>
      <c r="B993" t="str">
        <v>New_Campaign</v>
      </c>
      <c r="C993">
        <v>1225</v>
      </c>
      <c r="D993">
        <v>263</v>
      </c>
      <c r="E993">
        <v>4218.28</v>
      </c>
      <c r="F993" t="str">
        <v>B</v>
      </c>
    </row>
    <row r="994" spans="1:6" x14ac:dyDescent="0.2">
      <c r="A994" s="31">
        <v>45190</v>
      </c>
      <c r="B994" t="str">
        <v>New_Campaign</v>
      </c>
      <c r="C994">
        <v>1147</v>
      </c>
      <c r="D994">
        <v>286</v>
      </c>
      <c r="E994">
        <v>3882.36</v>
      </c>
      <c r="F994" t="str">
        <v>B</v>
      </c>
    </row>
    <row r="995" spans="1:6" x14ac:dyDescent="0.2">
      <c r="A995" s="31">
        <v>45191</v>
      </c>
      <c r="B995" t="str">
        <v>New_Campaign</v>
      </c>
      <c r="C995">
        <v>1138</v>
      </c>
      <c r="D995">
        <v>274</v>
      </c>
      <c r="E995">
        <v>3840.88</v>
      </c>
      <c r="F995" t="str">
        <v>B</v>
      </c>
    </row>
    <row r="996" spans="1:6" x14ac:dyDescent="0.2">
      <c r="A996" s="31">
        <v>45192</v>
      </c>
      <c r="B996" t="str">
        <v>New_Campaign</v>
      </c>
      <c r="C996">
        <v>1124</v>
      </c>
      <c r="D996">
        <v>239</v>
      </c>
      <c r="E996">
        <v>3596.76</v>
      </c>
      <c r="F996" t="str">
        <v>B</v>
      </c>
    </row>
    <row r="997" spans="1:6" x14ac:dyDescent="0.2">
      <c r="A997" s="31">
        <v>45193</v>
      </c>
      <c r="B997" t="str">
        <v>New_Campaign</v>
      </c>
      <c r="C997">
        <v>1105</v>
      </c>
      <c r="D997">
        <v>238</v>
      </c>
      <c r="E997">
        <v>3443.16</v>
      </c>
      <c r="F997" t="str">
        <v>B</v>
      </c>
    </row>
    <row r="998" spans="1:6" x14ac:dyDescent="0.2">
      <c r="A998" s="31">
        <v>45194</v>
      </c>
      <c r="B998" t="str">
        <v>New_Campaign</v>
      </c>
      <c r="C998">
        <v>1172</v>
      </c>
      <c r="D998">
        <v>270</v>
      </c>
      <c r="E998">
        <v>5010.3500000000004</v>
      </c>
      <c r="F998" t="str">
        <v>B</v>
      </c>
    </row>
    <row r="999" spans="1:6" x14ac:dyDescent="0.2">
      <c r="A999" s="31">
        <v>45195</v>
      </c>
      <c r="B999" t="str">
        <v>New_Campaign</v>
      </c>
      <c r="C999">
        <v>1153</v>
      </c>
      <c r="D999">
        <v>254</v>
      </c>
      <c r="E999">
        <v>3908.02</v>
      </c>
      <c r="F999" t="str">
        <v>B</v>
      </c>
    </row>
    <row r="1000" spans="1:6" x14ac:dyDescent="0.2">
      <c r="A1000" s="31">
        <v>45196</v>
      </c>
      <c r="B1000" t="str">
        <v>New_Campaign</v>
      </c>
      <c r="C1000">
        <v>1156</v>
      </c>
      <c r="D1000">
        <v>267</v>
      </c>
      <c r="E1000">
        <v>4451.6899999999996</v>
      </c>
      <c r="F1000" t="str">
        <v>B</v>
      </c>
    </row>
    <row r="1001" spans="1:6" x14ac:dyDescent="0.2">
      <c r="A1001" s="31">
        <v>45197</v>
      </c>
      <c r="B1001" t="str">
        <v>New_Campaign</v>
      </c>
      <c r="C1001">
        <v>1105</v>
      </c>
      <c r="D1001">
        <v>251</v>
      </c>
      <c r="E1001">
        <v>3659.57</v>
      </c>
      <c r="F1001" t="str">
        <v>B</v>
      </c>
    </row>
    <row r="1002" spans="1:6" x14ac:dyDescent="0.2">
      <c r="A1002" s="31">
        <v>45198</v>
      </c>
      <c r="B1002" t="str">
        <v>New_Campaign</v>
      </c>
      <c r="C1002">
        <v>1121</v>
      </c>
      <c r="D1002">
        <v>253</v>
      </c>
      <c r="E1002">
        <v>4004.37</v>
      </c>
      <c r="F1002" t="str">
        <v>B</v>
      </c>
    </row>
    <row r="1003" spans="1:6" x14ac:dyDescent="0.2">
      <c r="A1003" s="31">
        <v>45199</v>
      </c>
      <c r="B1003" t="str">
        <v>New_Campaign</v>
      </c>
      <c r="C1003">
        <v>1123</v>
      </c>
      <c r="D1003">
        <v>276</v>
      </c>
      <c r="E1003">
        <v>4191.83</v>
      </c>
      <c r="F1003" t="str">
        <v>B</v>
      </c>
    </row>
    <row r="1004" spans="1:6" x14ac:dyDescent="0.2">
      <c r="A1004" s="31">
        <v>45200</v>
      </c>
      <c r="B1004" t="str">
        <v>New_Campaign</v>
      </c>
      <c r="C1004">
        <v>1185</v>
      </c>
      <c r="D1004">
        <v>260</v>
      </c>
      <c r="E1004">
        <v>3998.95</v>
      </c>
      <c r="F1004" t="str">
        <v>B</v>
      </c>
    </row>
    <row r="1005" spans="1:6" x14ac:dyDescent="0.2">
      <c r="A1005" s="31">
        <v>45201</v>
      </c>
      <c r="B1005" t="str">
        <v>New_Campaign</v>
      </c>
      <c r="C1005">
        <v>1153</v>
      </c>
      <c r="D1005">
        <v>268</v>
      </c>
      <c r="E1005">
        <v>4299.38</v>
      </c>
      <c r="F1005" t="str">
        <v>B</v>
      </c>
    </row>
    <row r="1006" spans="1:6" x14ac:dyDescent="0.2">
      <c r="A1006" s="31">
        <v>45202</v>
      </c>
      <c r="B1006" t="str">
        <v>New_Campaign</v>
      </c>
      <c r="C1006">
        <v>1202</v>
      </c>
      <c r="D1006">
        <v>262</v>
      </c>
      <c r="E1006">
        <v>4584.88</v>
      </c>
      <c r="F1006" t="str">
        <v>B</v>
      </c>
    </row>
    <row r="1007" spans="1:6" x14ac:dyDescent="0.2">
      <c r="A1007" s="31">
        <v>45203</v>
      </c>
      <c r="B1007" t="str">
        <v>New_Campaign</v>
      </c>
      <c r="C1007">
        <v>1181</v>
      </c>
      <c r="D1007">
        <v>295</v>
      </c>
      <c r="E1007">
        <v>5004.6899999999996</v>
      </c>
      <c r="F1007" t="str">
        <v>B</v>
      </c>
    </row>
    <row r="1008" spans="1:6" x14ac:dyDescent="0.2">
      <c r="A1008" s="31">
        <v>45204</v>
      </c>
      <c r="B1008" t="str">
        <v>New_Campaign</v>
      </c>
      <c r="C1008">
        <v>1133</v>
      </c>
      <c r="D1008">
        <v>263</v>
      </c>
      <c r="E1008">
        <v>4951.6400000000003</v>
      </c>
      <c r="F1008" t="str">
        <v>B</v>
      </c>
    </row>
    <row r="1009" spans="1:6" x14ac:dyDescent="0.2">
      <c r="A1009" s="31">
        <v>45205</v>
      </c>
      <c r="B1009" t="str">
        <v>New_Campaign</v>
      </c>
      <c r="C1009">
        <v>1123</v>
      </c>
      <c r="D1009">
        <v>271</v>
      </c>
      <c r="E1009">
        <v>4515.42</v>
      </c>
      <c r="F1009" t="str">
        <v>B</v>
      </c>
    </row>
    <row r="1010" spans="1:6" x14ac:dyDescent="0.2">
      <c r="A1010" s="31">
        <v>45206</v>
      </c>
      <c r="B1010" t="str">
        <v>New_Campaign</v>
      </c>
      <c r="C1010">
        <v>1085</v>
      </c>
      <c r="D1010">
        <v>231</v>
      </c>
      <c r="E1010">
        <v>3231.54</v>
      </c>
      <c r="F1010" t="str">
        <v>B</v>
      </c>
    </row>
    <row r="1011" spans="1:6" x14ac:dyDescent="0.2">
      <c r="A1011" s="31">
        <v>45207</v>
      </c>
      <c r="B1011" t="str">
        <v>New_Campaign</v>
      </c>
      <c r="C1011">
        <v>1118</v>
      </c>
      <c r="D1011">
        <v>244</v>
      </c>
      <c r="E1011">
        <v>4246.49</v>
      </c>
      <c r="F1011" t="str">
        <v>B</v>
      </c>
    </row>
    <row r="1012" spans="1:6" x14ac:dyDescent="0.2">
      <c r="A1012" s="31">
        <v>45208</v>
      </c>
      <c r="B1012" t="str">
        <v>New_Campaign</v>
      </c>
      <c r="C1012">
        <v>1147</v>
      </c>
      <c r="D1012">
        <v>244</v>
      </c>
      <c r="E1012">
        <v>3712.04</v>
      </c>
      <c r="F1012" t="str">
        <v>B</v>
      </c>
    </row>
    <row r="1013" spans="1:6" x14ac:dyDescent="0.2">
      <c r="A1013" s="31">
        <v>45209</v>
      </c>
      <c r="B1013" t="str">
        <v>New_Campaign</v>
      </c>
      <c r="C1013">
        <v>1096</v>
      </c>
      <c r="D1013">
        <v>252</v>
      </c>
      <c r="E1013">
        <v>4715.33</v>
      </c>
      <c r="F1013" t="str">
        <v>B</v>
      </c>
    </row>
    <row r="1014" spans="1:6" x14ac:dyDescent="0.2">
      <c r="A1014" s="31">
        <v>45210</v>
      </c>
      <c r="B1014" t="str">
        <v>New_Campaign</v>
      </c>
      <c r="C1014">
        <v>1155</v>
      </c>
      <c r="D1014">
        <v>248</v>
      </c>
      <c r="E1014">
        <v>3525.18</v>
      </c>
      <c r="F1014" t="str">
        <v>B</v>
      </c>
    </row>
    <row r="1015" spans="1:6" x14ac:dyDescent="0.2">
      <c r="A1015" s="31">
        <v>45211</v>
      </c>
      <c r="B1015" t="str">
        <v>New_Campaign</v>
      </c>
      <c r="C1015">
        <v>1155</v>
      </c>
      <c r="D1015">
        <v>283</v>
      </c>
      <c r="E1015">
        <v>4181.37</v>
      </c>
      <c r="F1015" t="str">
        <v>B</v>
      </c>
    </row>
    <row r="1016" spans="1:6" x14ac:dyDescent="0.2">
      <c r="A1016" s="31">
        <v>45212</v>
      </c>
      <c r="B1016" t="str">
        <v>New_Campaign</v>
      </c>
      <c r="C1016">
        <v>1111</v>
      </c>
      <c r="D1016">
        <v>249</v>
      </c>
      <c r="E1016">
        <v>3276.9</v>
      </c>
      <c r="F1016" t="str">
        <v>B</v>
      </c>
    </row>
    <row r="1017" spans="1:6" x14ac:dyDescent="0.2">
      <c r="A1017" s="31">
        <v>45213</v>
      </c>
      <c r="B1017" t="str">
        <v>New_Campaign</v>
      </c>
      <c r="C1017">
        <v>1139</v>
      </c>
      <c r="D1017">
        <v>269</v>
      </c>
      <c r="E1017">
        <v>4346.8100000000004</v>
      </c>
      <c r="F1017" t="str">
        <v>B</v>
      </c>
    </row>
    <row r="1018" spans="1:6" x14ac:dyDescent="0.2">
      <c r="A1018" s="31">
        <v>45214</v>
      </c>
      <c r="B1018" t="str">
        <v>New_Campaign</v>
      </c>
      <c r="C1018">
        <v>1218</v>
      </c>
      <c r="D1018">
        <v>306</v>
      </c>
      <c r="E1018">
        <v>5348.96</v>
      </c>
      <c r="F1018" t="str">
        <v>B</v>
      </c>
    </row>
    <row r="1019" spans="1:6" x14ac:dyDescent="0.2">
      <c r="A1019" s="31">
        <v>45215</v>
      </c>
      <c r="B1019" t="str">
        <v>New_Campaign</v>
      </c>
      <c r="C1019">
        <v>1145</v>
      </c>
      <c r="D1019">
        <v>255</v>
      </c>
      <c r="E1019">
        <v>3977.28</v>
      </c>
      <c r="F1019" t="str">
        <v>B</v>
      </c>
    </row>
    <row r="1020" spans="1:6" x14ac:dyDescent="0.2">
      <c r="A1020" s="31">
        <v>45216</v>
      </c>
      <c r="B1020" t="str">
        <v>New_Campaign</v>
      </c>
      <c r="C1020">
        <v>1144</v>
      </c>
      <c r="D1020">
        <v>255</v>
      </c>
      <c r="E1020">
        <v>3131.57</v>
      </c>
      <c r="F1020" t="str">
        <v>B</v>
      </c>
    </row>
    <row r="1021" spans="1:6" x14ac:dyDescent="0.2">
      <c r="A1021" s="31">
        <v>45217</v>
      </c>
      <c r="B1021" t="str">
        <v>New_Campaign</v>
      </c>
      <c r="C1021">
        <v>1195</v>
      </c>
      <c r="D1021">
        <v>261</v>
      </c>
      <c r="E1021">
        <v>5006.3999999999996</v>
      </c>
      <c r="F1021" t="str">
        <v>B</v>
      </c>
    </row>
    <row r="1022" spans="1:6" x14ac:dyDescent="0.2">
      <c r="A1022" s="31">
        <v>45218</v>
      </c>
      <c r="B1022" t="str">
        <v>New_Campaign</v>
      </c>
      <c r="C1022">
        <v>1173</v>
      </c>
      <c r="D1022">
        <v>259</v>
      </c>
      <c r="E1022">
        <v>4763.1000000000004</v>
      </c>
      <c r="F1022" t="str">
        <v>B</v>
      </c>
    </row>
    <row r="1023" spans="1:6" x14ac:dyDescent="0.2">
      <c r="A1023" s="31">
        <v>45219</v>
      </c>
      <c r="B1023" t="str">
        <v>New_Campaign</v>
      </c>
      <c r="C1023">
        <v>1176</v>
      </c>
      <c r="D1023">
        <v>273</v>
      </c>
      <c r="E1023">
        <v>4765.03</v>
      </c>
      <c r="F1023" t="str">
        <v>B</v>
      </c>
    </row>
    <row r="1024" spans="1:6" x14ac:dyDescent="0.2">
      <c r="A1024" s="31">
        <v>45220</v>
      </c>
      <c r="B1024" t="str">
        <v>New_Campaign</v>
      </c>
      <c r="C1024">
        <v>1193</v>
      </c>
      <c r="D1024">
        <v>282</v>
      </c>
      <c r="E1024">
        <v>4922.12</v>
      </c>
      <c r="F1024" t="str">
        <v>B</v>
      </c>
    </row>
    <row r="1025" spans="1:6" x14ac:dyDescent="0.2">
      <c r="A1025" s="31">
        <v>45221</v>
      </c>
      <c r="B1025" t="str">
        <v>New_Campaign</v>
      </c>
      <c r="C1025">
        <v>1075</v>
      </c>
      <c r="D1025">
        <v>242</v>
      </c>
      <c r="E1025">
        <v>4448.22</v>
      </c>
      <c r="F1025" t="str">
        <v>B</v>
      </c>
    </row>
    <row r="1026" spans="1:6" x14ac:dyDescent="0.2">
      <c r="A1026" s="31">
        <v>45222</v>
      </c>
      <c r="B1026" t="str">
        <v>New_Campaign</v>
      </c>
      <c r="C1026">
        <v>1107</v>
      </c>
      <c r="D1026">
        <v>275</v>
      </c>
      <c r="E1026">
        <v>3949.34</v>
      </c>
      <c r="F1026" t="str">
        <v>B</v>
      </c>
    </row>
    <row r="1027" spans="1:6" x14ac:dyDescent="0.2">
      <c r="A1027" s="31">
        <v>45223</v>
      </c>
      <c r="B1027" t="str">
        <v>New_Campaign</v>
      </c>
      <c r="C1027">
        <v>1177</v>
      </c>
      <c r="D1027">
        <v>283</v>
      </c>
      <c r="E1027">
        <v>4263.26</v>
      </c>
      <c r="F1027" t="str">
        <v>B</v>
      </c>
    </row>
    <row r="1028" spans="1:6" x14ac:dyDescent="0.2">
      <c r="A1028" s="31">
        <v>45224</v>
      </c>
      <c r="B1028" t="str">
        <v>New_Campaign</v>
      </c>
      <c r="C1028">
        <v>1181</v>
      </c>
      <c r="D1028">
        <v>273</v>
      </c>
      <c r="E1028">
        <v>4299.34</v>
      </c>
      <c r="F1028" t="str">
        <v>B</v>
      </c>
    </row>
    <row r="1029" spans="1:6" x14ac:dyDescent="0.2">
      <c r="A1029" s="31">
        <v>45225</v>
      </c>
      <c r="B1029" t="str">
        <v>New_Campaign</v>
      </c>
      <c r="C1029">
        <v>1161</v>
      </c>
      <c r="D1029">
        <v>275</v>
      </c>
      <c r="E1029">
        <v>5504.66</v>
      </c>
      <c r="F1029" t="str">
        <v>B</v>
      </c>
    </row>
    <row r="1030" spans="1:6" x14ac:dyDescent="0.2">
      <c r="A1030" s="31">
        <v>45226</v>
      </c>
      <c r="B1030" t="str">
        <v>New_Campaign</v>
      </c>
      <c r="C1030">
        <v>1167</v>
      </c>
      <c r="D1030">
        <v>270</v>
      </c>
      <c r="E1030">
        <v>4375.83</v>
      </c>
      <c r="F1030" t="str">
        <v>B</v>
      </c>
    </row>
    <row r="1031" spans="1:6" x14ac:dyDescent="0.2">
      <c r="A1031" s="31">
        <v>45227</v>
      </c>
      <c r="B1031" t="str">
        <v>New_Campaign</v>
      </c>
      <c r="C1031">
        <v>1108</v>
      </c>
      <c r="D1031">
        <v>272</v>
      </c>
      <c r="E1031">
        <v>2858.56</v>
      </c>
      <c r="F1031" t="str">
        <v>B</v>
      </c>
    </row>
    <row r="1032" spans="1:6" x14ac:dyDescent="0.2">
      <c r="A1032" s="31">
        <v>45228</v>
      </c>
      <c r="B1032" t="str">
        <v>New_Campaign</v>
      </c>
      <c r="C1032">
        <v>1134</v>
      </c>
      <c r="D1032">
        <v>274</v>
      </c>
      <c r="E1032">
        <v>4531.58</v>
      </c>
      <c r="F1032" t="str">
        <v>B</v>
      </c>
    </row>
    <row r="1033" spans="1:6" x14ac:dyDescent="0.2">
      <c r="A1033" s="31">
        <v>45229</v>
      </c>
      <c r="B1033" t="str">
        <v>New_Campaign</v>
      </c>
      <c r="C1033">
        <v>1148</v>
      </c>
      <c r="D1033">
        <v>251</v>
      </c>
      <c r="E1033">
        <v>4586.5</v>
      </c>
      <c r="F1033" t="str">
        <v>B</v>
      </c>
    </row>
    <row r="1034" spans="1:6" x14ac:dyDescent="0.2">
      <c r="A1034" s="31">
        <v>45230</v>
      </c>
      <c r="B1034" t="str">
        <v>New_Campaign</v>
      </c>
      <c r="C1034">
        <v>1151</v>
      </c>
      <c r="D1034">
        <v>282</v>
      </c>
      <c r="E1034">
        <v>5371.9</v>
      </c>
      <c r="F1034" t="str">
        <v>B</v>
      </c>
    </row>
    <row r="1035" spans="1:6" x14ac:dyDescent="0.2">
      <c r="A1035" s="31">
        <v>45231</v>
      </c>
      <c r="B1035" t="str">
        <v>New_Campaign</v>
      </c>
      <c r="C1035">
        <v>1129</v>
      </c>
      <c r="D1035">
        <v>250</v>
      </c>
      <c r="E1035">
        <v>4203.42</v>
      </c>
      <c r="F1035" t="str">
        <v>B</v>
      </c>
    </row>
    <row r="1036" spans="1:6" x14ac:dyDescent="0.2">
      <c r="A1036" s="31">
        <v>45232</v>
      </c>
      <c r="B1036" t="str">
        <v>New_Campaign</v>
      </c>
      <c r="C1036">
        <v>1135</v>
      </c>
      <c r="D1036">
        <v>273</v>
      </c>
      <c r="E1036">
        <v>4854.97</v>
      </c>
      <c r="F1036" t="str">
        <v>B</v>
      </c>
    </row>
    <row r="1037" spans="1:6" x14ac:dyDescent="0.2">
      <c r="A1037" s="31">
        <v>45233</v>
      </c>
      <c r="B1037" t="str">
        <v>New_Campaign</v>
      </c>
      <c r="C1037">
        <v>1089</v>
      </c>
      <c r="D1037">
        <v>245</v>
      </c>
      <c r="E1037">
        <v>3580.89</v>
      </c>
      <c r="F1037" t="str">
        <v>B</v>
      </c>
    </row>
    <row r="1038" spans="1:6" x14ac:dyDescent="0.2">
      <c r="A1038" s="31">
        <v>45234</v>
      </c>
      <c r="B1038" t="str">
        <v>New_Campaign</v>
      </c>
      <c r="C1038">
        <v>1161</v>
      </c>
      <c r="D1038">
        <v>266</v>
      </c>
      <c r="E1038">
        <v>4455</v>
      </c>
      <c r="F1038" t="str">
        <v>B</v>
      </c>
    </row>
    <row r="1039" spans="1:6" x14ac:dyDescent="0.2">
      <c r="A1039" s="31">
        <v>45235</v>
      </c>
      <c r="B1039" t="str">
        <v>New_Campaign</v>
      </c>
      <c r="C1039">
        <v>1179</v>
      </c>
      <c r="D1039">
        <v>269</v>
      </c>
      <c r="E1039">
        <v>4668.22</v>
      </c>
      <c r="F1039" t="str">
        <v>B</v>
      </c>
    </row>
    <row r="1040" spans="1:6" x14ac:dyDescent="0.2">
      <c r="A1040" s="31">
        <v>45236</v>
      </c>
      <c r="B1040" t="str">
        <v>New_Campaign</v>
      </c>
      <c r="C1040">
        <v>1179</v>
      </c>
      <c r="D1040">
        <v>262</v>
      </c>
      <c r="E1040">
        <v>4310.96</v>
      </c>
      <c r="F1040" t="str">
        <v>B</v>
      </c>
    </row>
    <row r="1041" spans="1:6" x14ac:dyDescent="0.2">
      <c r="A1041" s="31">
        <v>45237</v>
      </c>
      <c r="B1041" t="str">
        <v>New_Campaign</v>
      </c>
      <c r="C1041">
        <v>1133</v>
      </c>
      <c r="D1041">
        <v>250</v>
      </c>
      <c r="E1041">
        <v>4194.21</v>
      </c>
      <c r="F1041" t="str">
        <v>B</v>
      </c>
    </row>
    <row r="1042" spans="1:6" x14ac:dyDescent="0.2">
      <c r="A1042" s="31">
        <v>45238</v>
      </c>
      <c r="B1042" t="str">
        <v>New_Campaign</v>
      </c>
      <c r="C1042">
        <v>1129</v>
      </c>
      <c r="D1042">
        <v>254</v>
      </c>
      <c r="E1042">
        <v>3360.66</v>
      </c>
      <c r="F1042" t="str">
        <v>B</v>
      </c>
    </row>
    <row r="1043" spans="1:6" x14ac:dyDescent="0.2">
      <c r="A1043" s="31">
        <v>45239</v>
      </c>
      <c r="B1043" t="str">
        <v>New_Campaign</v>
      </c>
      <c r="C1043">
        <v>1125</v>
      </c>
      <c r="D1043">
        <v>262</v>
      </c>
      <c r="E1043">
        <v>4345.68</v>
      </c>
      <c r="F1043" t="str">
        <v>B</v>
      </c>
    </row>
    <row r="1044" spans="1:6" x14ac:dyDescent="0.2">
      <c r="A1044" s="31">
        <v>45240</v>
      </c>
      <c r="B1044" t="str">
        <v>New_Campaign</v>
      </c>
      <c r="C1044">
        <v>1205</v>
      </c>
      <c r="D1044">
        <v>272</v>
      </c>
      <c r="E1044">
        <v>3541.83</v>
      </c>
      <c r="F1044" t="str">
        <v>B</v>
      </c>
    </row>
    <row r="1045" spans="1:6" x14ac:dyDescent="0.2">
      <c r="A1045" s="31">
        <v>45241</v>
      </c>
      <c r="B1045" t="str">
        <v>New_Campaign</v>
      </c>
      <c r="C1045">
        <v>1168</v>
      </c>
      <c r="D1045">
        <v>281</v>
      </c>
      <c r="E1045">
        <v>3891.79</v>
      </c>
      <c r="F1045" t="str">
        <v>B</v>
      </c>
    </row>
    <row r="1046" spans="1:6" x14ac:dyDescent="0.2">
      <c r="A1046" s="31">
        <v>45242</v>
      </c>
      <c r="B1046" t="str">
        <v>New_Campaign</v>
      </c>
      <c r="C1046">
        <v>1180</v>
      </c>
      <c r="D1046">
        <v>296</v>
      </c>
      <c r="E1046">
        <v>4372.9799999999996</v>
      </c>
      <c r="F1046" t="str">
        <v>B</v>
      </c>
    </row>
    <row r="1047" spans="1:6" x14ac:dyDescent="0.2">
      <c r="A1047" s="31">
        <v>45243</v>
      </c>
      <c r="B1047" t="str">
        <v>New_Campaign</v>
      </c>
      <c r="C1047">
        <v>1181</v>
      </c>
      <c r="D1047">
        <v>243</v>
      </c>
      <c r="E1047">
        <v>3219.71</v>
      </c>
      <c r="F1047" t="str">
        <v>B</v>
      </c>
    </row>
    <row r="1048" spans="1:6" x14ac:dyDescent="0.2">
      <c r="A1048" s="31">
        <v>45244</v>
      </c>
      <c r="B1048" t="str">
        <v>New_Campaign</v>
      </c>
      <c r="C1048">
        <v>1084</v>
      </c>
      <c r="D1048">
        <v>251</v>
      </c>
      <c r="E1048">
        <v>3766.68</v>
      </c>
      <c r="F1048" t="str">
        <v>B</v>
      </c>
    </row>
    <row r="1049" spans="1:6" x14ac:dyDescent="0.2">
      <c r="A1049" s="31">
        <v>45245</v>
      </c>
      <c r="B1049" t="str">
        <v>New_Campaign</v>
      </c>
      <c r="C1049">
        <v>1163</v>
      </c>
      <c r="D1049">
        <v>288</v>
      </c>
      <c r="E1049">
        <v>5271.75</v>
      </c>
      <c r="F1049" t="str">
        <v>B</v>
      </c>
    </row>
    <row r="1050" spans="1:6" x14ac:dyDescent="0.2">
      <c r="A1050" s="31">
        <v>45246</v>
      </c>
      <c r="B1050" t="str">
        <v>New_Campaign</v>
      </c>
      <c r="C1050">
        <v>1137</v>
      </c>
      <c r="D1050">
        <v>244</v>
      </c>
      <c r="E1050">
        <v>3635.06</v>
      </c>
      <c r="F1050" t="str">
        <v>B</v>
      </c>
    </row>
    <row r="1051" spans="1:6" x14ac:dyDescent="0.2">
      <c r="A1051" s="31">
        <v>45247</v>
      </c>
      <c r="B1051" t="str">
        <v>New_Campaign</v>
      </c>
      <c r="C1051">
        <v>1146</v>
      </c>
      <c r="D1051">
        <v>256</v>
      </c>
      <c r="E1051">
        <v>4241.3</v>
      </c>
      <c r="F1051" t="str">
        <v>B</v>
      </c>
    </row>
    <row r="1052" spans="1:6" x14ac:dyDescent="0.2">
      <c r="A1052" s="31">
        <v>45248</v>
      </c>
      <c r="B1052" t="str">
        <v>New_Campaign</v>
      </c>
      <c r="C1052">
        <v>1153</v>
      </c>
      <c r="D1052">
        <v>255</v>
      </c>
      <c r="E1052">
        <v>4244.8599999999997</v>
      </c>
      <c r="F1052" t="str">
        <v>B</v>
      </c>
    </row>
    <row r="1053" spans="1:6" x14ac:dyDescent="0.2">
      <c r="A1053" s="31">
        <v>45249</v>
      </c>
      <c r="B1053" t="str">
        <v>New_Campaign</v>
      </c>
      <c r="C1053">
        <v>1108</v>
      </c>
      <c r="D1053">
        <v>244</v>
      </c>
      <c r="E1053">
        <v>4067.63</v>
      </c>
      <c r="F1053" t="str">
        <v>B</v>
      </c>
    </row>
    <row r="1054" spans="1:6" x14ac:dyDescent="0.2">
      <c r="A1054" s="31">
        <v>45250</v>
      </c>
      <c r="B1054" t="str">
        <v>New_Campaign</v>
      </c>
      <c r="C1054">
        <v>1168</v>
      </c>
      <c r="D1054">
        <v>271</v>
      </c>
      <c r="E1054">
        <v>3694.77</v>
      </c>
      <c r="F1054" t="str">
        <v>B</v>
      </c>
    </row>
    <row r="1055" spans="1:6" x14ac:dyDescent="0.2">
      <c r="A1055" s="31">
        <v>45251</v>
      </c>
      <c r="B1055" t="str">
        <v>New_Campaign</v>
      </c>
      <c r="C1055">
        <v>1115</v>
      </c>
      <c r="D1055">
        <v>264</v>
      </c>
      <c r="E1055">
        <v>4115.8</v>
      </c>
      <c r="F1055" t="str">
        <v>B</v>
      </c>
    </row>
    <row r="1056" spans="1:6" x14ac:dyDescent="0.2">
      <c r="A1056" s="31">
        <v>45252</v>
      </c>
      <c r="B1056" t="str">
        <v>New_Campaign</v>
      </c>
      <c r="C1056">
        <v>1170</v>
      </c>
      <c r="D1056">
        <v>246</v>
      </c>
      <c r="E1056">
        <v>3936.89</v>
      </c>
      <c r="F1056" t="str">
        <v>B</v>
      </c>
    </row>
    <row r="1057" spans="1:6" x14ac:dyDescent="0.2">
      <c r="A1057" s="31">
        <v>45253</v>
      </c>
      <c r="B1057" t="str">
        <v>New_Campaign</v>
      </c>
      <c r="C1057">
        <v>1114</v>
      </c>
      <c r="D1057">
        <v>285</v>
      </c>
      <c r="E1057">
        <v>4217.57</v>
      </c>
      <c r="F1057" t="str">
        <v>B</v>
      </c>
    </row>
    <row r="1058" spans="1:6" x14ac:dyDescent="0.2">
      <c r="A1058" s="31">
        <v>45254</v>
      </c>
      <c r="B1058" t="str">
        <v>New_Campaign</v>
      </c>
      <c r="C1058">
        <v>1171</v>
      </c>
      <c r="D1058">
        <v>272</v>
      </c>
      <c r="E1058">
        <v>4925.71</v>
      </c>
      <c r="F1058" t="str">
        <v>B</v>
      </c>
    </row>
    <row r="1059" spans="1:6" x14ac:dyDescent="0.2">
      <c r="A1059" s="31">
        <v>45255</v>
      </c>
      <c r="B1059" t="str">
        <v>New_Campaign</v>
      </c>
      <c r="C1059">
        <v>1187</v>
      </c>
      <c r="D1059">
        <v>281</v>
      </c>
      <c r="E1059">
        <v>4361.8999999999996</v>
      </c>
      <c r="F1059" t="str">
        <v>B</v>
      </c>
    </row>
    <row r="1060" spans="1:6" x14ac:dyDescent="0.2">
      <c r="A1060" s="31">
        <v>45256</v>
      </c>
      <c r="B1060" t="str">
        <v>New_Campaign</v>
      </c>
      <c r="C1060">
        <v>1183</v>
      </c>
      <c r="D1060">
        <v>283</v>
      </c>
      <c r="E1060">
        <v>4164.7299999999996</v>
      </c>
      <c r="F1060" t="str">
        <v>B</v>
      </c>
    </row>
    <row r="1061" spans="1:6" x14ac:dyDescent="0.2">
      <c r="A1061" s="31">
        <v>45257</v>
      </c>
      <c r="B1061" t="str">
        <v>New_Campaign</v>
      </c>
      <c r="C1061">
        <v>1138</v>
      </c>
      <c r="D1061">
        <v>246</v>
      </c>
      <c r="E1061">
        <v>3407.99</v>
      </c>
      <c r="F1061" t="str">
        <v>B</v>
      </c>
    </row>
    <row r="1062" spans="1:6" x14ac:dyDescent="0.2">
      <c r="A1062" s="31">
        <v>45258</v>
      </c>
      <c r="B1062" t="str">
        <v>New_Campaign</v>
      </c>
      <c r="C1062">
        <v>1165</v>
      </c>
      <c r="D1062">
        <v>252</v>
      </c>
      <c r="E1062">
        <v>3346.14</v>
      </c>
      <c r="F1062" t="str">
        <v>B</v>
      </c>
    </row>
    <row r="1063" spans="1:6" x14ac:dyDescent="0.2">
      <c r="A1063" s="31">
        <v>45259</v>
      </c>
      <c r="B1063" t="str">
        <v>New_Campaign</v>
      </c>
      <c r="C1063">
        <v>1110</v>
      </c>
      <c r="D1063">
        <v>263</v>
      </c>
      <c r="E1063">
        <v>4031.52</v>
      </c>
      <c r="F1063" t="str">
        <v>B</v>
      </c>
    </row>
    <row r="1064" spans="1:6" x14ac:dyDescent="0.2">
      <c r="A1064" s="31">
        <v>45260</v>
      </c>
      <c r="B1064" t="str">
        <v>New_Campaign</v>
      </c>
      <c r="C1064">
        <v>1164</v>
      </c>
      <c r="D1064">
        <v>284</v>
      </c>
      <c r="E1064">
        <v>5081.68</v>
      </c>
      <c r="F1064" t="str">
        <v>B</v>
      </c>
    </row>
    <row r="1065" spans="1:6" x14ac:dyDescent="0.2">
      <c r="A1065" s="31">
        <v>45261</v>
      </c>
      <c r="B1065" t="str">
        <v>New_Campaign</v>
      </c>
      <c r="C1065">
        <v>1196</v>
      </c>
      <c r="D1065">
        <v>272</v>
      </c>
      <c r="E1065">
        <v>5121.2299999999996</v>
      </c>
      <c r="F1065" t="str">
        <v>B</v>
      </c>
    </row>
    <row r="1066" spans="1:6" x14ac:dyDescent="0.2">
      <c r="A1066" s="31">
        <v>45262</v>
      </c>
      <c r="B1066" t="str">
        <v>New_Campaign</v>
      </c>
      <c r="C1066">
        <v>1158</v>
      </c>
      <c r="D1066">
        <v>295</v>
      </c>
      <c r="E1066">
        <v>4776.32</v>
      </c>
      <c r="F1066" t="str">
        <v>B</v>
      </c>
    </row>
    <row r="1067" spans="1:6" x14ac:dyDescent="0.2">
      <c r="A1067" s="31">
        <v>45263</v>
      </c>
      <c r="B1067" t="str">
        <v>New_Campaign</v>
      </c>
      <c r="C1067">
        <v>1139</v>
      </c>
      <c r="D1067">
        <v>264</v>
      </c>
      <c r="E1067">
        <v>3948.97</v>
      </c>
      <c r="F1067" t="str">
        <v>B</v>
      </c>
    </row>
    <row r="1068" spans="1:6" x14ac:dyDescent="0.2">
      <c r="A1068" s="31">
        <v>45264</v>
      </c>
      <c r="B1068" t="str">
        <v>New_Campaign</v>
      </c>
      <c r="C1068">
        <v>1139</v>
      </c>
      <c r="D1068">
        <v>264</v>
      </c>
      <c r="E1068">
        <v>4677.17</v>
      </c>
      <c r="F1068" t="str">
        <v>B</v>
      </c>
    </row>
    <row r="1069" spans="1:6" x14ac:dyDescent="0.2">
      <c r="A1069" s="31">
        <v>45265</v>
      </c>
      <c r="B1069" t="str">
        <v>New_Campaign</v>
      </c>
      <c r="C1069">
        <v>1147</v>
      </c>
      <c r="D1069">
        <v>270</v>
      </c>
      <c r="E1069">
        <v>3357.66</v>
      </c>
      <c r="F1069" t="str">
        <v>B</v>
      </c>
    </row>
    <row r="1070" spans="1:6" x14ac:dyDescent="0.2">
      <c r="A1070" s="31">
        <v>45266</v>
      </c>
      <c r="B1070" t="str">
        <v>New_Campaign</v>
      </c>
      <c r="C1070">
        <v>1204</v>
      </c>
      <c r="D1070">
        <v>277</v>
      </c>
      <c r="E1070">
        <v>3899.73</v>
      </c>
      <c r="F1070" t="str">
        <v>B</v>
      </c>
    </row>
    <row r="1071" spans="1:6" x14ac:dyDescent="0.2">
      <c r="A1071" s="31">
        <v>45267</v>
      </c>
      <c r="B1071" t="str">
        <v>New_Campaign</v>
      </c>
      <c r="C1071">
        <v>1157</v>
      </c>
      <c r="D1071">
        <v>286</v>
      </c>
      <c r="E1071">
        <v>4441.8599999999997</v>
      </c>
      <c r="F1071" t="str">
        <v>B</v>
      </c>
    </row>
    <row r="1072" spans="1:6" x14ac:dyDescent="0.2">
      <c r="A1072" s="31">
        <v>45268</v>
      </c>
      <c r="B1072" t="str">
        <v>New_Campaign</v>
      </c>
      <c r="C1072">
        <v>1141</v>
      </c>
      <c r="D1072">
        <v>260</v>
      </c>
      <c r="E1072">
        <v>4473.97</v>
      </c>
      <c r="F1072" t="str">
        <v>B</v>
      </c>
    </row>
    <row r="1073" spans="1:6" x14ac:dyDescent="0.2">
      <c r="A1073" s="31">
        <v>45269</v>
      </c>
      <c r="B1073" t="str">
        <v>New_Campaign</v>
      </c>
      <c r="C1073">
        <v>1140</v>
      </c>
      <c r="D1073">
        <v>261</v>
      </c>
      <c r="E1073">
        <v>4303.3100000000004</v>
      </c>
      <c r="F1073" t="str">
        <v>B</v>
      </c>
    </row>
    <row r="1074" spans="1:6" x14ac:dyDescent="0.2">
      <c r="A1074" s="31">
        <v>45270</v>
      </c>
      <c r="B1074" t="str">
        <v>New_Campaign</v>
      </c>
      <c r="C1074">
        <v>1126</v>
      </c>
      <c r="D1074">
        <v>268</v>
      </c>
      <c r="E1074">
        <v>4390.62</v>
      </c>
      <c r="F1074" t="str">
        <v>B</v>
      </c>
    </row>
    <row r="1075" spans="1:6" x14ac:dyDescent="0.2">
      <c r="A1075" s="31">
        <v>45271</v>
      </c>
      <c r="B1075" t="str">
        <v>New_Campaign</v>
      </c>
      <c r="C1075">
        <v>1134</v>
      </c>
      <c r="D1075">
        <v>252</v>
      </c>
      <c r="E1075">
        <v>4087.65</v>
      </c>
      <c r="F1075" t="str">
        <v>B</v>
      </c>
    </row>
    <row r="1076" spans="1:6" x14ac:dyDescent="0.2">
      <c r="A1076" s="31">
        <v>45272</v>
      </c>
      <c r="B1076" t="str">
        <v>New_Campaign</v>
      </c>
      <c r="C1076">
        <v>1164</v>
      </c>
      <c r="D1076">
        <v>272</v>
      </c>
      <c r="E1076">
        <v>4374.6000000000004</v>
      </c>
      <c r="F1076" t="str">
        <v>B</v>
      </c>
    </row>
    <row r="1077" spans="1:6" x14ac:dyDescent="0.2">
      <c r="A1077" s="31">
        <v>45273</v>
      </c>
      <c r="B1077" t="str">
        <v>New_Campaign</v>
      </c>
      <c r="C1077">
        <v>1176</v>
      </c>
      <c r="D1077">
        <v>251</v>
      </c>
      <c r="E1077">
        <v>3974.27</v>
      </c>
      <c r="F1077" t="str">
        <v>B</v>
      </c>
    </row>
    <row r="1078" spans="1:6" x14ac:dyDescent="0.2">
      <c r="A1078" s="31">
        <v>45274</v>
      </c>
      <c r="B1078" t="str">
        <v>New_Campaign</v>
      </c>
      <c r="C1078">
        <v>1166</v>
      </c>
      <c r="D1078">
        <v>270</v>
      </c>
      <c r="E1078">
        <v>4151.0200000000004</v>
      </c>
      <c r="F1078" t="str">
        <v>B</v>
      </c>
    </row>
    <row r="1079" spans="1:6" x14ac:dyDescent="0.2">
      <c r="A1079" s="31">
        <v>45275</v>
      </c>
      <c r="B1079" t="str">
        <v>New_Campaign</v>
      </c>
      <c r="C1079">
        <v>1203</v>
      </c>
      <c r="D1079">
        <v>292</v>
      </c>
      <c r="E1079">
        <v>4742.2</v>
      </c>
      <c r="F1079" t="str">
        <v>B</v>
      </c>
    </row>
    <row r="1080" spans="1:6" x14ac:dyDescent="0.2">
      <c r="A1080" s="31">
        <v>45276</v>
      </c>
      <c r="B1080" t="str">
        <v>New_Campaign</v>
      </c>
      <c r="C1080">
        <v>1122</v>
      </c>
      <c r="D1080">
        <v>273</v>
      </c>
      <c r="E1080">
        <v>3449.65</v>
      </c>
      <c r="F1080" t="str">
        <v>B</v>
      </c>
    </row>
    <row r="1081" spans="1:6" x14ac:dyDescent="0.2">
      <c r="A1081" s="31">
        <v>45277</v>
      </c>
      <c r="B1081" t="str">
        <v>New_Campaign</v>
      </c>
      <c r="C1081">
        <v>1114</v>
      </c>
      <c r="D1081">
        <v>248</v>
      </c>
      <c r="E1081">
        <v>3414.24</v>
      </c>
      <c r="F1081" t="str">
        <v>B</v>
      </c>
    </row>
    <row r="1082" spans="1:6" x14ac:dyDescent="0.2">
      <c r="A1082" s="31">
        <v>45278</v>
      </c>
      <c r="B1082" t="str">
        <v>New_Campaign</v>
      </c>
      <c r="C1082">
        <v>1177</v>
      </c>
      <c r="D1082">
        <v>270</v>
      </c>
      <c r="E1082">
        <v>3613.87</v>
      </c>
      <c r="F1082" t="str">
        <v>B</v>
      </c>
    </row>
    <row r="1083" spans="1:6" x14ac:dyDescent="0.2">
      <c r="A1083" s="31">
        <v>45279</v>
      </c>
      <c r="B1083" t="str">
        <v>New_Campaign</v>
      </c>
      <c r="C1083">
        <v>1147</v>
      </c>
      <c r="D1083">
        <v>246</v>
      </c>
      <c r="E1083">
        <v>3375.58</v>
      </c>
      <c r="F1083" t="str">
        <v>B</v>
      </c>
    </row>
    <row r="1084" spans="1:6" x14ac:dyDescent="0.2">
      <c r="A1084" s="31">
        <v>45280</v>
      </c>
      <c r="B1084" t="str">
        <v>New_Campaign</v>
      </c>
      <c r="C1084">
        <v>1146</v>
      </c>
      <c r="D1084">
        <v>271</v>
      </c>
      <c r="E1084">
        <v>4444.8</v>
      </c>
      <c r="F1084" t="str">
        <v>B</v>
      </c>
    </row>
    <row r="1085" spans="1:6" x14ac:dyDescent="0.2">
      <c r="A1085" s="31">
        <v>45281</v>
      </c>
      <c r="B1085" t="str">
        <v>New_Campaign</v>
      </c>
      <c r="C1085">
        <v>1156</v>
      </c>
      <c r="D1085">
        <v>247</v>
      </c>
      <c r="E1085">
        <v>4872.91</v>
      </c>
      <c r="F1085" t="str">
        <v>B</v>
      </c>
    </row>
    <row r="1086" spans="1:6" x14ac:dyDescent="0.2">
      <c r="A1086" s="31">
        <v>45282</v>
      </c>
      <c r="B1086" t="str">
        <v>New_Campaign</v>
      </c>
      <c r="C1086">
        <v>1128</v>
      </c>
      <c r="D1086">
        <v>270</v>
      </c>
      <c r="E1086">
        <v>4058.65</v>
      </c>
      <c r="F1086" t="str">
        <v>B</v>
      </c>
    </row>
    <row r="1087" spans="1:6" x14ac:dyDescent="0.2">
      <c r="A1087" s="31">
        <v>45283</v>
      </c>
      <c r="B1087" t="str">
        <v>New_Campaign</v>
      </c>
      <c r="C1087">
        <v>1215</v>
      </c>
      <c r="D1087">
        <v>273</v>
      </c>
      <c r="E1087">
        <v>3802.16</v>
      </c>
      <c r="F1087" t="str">
        <v>B</v>
      </c>
    </row>
    <row r="1088" spans="1:6" x14ac:dyDescent="0.2">
      <c r="A1088" s="31">
        <v>45284</v>
      </c>
      <c r="B1088" t="str">
        <v>New_Campaign</v>
      </c>
      <c r="C1088">
        <v>1130</v>
      </c>
      <c r="D1088">
        <v>286</v>
      </c>
      <c r="E1088">
        <v>3527.43</v>
      </c>
      <c r="F1088" t="str">
        <v>B</v>
      </c>
    </row>
    <row r="1089" spans="1:6" x14ac:dyDescent="0.2">
      <c r="A1089" s="31">
        <v>45285</v>
      </c>
      <c r="B1089" t="str">
        <v>New_Campaign</v>
      </c>
      <c r="C1089">
        <v>1145</v>
      </c>
      <c r="D1089">
        <v>235</v>
      </c>
      <c r="E1089">
        <v>3689.43</v>
      </c>
      <c r="F1089" t="str">
        <v>B</v>
      </c>
    </row>
    <row r="1090" spans="1:6" x14ac:dyDescent="0.2">
      <c r="A1090" s="31">
        <v>45286</v>
      </c>
      <c r="B1090" t="str">
        <v>New_Campaign</v>
      </c>
      <c r="C1090">
        <v>1133</v>
      </c>
      <c r="D1090">
        <v>274</v>
      </c>
      <c r="E1090">
        <v>4962.5200000000004</v>
      </c>
      <c r="F1090" t="str">
        <v>B</v>
      </c>
    </row>
    <row r="1091" spans="1:6" x14ac:dyDescent="0.2">
      <c r="A1091" s="31">
        <v>45287</v>
      </c>
      <c r="B1091" t="str">
        <v>New_Campaign</v>
      </c>
      <c r="C1091">
        <v>1134</v>
      </c>
      <c r="D1091">
        <v>267</v>
      </c>
      <c r="E1091">
        <v>4334.3</v>
      </c>
      <c r="F1091" t="str">
        <v>B</v>
      </c>
    </row>
    <row r="1092" spans="1:6" x14ac:dyDescent="0.2">
      <c r="A1092" s="31">
        <v>45288</v>
      </c>
      <c r="B1092" t="str">
        <v>New_Campaign</v>
      </c>
      <c r="C1092">
        <v>1162</v>
      </c>
      <c r="D1092">
        <v>284</v>
      </c>
      <c r="E1092">
        <v>4856.16</v>
      </c>
      <c r="F1092" t="str">
        <v>B</v>
      </c>
    </row>
    <row r="1093" spans="1:6" x14ac:dyDescent="0.2">
      <c r="A1093" s="31">
        <v>45289</v>
      </c>
      <c r="B1093" t="str">
        <v>New_Campaign</v>
      </c>
      <c r="C1093">
        <v>1166</v>
      </c>
      <c r="D1093">
        <v>247</v>
      </c>
      <c r="E1093">
        <v>3416.9</v>
      </c>
      <c r="F1093" t="str">
        <v>B</v>
      </c>
    </row>
    <row r="1094" spans="1:6" x14ac:dyDescent="0.2">
      <c r="A1094" s="31">
        <v>45290</v>
      </c>
      <c r="B1094" t="str">
        <v>New_Campaign</v>
      </c>
      <c r="C1094">
        <v>1193</v>
      </c>
      <c r="D1094">
        <v>276</v>
      </c>
      <c r="E1094">
        <v>4728.2299999999996</v>
      </c>
      <c r="F1094" t="str">
        <v>B</v>
      </c>
    </row>
    <row r="1095" spans="1:6" x14ac:dyDescent="0.2">
      <c r="A1095" s="31">
        <v>45291</v>
      </c>
      <c r="B1095" t="str">
        <v>New_Campaign</v>
      </c>
      <c r="C1095">
        <v>1139</v>
      </c>
      <c r="D1095">
        <v>250</v>
      </c>
      <c r="E1095">
        <v>4598.3100000000004</v>
      </c>
      <c r="F1095" t="str">
        <v>B</v>
      </c>
    </row>
    <row r="1096" spans="1:6" x14ac:dyDescent="0.2">
      <c r="A1096" s="31">
        <v>45292</v>
      </c>
      <c r="B1096" t="str">
        <v>New_Campaign</v>
      </c>
      <c r="C1096">
        <v>1144</v>
      </c>
      <c r="D1096">
        <v>268</v>
      </c>
      <c r="E1096">
        <v>3770.74</v>
      </c>
      <c r="F1096" t="str">
        <v>B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78D3-CE71-1B42-AB75-4BB721180B94}">
  <dimension ref="A1:E1097"/>
  <sheetViews>
    <sheetView workbookViewId="0">
      <selection activeCell="A2" sqref="A2"/>
    </sheetView>
  </sheetViews>
  <sheetFormatPr baseColWidth="10" defaultRowHeight="16" x14ac:dyDescent="0.2"/>
  <cols>
    <col min="1" max="1" width="10.83203125" style="31"/>
    <col min="2" max="2" width="10.83203125" style="2"/>
    <col min="3" max="3" width="13.83203125" style="2" customWidth="1"/>
    <col min="4" max="4" width="10.83203125" style="3"/>
    <col min="5" max="5" width="12" style="7" customWidth="1"/>
  </cols>
  <sheetData>
    <row r="1" spans="1:5" x14ac:dyDescent="0.2">
      <c r="A1" s="31" t="s">
        <v>0</v>
      </c>
      <c r="B1" s="2" t="s">
        <v>2</v>
      </c>
      <c r="C1" s="2" t="s">
        <v>3</v>
      </c>
      <c r="D1" s="3" t="s">
        <v>4</v>
      </c>
      <c r="E1" s="32" t="s">
        <v>1</v>
      </c>
    </row>
    <row r="2" spans="1:5" x14ac:dyDescent="0.2">
      <c r="A2" s="31">
        <v>44197</v>
      </c>
      <c r="B2" s="2">
        <v>1160</v>
      </c>
      <c r="C2" s="2">
        <v>241</v>
      </c>
      <c r="D2" s="3">
        <v>3743.15</v>
      </c>
      <c r="E2" s="7" t="s">
        <v>12</v>
      </c>
    </row>
    <row r="3" spans="1:5" x14ac:dyDescent="0.2">
      <c r="A3" s="31">
        <v>44198</v>
      </c>
      <c r="B3" s="2">
        <v>1143</v>
      </c>
      <c r="C3" s="2">
        <v>285</v>
      </c>
      <c r="D3" s="3">
        <v>3469.43</v>
      </c>
      <c r="E3" s="7" t="s">
        <v>12</v>
      </c>
    </row>
    <row r="4" spans="1:5" x14ac:dyDescent="0.2">
      <c r="A4" s="31">
        <v>44199</v>
      </c>
      <c r="B4" s="2">
        <v>1159</v>
      </c>
      <c r="C4" s="2">
        <v>287</v>
      </c>
      <c r="D4" s="3">
        <v>3774.19</v>
      </c>
      <c r="E4" s="7" t="s">
        <v>12</v>
      </c>
    </row>
    <row r="5" spans="1:5" x14ac:dyDescent="0.2">
      <c r="A5" s="31">
        <v>44200</v>
      </c>
      <c r="B5" s="2">
        <v>1125</v>
      </c>
      <c r="C5" s="2">
        <v>257</v>
      </c>
      <c r="D5" s="3">
        <v>3568.34</v>
      </c>
      <c r="E5" s="7" t="s">
        <v>12</v>
      </c>
    </row>
    <row r="6" spans="1:5" x14ac:dyDescent="0.2">
      <c r="A6" s="31">
        <v>44201</v>
      </c>
      <c r="B6" s="2">
        <v>1095</v>
      </c>
      <c r="C6" s="2">
        <v>245</v>
      </c>
      <c r="D6" s="3">
        <v>4003.97</v>
      </c>
      <c r="E6" s="7" t="s">
        <v>12</v>
      </c>
    </row>
    <row r="7" spans="1:5" x14ac:dyDescent="0.2">
      <c r="A7" s="31">
        <v>44202</v>
      </c>
      <c r="B7" s="2">
        <v>1108</v>
      </c>
      <c r="C7" s="2">
        <v>231</v>
      </c>
      <c r="D7" s="3">
        <v>2881.48</v>
      </c>
      <c r="E7" s="7" t="s">
        <v>12</v>
      </c>
    </row>
    <row r="8" spans="1:5" x14ac:dyDescent="0.2">
      <c r="A8" s="31">
        <v>44203</v>
      </c>
      <c r="B8" s="2">
        <v>1178</v>
      </c>
      <c r="C8" s="2">
        <v>283</v>
      </c>
      <c r="D8" s="3">
        <v>5055.1000000000004</v>
      </c>
      <c r="E8" s="7" t="s">
        <v>12</v>
      </c>
    </row>
    <row r="9" spans="1:5" x14ac:dyDescent="0.2">
      <c r="A9" s="31">
        <v>44204</v>
      </c>
      <c r="B9" s="2">
        <v>1173</v>
      </c>
      <c r="C9" s="2">
        <v>255</v>
      </c>
      <c r="D9" s="3">
        <v>3469.93</v>
      </c>
      <c r="E9" s="7" t="s">
        <v>12</v>
      </c>
    </row>
    <row r="10" spans="1:5" x14ac:dyDescent="0.2">
      <c r="A10" s="31">
        <v>44205</v>
      </c>
      <c r="B10" s="2">
        <v>1131</v>
      </c>
      <c r="C10" s="2">
        <v>284</v>
      </c>
      <c r="D10" s="3">
        <v>4374.16</v>
      </c>
      <c r="E10" s="7" t="s">
        <v>12</v>
      </c>
    </row>
    <row r="11" spans="1:5" x14ac:dyDescent="0.2">
      <c r="A11" s="31">
        <v>44206</v>
      </c>
      <c r="B11" s="2">
        <v>1213</v>
      </c>
      <c r="C11" s="2">
        <v>282</v>
      </c>
      <c r="D11" s="3">
        <v>4229.01</v>
      </c>
      <c r="E11" s="7" t="s">
        <v>12</v>
      </c>
    </row>
    <row r="12" spans="1:5" x14ac:dyDescent="0.2">
      <c r="A12" s="31">
        <v>44207</v>
      </c>
      <c r="B12" s="2">
        <v>1121</v>
      </c>
      <c r="C12" s="2">
        <v>244</v>
      </c>
      <c r="D12" s="3">
        <v>3744.1</v>
      </c>
      <c r="E12" s="7" t="s">
        <v>12</v>
      </c>
    </row>
    <row r="13" spans="1:5" x14ac:dyDescent="0.2">
      <c r="A13" s="31">
        <v>44208</v>
      </c>
      <c r="B13" s="2">
        <v>1152</v>
      </c>
      <c r="C13" s="2">
        <v>254</v>
      </c>
      <c r="D13" s="3">
        <v>4269.26</v>
      </c>
      <c r="E13" s="7" t="s">
        <v>12</v>
      </c>
    </row>
    <row r="14" spans="1:5" x14ac:dyDescent="0.2">
      <c r="A14" s="31">
        <v>44209</v>
      </c>
      <c r="B14" s="2">
        <v>1075</v>
      </c>
      <c r="C14" s="2">
        <v>270</v>
      </c>
      <c r="D14" s="3">
        <v>5650.15</v>
      </c>
      <c r="E14" s="7" t="s">
        <v>12</v>
      </c>
    </row>
    <row r="15" spans="1:5" x14ac:dyDescent="0.2">
      <c r="A15" s="31">
        <v>44210</v>
      </c>
      <c r="B15" s="2">
        <v>1163</v>
      </c>
      <c r="C15" s="2">
        <v>248</v>
      </c>
      <c r="D15" s="3">
        <v>3272.68</v>
      </c>
      <c r="E15" s="7" t="s">
        <v>12</v>
      </c>
    </row>
    <row r="16" spans="1:5" x14ac:dyDescent="0.2">
      <c r="A16" s="31">
        <v>44211</v>
      </c>
      <c r="B16" s="2">
        <v>1164</v>
      </c>
      <c r="C16" s="2">
        <v>247</v>
      </c>
      <c r="D16" s="3">
        <v>3985.87</v>
      </c>
      <c r="E16" s="7" t="s">
        <v>12</v>
      </c>
    </row>
    <row r="17" spans="1:5" x14ac:dyDescent="0.2">
      <c r="A17" s="31">
        <v>44212</v>
      </c>
      <c r="B17" s="2">
        <v>1185</v>
      </c>
      <c r="C17" s="2">
        <v>288</v>
      </c>
      <c r="D17" s="3">
        <v>3899.02</v>
      </c>
      <c r="E17" s="7" t="s">
        <v>12</v>
      </c>
    </row>
    <row r="18" spans="1:5" x14ac:dyDescent="0.2">
      <c r="A18" s="31">
        <v>44213</v>
      </c>
      <c r="B18" s="2">
        <v>1198</v>
      </c>
      <c r="C18" s="2">
        <v>300</v>
      </c>
      <c r="D18" s="3">
        <v>4978.1899999999996</v>
      </c>
      <c r="E18" s="7" t="s">
        <v>12</v>
      </c>
    </row>
    <row r="19" spans="1:5" x14ac:dyDescent="0.2">
      <c r="A19" s="31">
        <v>44214</v>
      </c>
      <c r="B19" s="2">
        <v>1155</v>
      </c>
      <c r="C19" s="2">
        <v>286</v>
      </c>
      <c r="D19" s="3">
        <v>4167.3900000000003</v>
      </c>
      <c r="E19" s="7" t="s">
        <v>12</v>
      </c>
    </row>
    <row r="20" spans="1:5" x14ac:dyDescent="0.2">
      <c r="A20" s="31">
        <v>44215</v>
      </c>
      <c r="B20" s="2">
        <v>1166</v>
      </c>
      <c r="C20" s="2">
        <v>262</v>
      </c>
      <c r="D20" s="3">
        <v>4408.3</v>
      </c>
      <c r="E20" s="7" t="s">
        <v>12</v>
      </c>
    </row>
    <row r="21" spans="1:5" x14ac:dyDescent="0.2">
      <c r="A21" s="31">
        <v>44216</v>
      </c>
      <c r="B21" s="2">
        <v>1182</v>
      </c>
      <c r="C21" s="2">
        <v>283</v>
      </c>
      <c r="D21" s="3">
        <v>4996.1899999999996</v>
      </c>
      <c r="E21" s="7" t="s">
        <v>12</v>
      </c>
    </row>
    <row r="22" spans="1:5" x14ac:dyDescent="0.2">
      <c r="A22" s="31">
        <v>44217</v>
      </c>
      <c r="B22" s="2">
        <v>1206</v>
      </c>
      <c r="C22" s="2">
        <v>251</v>
      </c>
      <c r="D22" s="3">
        <v>4258.2</v>
      </c>
      <c r="E22" s="7" t="s">
        <v>12</v>
      </c>
    </row>
    <row r="23" spans="1:5" x14ac:dyDescent="0.2">
      <c r="A23" s="31">
        <v>44218</v>
      </c>
      <c r="B23" s="2">
        <v>1190</v>
      </c>
      <c r="C23" s="2">
        <v>264</v>
      </c>
      <c r="D23" s="3">
        <v>3424.16</v>
      </c>
      <c r="E23" s="7" t="s">
        <v>12</v>
      </c>
    </row>
    <row r="24" spans="1:5" x14ac:dyDescent="0.2">
      <c r="A24" s="31">
        <v>44219</v>
      </c>
      <c r="B24" s="2">
        <v>1196</v>
      </c>
      <c r="C24" s="2">
        <v>282</v>
      </c>
      <c r="D24" s="3">
        <v>3867.36</v>
      </c>
      <c r="E24" s="7" t="s">
        <v>12</v>
      </c>
    </row>
    <row r="25" spans="1:5" x14ac:dyDescent="0.2">
      <c r="A25" s="31">
        <v>44220</v>
      </c>
      <c r="B25" s="2">
        <v>1170</v>
      </c>
      <c r="C25" s="2">
        <v>289</v>
      </c>
      <c r="D25" s="3">
        <v>5280.36</v>
      </c>
      <c r="E25" s="7" t="s">
        <v>12</v>
      </c>
    </row>
    <row r="26" spans="1:5" x14ac:dyDescent="0.2">
      <c r="A26" s="31">
        <v>44221</v>
      </c>
      <c r="B26" s="2">
        <v>1128</v>
      </c>
      <c r="C26" s="2">
        <v>259</v>
      </c>
      <c r="D26" s="3">
        <v>3176.76</v>
      </c>
      <c r="E26" s="7" t="s">
        <v>12</v>
      </c>
    </row>
    <row r="27" spans="1:5" x14ac:dyDescent="0.2">
      <c r="A27" s="31">
        <v>44222</v>
      </c>
      <c r="B27" s="2">
        <v>1162</v>
      </c>
      <c r="C27" s="2">
        <v>255</v>
      </c>
      <c r="D27" s="3">
        <v>4426.59</v>
      </c>
      <c r="E27" s="7" t="s">
        <v>12</v>
      </c>
    </row>
    <row r="28" spans="1:5" x14ac:dyDescent="0.2">
      <c r="A28" s="31">
        <v>44223</v>
      </c>
      <c r="B28" s="2">
        <v>1144</v>
      </c>
      <c r="C28" s="2">
        <v>238</v>
      </c>
      <c r="D28" s="3">
        <v>4213.76</v>
      </c>
      <c r="E28" s="7" t="s">
        <v>12</v>
      </c>
    </row>
    <row r="29" spans="1:5" x14ac:dyDescent="0.2">
      <c r="A29" s="31">
        <v>44224</v>
      </c>
      <c r="B29" s="2">
        <v>1155</v>
      </c>
      <c r="C29" s="2">
        <v>239</v>
      </c>
      <c r="D29" s="3">
        <v>3511.71</v>
      </c>
      <c r="E29" s="7" t="s">
        <v>12</v>
      </c>
    </row>
    <row r="30" spans="1:5" x14ac:dyDescent="0.2">
      <c r="A30" s="31">
        <v>44225</v>
      </c>
      <c r="B30" s="2">
        <v>1069</v>
      </c>
      <c r="C30" s="2">
        <v>263</v>
      </c>
      <c r="D30" s="3">
        <v>3835.77</v>
      </c>
      <c r="E30" s="7" t="s">
        <v>12</v>
      </c>
    </row>
    <row r="31" spans="1:5" x14ac:dyDescent="0.2">
      <c r="A31" s="31">
        <v>44226</v>
      </c>
      <c r="B31" s="2">
        <v>1163</v>
      </c>
      <c r="C31" s="2">
        <v>266</v>
      </c>
      <c r="D31" s="3">
        <v>3495.16</v>
      </c>
      <c r="E31" s="7" t="s">
        <v>12</v>
      </c>
    </row>
    <row r="32" spans="1:5" x14ac:dyDescent="0.2">
      <c r="A32" s="31">
        <v>44227</v>
      </c>
      <c r="B32" s="2">
        <v>1219</v>
      </c>
      <c r="C32" s="2">
        <v>278</v>
      </c>
      <c r="D32" s="3">
        <v>4114.28</v>
      </c>
      <c r="E32" s="7" t="s">
        <v>12</v>
      </c>
    </row>
    <row r="33" spans="1:5" x14ac:dyDescent="0.2">
      <c r="A33" s="31">
        <v>44228</v>
      </c>
      <c r="B33" s="2">
        <v>1088</v>
      </c>
      <c r="C33" s="2">
        <v>261</v>
      </c>
      <c r="D33" s="3">
        <v>3850.95</v>
      </c>
      <c r="E33" s="7" t="s">
        <v>12</v>
      </c>
    </row>
    <row r="34" spans="1:5" x14ac:dyDescent="0.2">
      <c r="A34" s="31">
        <v>44229</v>
      </c>
      <c r="B34" s="2">
        <v>1174</v>
      </c>
      <c r="C34" s="2">
        <v>277</v>
      </c>
      <c r="D34" s="3">
        <v>4602.24</v>
      </c>
      <c r="E34" s="7" t="s">
        <v>12</v>
      </c>
    </row>
    <row r="35" spans="1:5" x14ac:dyDescent="0.2">
      <c r="A35" s="31">
        <v>44230</v>
      </c>
      <c r="B35" s="2">
        <v>1192</v>
      </c>
      <c r="C35" s="2">
        <v>253</v>
      </c>
      <c r="D35" s="3">
        <v>3945.69</v>
      </c>
      <c r="E35" s="7" t="s">
        <v>12</v>
      </c>
    </row>
    <row r="36" spans="1:5" x14ac:dyDescent="0.2">
      <c r="A36" s="31">
        <v>44231</v>
      </c>
      <c r="B36" s="2">
        <v>1227</v>
      </c>
      <c r="C36" s="2">
        <v>297</v>
      </c>
      <c r="D36" s="3">
        <v>4674.7</v>
      </c>
      <c r="E36" s="7" t="s">
        <v>12</v>
      </c>
    </row>
    <row r="37" spans="1:5" x14ac:dyDescent="0.2">
      <c r="A37" s="31">
        <v>44232</v>
      </c>
      <c r="B37" s="2">
        <v>1144</v>
      </c>
      <c r="C37" s="2">
        <v>275</v>
      </c>
      <c r="D37" s="3">
        <v>4027.56</v>
      </c>
      <c r="E37" s="7" t="s">
        <v>12</v>
      </c>
    </row>
    <row r="38" spans="1:5" x14ac:dyDescent="0.2">
      <c r="A38" s="31">
        <v>44233</v>
      </c>
      <c r="B38" s="2">
        <v>1088</v>
      </c>
      <c r="C38" s="2">
        <v>234</v>
      </c>
      <c r="D38" s="3">
        <v>3506.75</v>
      </c>
      <c r="E38" s="7" t="s">
        <v>12</v>
      </c>
    </row>
    <row r="39" spans="1:5" x14ac:dyDescent="0.2">
      <c r="A39" s="31">
        <v>44234</v>
      </c>
      <c r="B39" s="2">
        <v>1179</v>
      </c>
      <c r="C39" s="2">
        <v>264</v>
      </c>
      <c r="D39" s="3">
        <v>4111.3</v>
      </c>
      <c r="E39" s="7" t="s">
        <v>12</v>
      </c>
    </row>
    <row r="40" spans="1:5" x14ac:dyDescent="0.2">
      <c r="A40" s="31">
        <v>44235</v>
      </c>
      <c r="B40" s="2">
        <v>1175</v>
      </c>
      <c r="C40" s="2">
        <v>258</v>
      </c>
      <c r="D40" s="3">
        <v>3701.15</v>
      </c>
      <c r="E40" s="7" t="s">
        <v>12</v>
      </c>
    </row>
    <row r="41" spans="1:5" x14ac:dyDescent="0.2">
      <c r="A41" s="31">
        <v>44236</v>
      </c>
      <c r="B41" s="2">
        <v>1146</v>
      </c>
      <c r="C41" s="2">
        <v>263</v>
      </c>
      <c r="D41" s="3">
        <v>4712.58</v>
      </c>
      <c r="E41" s="7" t="s">
        <v>12</v>
      </c>
    </row>
    <row r="42" spans="1:5" x14ac:dyDescent="0.2">
      <c r="A42" s="31">
        <v>44237</v>
      </c>
      <c r="B42" s="2">
        <v>1146</v>
      </c>
      <c r="C42" s="2">
        <v>285</v>
      </c>
      <c r="D42" s="3">
        <v>4218.3500000000004</v>
      </c>
      <c r="E42" s="7" t="s">
        <v>12</v>
      </c>
    </row>
    <row r="43" spans="1:5" x14ac:dyDescent="0.2">
      <c r="A43" s="31">
        <v>44238</v>
      </c>
      <c r="B43" s="2">
        <v>1205</v>
      </c>
      <c r="C43" s="2">
        <v>246</v>
      </c>
      <c r="D43" s="3">
        <v>4178.0200000000004</v>
      </c>
      <c r="E43" s="7" t="s">
        <v>12</v>
      </c>
    </row>
    <row r="44" spans="1:5" x14ac:dyDescent="0.2">
      <c r="A44" s="31">
        <v>44239</v>
      </c>
      <c r="B44" s="2">
        <v>1159</v>
      </c>
      <c r="C44" s="2">
        <v>295</v>
      </c>
      <c r="D44" s="3">
        <v>4443.1899999999996</v>
      </c>
      <c r="E44" s="7" t="s">
        <v>12</v>
      </c>
    </row>
    <row r="45" spans="1:5" x14ac:dyDescent="0.2">
      <c r="A45" s="31">
        <v>44240</v>
      </c>
      <c r="B45" s="2">
        <v>1190</v>
      </c>
      <c r="C45" s="2">
        <v>289</v>
      </c>
      <c r="D45" s="3">
        <v>4651.1499999999996</v>
      </c>
      <c r="E45" s="7" t="s">
        <v>12</v>
      </c>
    </row>
    <row r="46" spans="1:5" x14ac:dyDescent="0.2">
      <c r="A46" s="31">
        <v>44241</v>
      </c>
      <c r="B46" s="2">
        <v>1102</v>
      </c>
      <c r="C46" s="2">
        <v>254</v>
      </c>
      <c r="D46" s="3">
        <v>4713.0600000000004</v>
      </c>
      <c r="E46" s="7" t="s">
        <v>12</v>
      </c>
    </row>
    <row r="47" spans="1:5" x14ac:dyDescent="0.2">
      <c r="A47" s="31">
        <v>44242</v>
      </c>
      <c r="B47" s="2">
        <v>1107</v>
      </c>
      <c r="C47" s="2">
        <v>247</v>
      </c>
      <c r="D47" s="3">
        <v>4431.96</v>
      </c>
      <c r="E47" s="7" t="s">
        <v>12</v>
      </c>
    </row>
    <row r="48" spans="1:5" x14ac:dyDescent="0.2">
      <c r="A48" s="31">
        <v>44243</v>
      </c>
      <c r="B48" s="2">
        <v>1139</v>
      </c>
      <c r="C48" s="2">
        <v>285</v>
      </c>
      <c r="D48" s="3">
        <v>3557.52</v>
      </c>
      <c r="E48" s="7" t="s">
        <v>12</v>
      </c>
    </row>
    <row r="49" spans="1:5" x14ac:dyDescent="0.2">
      <c r="A49" s="31">
        <v>44244</v>
      </c>
      <c r="B49" s="2">
        <v>1146</v>
      </c>
      <c r="C49" s="2">
        <v>275</v>
      </c>
      <c r="D49" s="3">
        <v>4369.45</v>
      </c>
      <c r="E49" s="7" t="s">
        <v>12</v>
      </c>
    </row>
    <row r="50" spans="1:5" x14ac:dyDescent="0.2">
      <c r="A50" s="31">
        <v>44245</v>
      </c>
      <c r="B50" s="2">
        <v>1115</v>
      </c>
      <c r="C50" s="2">
        <v>277</v>
      </c>
      <c r="D50" s="3">
        <v>3911.31</v>
      </c>
      <c r="E50" s="7" t="s">
        <v>12</v>
      </c>
    </row>
    <row r="51" spans="1:5" x14ac:dyDescent="0.2">
      <c r="A51" s="31">
        <v>44246</v>
      </c>
      <c r="B51" s="2">
        <v>1114</v>
      </c>
      <c r="C51" s="2">
        <v>248</v>
      </c>
      <c r="D51" s="3">
        <v>3574.74</v>
      </c>
      <c r="E51" s="7" t="s">
        <v>12</v>
      </c>
    </row>
    <row r="52" spans="1:5" x14ac:dyDescent="0.2">
      <c r="A52" s="31">
        <v>44247</v>
      </c>
      <c r="B52" s="2">
        <v>1195</v>
      </c>
      <c r="C52" s="2">
        <v>270</v>
      </c>
      <c r="D52" s="3">
        <v>4435.55</v>
      </c>
      <c r="E52" s="7" t="s">
        <v>12</v>
      </c>
    </row>
    <row r="53" spans="1:5" x14ac:dyDescent="0.2">
      <c r="A53" s="31">
        <v>44248</v>
      </c>
      <c r="B53" s="2">
        <v>1161</v>
      </c>
      <c r="C53" s="2">
        <v>266</v>
      </c>
      <c r="D53" s="3">
        <v>3031.38</v>
      </c>
      <c r="E53" s="7" t="s">
        <v>12</v>
      </c>
    </row>
    <row r="54" spans="1:5" x14ac:dyDescent="0.2">
      <c r="A54" s="31">
        <v>44249</v>
      </c>
      <c r="B54" s="2">
        <v>1153</v>
      </c>
      <c r="C54" s="2">
        <v>266</v>
      </c>
      <c r="D54" s="3">
        <v>3747.65</v>
      </c>
      <c r="E54" s="7" t="s">
        <v>12</v>
      </c>
    </row>
    <row r="55" spans="1:5" x14ac:dyDescent="0.2">
      <c r="A55" s="31">
        <v>44250</v>
      </c>
      <c r="B55" s="2">
        <v>1181</v>
      </c>
      <c r="C55" s="2">
        <v>259</v>
      </c>
      <c r="D55" s="3">
        <v>4600.6899999999996</v>
      </c>
      <c r="E55" s="7" t="s">
        <v>12</v>
      </c>
    </row>
    <row r="56" spans="1:5" x14ac:dyDescent="0.2">
      <c r="A56" s="31">
        <v>44251</v>
      </c>
      <c r="B56" s="2">
        <v>1164</v>
      </c>
      <c r="C56" s="2">
        <v>255</v>
      </c>
      <c r="D56" s="3">
        <v>3374.77</v>
      </c>
      <c r="E56" s="7" t="s">
        <v>12</v>
      </c>
    </row>
    <row r="57" spans="1:5" x14ac:dyDescent="0.2">
      <c r="A57" s="31">
        <v>44252</v>
      </c>
      <c r="B57" s="2">
        <v>1116</v>
      </c>
      <c r="C57" s="2">
        <v>239</v>
      </c>
      <c r="D57" s="3">
        <v>3591.15</v>
      </c>
      <c r="E57" s="7" t="s">
        <v>12</v>
      </c>
    </row>
    <row r="58" spans="1:5" x14ac:dyDescent="0.2">
      <c r="A58" s="31">
        <v>44253</v>
      </c>
      <c r="B58" s="2">
        <v>1185</v>
      </c>
      <c r="C58" s="2">
        <v>260</v>
      </c>
      <c r="D58" s="3">
        <v>3688.07</v>
      </c>
      <c r="E58" s="7" t="s">
        <v>12</v>
      </c>
    </row>
    <row r="59" spans="1:5" x14ac:dyDescent="0.2">
      <c r="A59" s="31">
        <v>44254</v>
      </c>
      <c r="B59" s="2">
        <v>1132</v>
      </c>
      <c r="C59" s="2">
        <v>275</v>
      </c>
      <c r="D59" s="3">
        <v>4713.83</v>
      </c>
      <c r="E59" s="7" t="s">
        <v>12</v>
      </c>
    </row>
    <row r="60" spans="1:5" x14ac:dyDescent="0.2">
      <c r="A60" s="31">
        <v>44255</v>
      </c>
      <c r="B60" s="2">
        <v>1153</v>
      </c>
      <c r="C60" s="2">
        <v>275</v>
      </c>
      <c r="D60" s="3">
        <v>3733.94</v>
      </c>
      <c r="E60" s="7" t="s">
        <v>12</v>
      </c>
    </row>
    <row r="61" spans="1:5" x14ac:dyDescent="0.2">
      <c r="A61" s="31">
        <v>44256</v>
      </c>
      <c r="B61" s="2">
        <v>1147</v>
      </c>
      <c r="C61" s="2">
        <v>253</v>
      </c>
      <c r="D61" s="3">
        <v>4777.43</v>
      </c>
      <c r="E61" s="7" t="s">
        <v>12</v>
      </c>
    </row>
    <row r="62" spans="1:5" x14ac:dyDescent="0.2">
      <c r="A62" s="31">
        <v>44257</v>
      </c>
      <c r="B62" s="2">
        <v>1157</v>
      </c>
      <c r="C62" s="2">
        <v>250</v>
      </c>
      <c r="D62" s="3">
        <v>3922.16</v>
      </c>
      <c r="E62" s="7" t="s">
        <v>12</v>
      </c>
    </row>
    <row r="63" spans="1:5" x14ac:dyDescent="0.2">
      <c r="A63" s="31">
        <v>44258</v>
      </c>
      <c r="B63" s="2">
        <v>1136</v>
      </c>
      <c r="C63" s="2">
        <v>255</v>
      </c>
      <c r="D63" s="3">
        <v>5138.45</v>
      </c>
      <c r="E63" s="7" t="s">
        <v>12</v>
      </c>
    </row>
    <row r="64" spans="1:5" x14ac:dyDescent="0.2">
      <c r="A64" s="31">
        <v>44259</v>
      </c>
      <c r="B64" s="2">
        <v>1122</v>
      </c>
      <c r="C64" s="2">
        <v>259</v>
      </c>
      <c r="D64" s="3">
        <v>5012.3900000000003</v>
      </c>
      <c r="E64" s="7" t="s">
        <v>12</v>
      </c>
    </row>
    <row r="65" spans="1:5" x14ac:dyDescent="0.2">
      <c r="A65" s="31">
        <v>44260</v>
      </c>
      <c r="B65" s="2">
        <v>1108</v>
      </c>
      <c r="C65" s="2">
        <v>266</v>
      </c>
      <c r="D65" s="3">
        <v>4864.4799999999996</v>
      </c>
      <c r="E65" s="7" t="s">
        <v>12</v>
      </c>
    </row>
    <row r="66" spans="1:5" x14ac:dyDescent="0.2">
      <c r="A66" s="31">
        <v>44261</v>
      </c>
      <c r="B66" s="2">
        <v>1177</v>
      </c>
      <c r="C66" s="2">
        <v>261</v>
      </c>
      <c r="D66" s="3">
        <v>3729.12</v>
      </c>
      <c r="E66" s="7" t="s">
        <v>12</v>
      </c>
    </row>
    <row r="67" spans="1:5" x14ac:dyDescent="0.2">
      <c r="A67" s="31">
        <v>44262</v>
      </c>
      <c r="B67" s="2">
        <v>1122</v>
      </c>
      <c r="C67" s="2">
        <v>244</v>
      </c>
      <c r="D67" s="3">
        <v>4088.12</v>
      </c>
      <c r="E67" s="7" t="s">
        <v>12</v>
      </c>
    </row>
    <row r="68" spans="1:5" x14ac:dyDescent="0.2">
      <c r="A68" s="31">
        <v>44263</v>
      </c>
      <c r="B68" s="2">
        <v>1146</v>
      </c>
      <c r="C68" s="2">
        <v>253</v>
      </c>
      <c r="D68" s="3">
        <v>4805</v>
      </c>
      <c r="E68" s="7" t="s">
        <v>12</v>
      </c>
    </row>
    <row r="69" spans="1:5" x14ac:dyDescent="0.2">
      <c r="A69" s="31">
        <v>44264</v>
      </c>
      <c r="B69" s="2">
        <v>1170</v>
      </c>
      <c r="C69" s="2">
        <v>251</v>
      </c>
      <c r="D69" s="3">
        <v>4380.33</v>
      </c>
      <c r="E69" s="7" t="s">
        <v>12</v>
      </c>
    </row>
    <row r="70" spans="1:5" x14ac:dyDescent="0.2">
      <c r="A70" s="31">
        <v>44265</v>
      </c>
      <c r="B70" s="2">
        <v>1105</v>
      </c>
      <c r="C70" s="2">
        <v>268</v>
      </c>
      <c r="D70" s="3">
        <v>4220.58</v>
      </c>
      <c r="E70" s="7" t="s">
        <v>12</v>
      </c>
    </row>
    <row r="71" spans="1:5" x14ac:dyDescent="0.2">
      <c r="A71" s="31">
        <v>44266</v>
      </c>
      <c r="B71" s="2">
        <v>1154</v>
      </c>
      <c r="C71" s="2">
        <v>270</v>
      </c>
      <c r="D71" s="3">
        <v>3426.38</v>
      </c>
      <c r="E71" s="7" t="s">
        <v>12</v>
      </c>
    </row>
    <row r="72" spans="1:5" x14ac:dyDescent="0.2">
      <c r="A72" s="31">
        <v>44267</v>
      </c>
      <c r="B72" s="2">
        <v>1150</v>
      </c>
      <c r="C72" s="2">
        <v>289</v>
      </c>
      <c r="D72" s="3">
        <v>4466.37</v>
      </c>
      <c r="E72" s="7" t="s">
        <v>12</v>
      </c>
    </row>
    <row r="73" spans="1:5" x14ac:dyDescent="0.2">
      <c r="A73" s="31">
        <v>44268</v>
      </c>
      <c r="B73" s="2">
        <v>1150</v>
      </c>
      <c r="C73" s="2">
        <v>246</v>
      </c>
      <c r="D73" s="3">
        <v>3391.59</v>
      </c>
      <c r="E73" s="7" t="s">
        <v>12</v>
      </c>
    </row>
    <row r="74" spans="1:5" x14ac:dyDescent="0.2">
      <c r="A74" s="31">
        <v>44269</v>
      </c>
      <c r="B74" s="2">
        <v>1156</v>
      </c>
      <c r="C74" s="2">
        <v>263</v>
      </c>
      <c r="D74" s="3">
        <v>3922.16</v>
      </c>
      <c r="E74" s="7" t="s">
        <v>12</v>
      </c>
    </row>
    <row r="75" spans="1:5" x14ac:dyDescent="0.2">
      <c r="A75" s="31">
        <v>44270</v>
      </c>
      <c r="B75" s="2">
        <v>1138</v>
      </c>
      <c r="C75" s="2">
        <v>277</v>
      </c>
      <c r="D75" s="3">
        <v>4226.22</v>
      </c>
      <c r="E75" s="7" t="s">
        <v>12</v>
      </c>
    </row>
    <row r="76" spans="1:5" x14ac:dyDescent="0.2">
      <c r="A76" s="31">
        <v>44271</v>
      </c>
      <c r="B76" s="2">
        <v>1182</v>
      </c>
      <c r="C76" s="2">
        <v>293</v>
      </c>
      <c r="D76" s="3">
        <v>4026.38</v>
      </c>
      <c r="E76" s="7" t="s">
        <v>12</v>
      </c>
    </row>
    <row r="77" spans="1:5" x14ac:dyDescent="0.2">
      <c r="A77" s="31">
        <v>44272</v>
      </c>
      <c r="B77" s="2">
        <v>1129</v>
      </c>
      <c r="C77" s="2">
        <v>257</v>
      </c>
      <c r="D77" s="3">
        <v>4428.59</v>
      </c>
      <c r="E77" s="7" t="s">
        <v>12</v>
      </c>
    </row>
    <row r="78" spans="1:5" x14ac:dyDescent="0.2">
      <c r="A78" s="31">
        <v>44273</v>
      </c>
      <c r="B78" s="2">
        <v>1185</v>
      </c>
      <c r="C78" s="2">
        <v>272</v>
      </c>
      <c r="D78" s="3">
        <v>4251.41</v>
      </c>
      <c r="E78" s="7" t="s">
        <v>12</v>
      </c>
    </row>
    <row r="79" spans="1:5" x14ac:dyDescent="0.2">
      <c r="A79" s="31">
        <v>44274</v>
      </c>
      <c r="B79" s="2">
        <v>1129</v>
      </c>
      <c r="C79" s="2">
        <v>254</v>
      </c>
      <c r="D79" s="3">
        <v>4925.8</v>
      </c>
      <c r="E79" s="7" t="s">
        <v>12</v>
      </c>
    </row>
    <row r="80" spans="1:5" x14ac:dyDescent="0.2">
      <c r="A80" s="31">
        <v>44275</v>
      </c>
      <c r="B80" s="2">
        <v>1163</v>
      </c>
      <c r="C80" s="2">
        <v>250</v>
      </c>
      <c r="D80" s="3">
        <v>3144.92</v>
      </c>
      <c r="E80" s="7" t="s">
        <v>12</v>
      </c>
    </row>
    <row r="81" spans="1:5" x14ac:dyDescent="0.2">
      <c r="A81" s="31">
        <v>44276</v>
      </c>
      <c r="B81" s="2">
        <v>1127</v>
      </c>
      <c r="C81" s="2">
        <v>264</v>
      </c>
      <c r="D81" s="3">
        <v>3707.42</v>
      </c>
      <c r="E81" s="7" t="s">
        <v>12</v>
      </c>
    </row>
    <row r="82" spans="1:5" x14ac:dyDescent="0.2">
      <c r="A82" s="31">
        <v>44277</v>
      </c>
      <c r="B82" s="2">
        <v>1160</v>
      </c>
      <c r="C82" s="2">
        <v>249</v>
      </c>
      <c r="D82" s="3">
        <v>4473.38</v>
      </c>
      <c r="E82" s="7" t="s">
        <v>12</v>
      </c>
    </row>
    <row r="83" spans="1:5" x14ac:dyDescent="0.2">
      <c r="A83" s="31">
        <v>44278</v>
      </c>
      <c r="B83" s="2">
        <v>1093</v>
      </c>
      <c r="C83" s="2">
        <v>251</v>
      </c>
      <c r="D83" s="3">
        <v>3651.68</v>
      </c>
      <c r="E83" s="7" t="s">
        <v>12</v>
      </c>
    </row>
    <row r="84" spans="1:5" x14ac:dyDescent="0.2">
      <c r="A84" s="31">
        <v>44279</v>
      </c>
      <c r="B84" s="2">
        <v>1166</v>
      </c>
      <c r="C84" s="2">
        <v>255</v>
      </c>
      <c r="D84" s="3">
        <v>5422.51</v>
      </c>
      <c r="E84" s="7" t="s">
        <v>12</v>
      </c>
    </row>
    <row r="85" spans="1:5" x14ac:dyDescent="0.2">
      <c r="A85" s="31">
        <v>44280</v>
      </c>
      <c r="B85" s="2">
        <v>1100</v>
      </c>
      <c r="C85" s="2">
        <v>240</v>
      </c>
      <c r="D85" s="3">
        <v>3502.48</v>
      </c>
      <c r="E85" s="7" t="s">
        <v>12</v>
      </c>
    </row>
    <row r="86" spans="1:5" x14ac:dyDescent="0.2">
      <c r="A86" s="31">
        <v>44281</v>
      </c>
      <c r="B86" s="2">
        <v>1127</v>
      </c>
      <c r="C86" s="2">
        <v>272</v>
      </c>
      <c r="D86" s="3">
        <v>4881.07</v>
      </c>
      <c r="E86" s="7" t="s">
        <v>12</v>
      </c>
    </row>
    <row r="87" spans="1:5" x14ac:dyDescent="0.2">
      <c r="A87" s="31">
        <v>44282</v>
      </c>
      <c r="B87" s="2">
        <v>1183</v>
      </c>
      <c r="C87" s="2">
        <v>269</v>
      </c>
      <c r="D87" s="3">
        <v>4632.5</v>
      </c>
      <c r="E87" s="7" t="s">
        <v>12</v>
      </c>
    </row>
    <row r="88" spans="1:5" x14ac:dyDescent="0.2">
      <c r="A88" s="31">
        <v>44283</v>
      </c>
      <c r="B88" s="2">
        <v>1210</v>
      </c>
      <c r="C88" s="2">
        <v>244</v>
      </c>
      <c r="D88" s="3">
        <v>4417.9399999999996</v>
      </c>
      <c r="E88" s="7" t="s">
        <v>12</v>
      </c>
    </row>
    <row r="89" spans="1:5" x14ac:dyDescent="0.2">
      <c r="A89" s="31">
        <v>44284</v>
      </c>
      <c r="B89" s="2">
        <v>1122</v>
      </c>
      <c r="C89" s="2">
        <v>242</v>
      </c>
      <c r="D89" s="3">
        <v>3648.26</v>
      </c>
      <c r="E89" s="7" t="s">
        <v>12</v>
      </c>
    </row>
    <row r="90" spans="1:5" x14ac:dyDescent="0.2">
      <c r="A90" s="31">
        <v>44285</v>
      </c>
      <c r="B90" s="2">
        <v>1132</v>
      </c>
      <c r="C90" s="2">
        <v>269</v>
      </c>
      <c r="D90" s="3">
        <v>4409.75</v>
      </c>
      <c r="E90" s="7" t="s">
        <v>12</v>
      </c>
    </row>
    <row r="91" spans="1:5" x14ac:dyDescent="0.2">
      <c r="A91" s="31">
        <v>44286</v>
      </c>
      <c r="B91" s="2">
        <v>1148</v>
      </c>
      <c r="C91" s="2">
        <v>259</v>
      </c>
      <c r="D91" s="3">
        <v>4874.04</v>
      </c>
      <c r="E91" s="7" t="s">
        <v>12</v>
      </c>
    </row>
    <row r="92" spans="1:5" x14ac:dyDescent="0.2">
      <c r="A92" s="31">
        <v>44287</v>
      </c>
      <c r="B92" s="2">
        <v>1129</v>
      </c>
      <c r="C92" s="2">
        <v>260</v>
      </c>
      <c r="D92" s="3">
        <v>3682.3</v>
      </c>
      <c r="E92" s="7" t="s">
        <v>12</v>
      </c>
    </row>
    <row r="93" spans="1:5" x14ac:dyDescent="0.2">
      <c r="A93" s="31">
        <v>44288</v>
      </c>
      <c r="B93" s="2">
        <v>1222</v>
      </c>
      <c r="C93" s="2">
        <v>303</v>
      </c>
      <c r="D93" s="3">
        <v>4718.32</v>
      </c>
      <c r="E93" s="7" t="s">
        <v>12</v>
      </c>
    </row>
    <row r="94" spans="1:5" x14ac:dyDescent="0.2">
      <c r="A94" s="31">
        <v>44289</v>
      </c>
      <c r="B94" s="2">
        <v>1120</v>
      </c>
      <c r="C94" s="2">
        <v>233</v>
      </c>
      <c r="D94" s="3">
        <v>3480.56</v>
      </c>
      <c r="E94" s="7" t="s">
        <v>12</v>
      </c>
    </row>
    <row r="95" spans="1:5" x14ac:dyDescent="0.2">
      <c r="A95" s="31">
        <v>44290</v>
      </c>
      <c r="B95" s="2">
        <v>1185</v>
      </c>
      <c r="C95" s="2">
        <v>266</v>
      </c>
      <c r="D95" s="3">
        <v>4506.79</v>
      </c>
      <c r="E95" s="7" t="s">
        <v>12</v>
      </c>
    </row>
    <row r="96" spans="1:5" x14ac:dyDescent="0.2">
      <c r="A96" s="31">
        <v>44291</v>
      </c>
      <c r="B96" s="2">
        <v>1198</v>
      </c>
      <c r="C96" s="2">
        <v>288</v>
      </c>
      <c r="D96" s="3">
        <v>4384.68</v>
      </c>
      <c r="E96" s="7" t="s">
        <v>12</v>
      </c>
    </row>
    <row r="97" spans="1:5" x14ac:dyDescent="0.2">
      <c r="A97" s="31">
        <v>44292</v>
      </c>
      <c r="B97" s="2">
        <v>1092</v>
      </c>
      <c r="C97" s="2">
        <v>231</v>
      </c>
      <c r="D97" s="3">
        <v>4525.09</v>
      </c>
      <c r="E97" s="7" t="s">
        <v>12</v>
      </c>
    </row>
    <row r="98" spans="1:5" x14ac:dyDescent="0.2">
      <c r="A98" s="31">
        <v>44293</v>
      </c>
      <c r="B98" s="2">
        <v>1168</v>
      </c>
      <c r="C98" s="2">
        <v>255</v>
      </c>
      <c r="D98" s="3">
        <v>4612.5200000000004</v>
      </c>
      <c r="E98" s="7" t="s">
        <v>12</v>
      </c>
    </row>
    <row r="99" spans="1:5" x14ac:dyDescent="0.2">
      <c r="A99" s="31">
        <v>44294</v>
      </c>
      <c r="B99" s="2">
        <v>1134</v>
      </c>
      <c r="C99" s="2">
        <v>245</v>
      </c>
      <c r="D99" s="3">
        <v>3991.89</v>
      </c>
      <c r="E99" s="7" t="s">
        <v>12</v>
      </c>
    </row>
    <row r="100" spans="1:5" x14ac:dyDescent="0.2">
      <c r="A100" s="31">
        <v>44295</v>
      </c>
      <c r="B100" s="2">
        <v>1163</v>
      </c>
      <c r="C100" s="2">
        <v>279</v>
      </c>
      <c r="D100" s="3">
        <v>4489.91</v>
      </c>
      <c r="E100" s="7" t="s">
        <v>12</v>
      </c>
    </row>
    <row r="101" spans="1:5" x14ac:dyDescent="0.2">
      <c r="A101" s="31">
        <v>44296</v>
      </c>
      <c r="B101" s="2">
        <v>1163</v>
      </c>
      <c r="C101" s="2">
        <v>246</v>
      </c>
      <c r="D101" s="3">
        <v>4073.28</v>
      </c>
      <c r="E101" s="7" t="s">
        <v>12</v>
      </c>
    </row>
    <row r="102" spans="1:5" x14ac:dyDescent="0.2">
      <c r="A102" s="31">
        <v>44297</v>
      </c>
      <c r="B102" s="2">
        <v>1135</v>
      </c>
      <c r="C102" s="2">
        <v>239</v>
      </c>
      <c r="D102" s="3">
        <v>3489.34</v>
      </c>
      <c r="E102" s="7" t="s">
        <v>12</v>
      </c>
    </row>
    <row r="103" spans="1:5" x14ac:dyDescent="0.2">
      <c r="A103" s="31">
        <v>44298</v>
      </c>
      <c r="B103" s="2">
        <v>1168</v>
      </c>
      <c r="C103" s="2">
        <v>251</v>
      </c>
      <c r="D103" s="3">
        <v>3982.99</v>
      </c>
      <c r="E103" s="7" t="s">
        <v>12</v>
      </c>
    </row>
    <row r="104" spans="1:5" x14ac:dyDescent="0.2">
      <c r="A104" s="31">
        <v>44299</v>
      </c>
      <c r="B104" s="2">
        <v>1092</v>
      </c>
      <c r="C104" s="2">
        <v>225</v>
      </c>
      <c r="D104" s="3">
        <v>3918.76</v>
      </c>
      <c r="E104" s="7" t="s">
        <v>12</v>
      </c>
    </row>
    <row r="105" spans="1:5" x14ac:dyDescent="0.2">
      <c r="A105" s="31">
        <v>44300</v>
      </c>
      <c r="B105" s="2">
        <v>1140</v>
      </c>
      <c r="C105" s="2">
        <v>296</v>
      </c>
      <c r="D105" s="3">
        <v>4102.51</v>
      </c>
      <c r="E105" s="7" t="s">
        <v>12</v>
      </c>
    </row>
    <row r="106" spans="1:5" x14ac:dyDescent="0.2">
      <c r="A106" s="31">
        <v>44301</v>
      </c>
      <c r="B106" s="2">
        <v>1193</v>
      </c>
      <c r="C106" s="2">
        <v>316</v>
      </c>
      <c r="D106" s="3">
        <v>5968.46</v>
      </c>
      <c r="E106" s="7" t="s">
        <v>12</v>
      </c>
    </row>
    <row r="107" spans="1:5" x14ac:dyDescent="0.2">
      <c r="A107" s="31">
        <v>44302</v>
      </c>
      <c r="B107" s="2">
        <v>1182</v>
      </c>
      <c r="C107" s="2">
        <v>274</v>
      </c>
      <c r="D107" s="3">
        <v>4772.53</v>
      </c>
      <c r="E107" s="7" t="s">
        <v>12</v>
      </c>
    </row>
    <row r="108" spans="1:5" x14ac:dyDescent="0.2">
      <c r="A108" s="31">
        <v>44303</v>
      </c>
      <c r="B108" s="2">
        <v>1126</v>
      </c>
      <c r="C108" s="2">
        <v>260</v>
      </c>
      <c r="D108" s="3">
        <v>3805.85</v>
      </c>
      <c r="E108" s="7" t="s">
        <v>12</v>
      </c>
    </row>
    <row r="109" spans="1:5" x14ac:dyDescent="0.2">
      <c r="A109" s="31">
        <v>44304</v>
      </c>
      <c r="B109" s="2">
        <v>1180</v>
      </c>
      <c r="C109" s="2">
        <v>289</v>
      </c>
      <c r="D109" s="3">
        <v>4869.91</v>
      </c>
      <c r="E109" s="7" t="s">
        <v>12</v>
      </c>
    </row>
    <row r="110" spans="1:5" x14ac:dyDescent="0.2">
      <c r="A110" s="31">
        <v>44305</v>
      </c>
      <c r="B110" s="2">
        <v>1133</v>
      </c>
      <c r="C110" s="2">
        <v>254</v>
      </c>
      <c r="D110" s="3">
        <v>4077.66</v>
      </c>
      <c r="E110" s="7" t="s">
        <v>12</v>
      </c>
    </row>
    <row r="111" spans="1:5" x14ac:dyDescent="0.2">
      <c r="A111" s="31">
        <v>44306</v>
      </c>
      <c r="B111" s="2">
        <v>1182</v>
      </c>
      <c r="C111" s="2">
        <v>276</v>
      </c>
      <c r="D111" s="3">
        <v>4769.75</v>
      </c>
      <c r="E111" s="7" t="s">
        <v>12</v>
      </c>
    </row>
    <row r="112" spans="1:5" x14ac:dyDescent="0.2">
      <c r="A112" s="31">
        <v>44307</v>
      </c>
      <c r="B112" s="2">
        <v>1171</v>
      </c>
      <c r="C112" s="2">
        <v>260</v>
      </c>
      <c r="D112" s="3">
        <v>3823.59</v>
      </c>
      <c r="E112" s="7" t="s">
        <v>12</v>
      </c>
    </row>
    <row r="113" spans="1:5" x14ac:dyDescent="0.2">
      <c r="A113" s="31">
        <v>44308</v>
      </c>
      <c r="B113" s="2">
        <v>1152</v>
      </c>
      <c r="C113" s="2">
        <v>267</v>
      </c>
      <c r="D113" s="3">
        <v>3903.97</v>
      </c>
      <c r="E113" s="7" t="s">
        <v>12</v>
      </c>
    </row>
    <row r="114" spans="1:5" x14ac:dyDescent="0.2">
      <c r="A114" s="31">
        <v>44309</v>
      </c>
      <c r="B114" s="2">
        <v>1166</v>
      </c>
      <c r="C114" s="2">
        <v>272</v>
      </c>
      <c r="D114" s="3">
        <v>4039.91</v>
      </c>
      <c r="E114" s="7" t="s">
        <v>12</v>
      </c>
    </row>
    <row r="115" spans="1:5" x14ac:dyDescent="0.2">
      <c r="A115" s="31">
        <v>44310</v>
      </c>
      <c r="B115" s="2">
        <v>1194</v>
      </c>
      <c r="C115" s="2">
        <v>263</v>
      </c>
      <c r="D115" s="3">
        <v>3330.32</v>
      </c>
      <c r="E115" s="7" t="s">
        <v>12</v>
      </c>
    </row>
    <row r="116" spans="1:5" x14ac:dyDescent="0.2">
      <c r="A116" s="31">
        <v>44311</v>
      </c>
      <c r="B116" s="2">
        <v>1202</v>
      </c>
      <c r="C116" s="2">
        <v>271</v>
      </c>
      <c r="D116" s="3">
        <v>4315.13</v>
      </c>
      <c r="E116" s="7" t="s">
        <v>12</v>
      </c>
    </row>
    <row r="117" spans="1:5" x14ac:dyDescent="0.2">
      <c r="A117" s="31">
        <v>44312</v>
      </c>
      <c r="B117" s="2">
        <v>1172</v>
      </c>
      <c r="C117" s="2">
        <v>270</v>
      </c>
      <c r="D117" s="3">
        <v>4533.7299999999996</v>
      </c>
      <c r="E117" s="7" t="s">
        <v>12</v>
      </c>
    </row>
    <row r="118" spans="1:5" x14ac:dyDescent="0.2">
      <c r="A118" s="31">
        <v>44313</v>
      </c>
      <c r="B118" s="2">
        <v>1136</v>
      </c>
      <c r="C118" s="2">
        <v>257</v>
      </c>
      <c r="D118" s="3">
        <v>2647.85</v>
      </c>
      <c r="E118" s="7" t="s">
        <v>12</v>
      </c>
    </row>
    <row r="119" spans="1:5" x14ac:dyDescent="0.2">
      <c r="A119" s="31">
        <v>44314</v>
      </c>
      <c r="B119" s="2">
        <v>1122</v>
      </c>
      <c r="C119" s="2">
        <v>251</v>
      </c>
      <c r="D119" s="3">
        <v>4255.47</v>
      </c>
      <c r="E119" s="7" t="s">
        <v>12</v>
      </c>
    </row>
    <row r="120" spans="1:5" x14ac:dyDescent="0.2">
      <c r="A120" s="31">
        <v>44315</v>
      </c>
      <c r="B120" s="2">
        <v>1113</v>
      </c>
      <c r="C120" s="2">
        <v>237</v>
      </c>
      <c r="D120" s="3">
        <v>4195.01</v>
      </c>
      <c r="E120" s="7" t="s">
        <v>12</v>
      </c>
    </row>
    <row r="121" spans="1:5" x14ac:dyDescent="0.2">
      <c r="A121" s="31">
        <v>44316</v>
      </c>
      <c r="B121" s="2">
        <v>1126</v>
      </c>
      <c r="C121" s="2">
        <v>256</v>
      </c>
      <c r="D121" s="3">
        <v>3995.47</v>
      </c>
      <c r="E121" s="7" t="s">
        <v>12</v>
      </c>
    </row>
    <row r="122" spans="1:5" x14ac:dyDescent="0.2">
      <c r="A122" s="31">
        <v>44317</v>
      </c>
      <c r="B122" s="2">
        <v>1064</v>
      </c>
      <c r="C122" s="2">
        <v>271</v>
      </c>
      <c r="D122" s="3">
        <v>3252.98</v>
      </c>
      <c r="E122" s="7" t="s">
        <v>12</v>
      </c>
    </row>
    <row r="123" spans="1:5" x14ac:dyDescent="0.2">
      <c r="A123" s="31">
        <v>44318</v>
      </c>
      <c r="B123" s="2">
        <v>1108</v>
      </c>
      <c r="C123" s="2">
        <v>249</v>
      </c>
      <c r="D123" s="3">
        <v>3914.48</v>
      </c>
      <c r="E123" s="7" t="s">
        <v>12</v>
      </c>
    </row>
    <row r="124" spans="1:5" x14ac:dyDescent="0.2">
      <c r="A124" s="31">
        <v>44319</v>
      </c>
      <c r="B124" s="2">
        <v>1194</v>
      </c>
      <c r="C124" s="2">
        <v>243</v>
      </c>
      <c r="D124" s="3">
        <v>4818.22</v>
      </c>
      <c r="E124" s="7" t="s">
        <v>12</v>
      </c>
    </row>
    <row r="125" spans="1:5" x14ac:dyDescent="0.2">
      <c r="A125" s="31">
        <v>44320</v>
      </c>
      <c r="B125" s="2">
        <v>1120</v>
      </c>
      <c r="C125" s="2">
        <v>256</v>
      </c>
      <c r="D125" s="3">
        <v>4703.76</v>
      </c>
      <c r="E125" s="7" t="s">
        <v>12</v>
      </c>
    </row>
    <row r="126" spans="1:5" x14ac:dyDescent="0.2">
      <c r="A126" s="31">
        <v>44321</v>
      </c>
      <c r="B126" s="2">
        <v>1156</v>
      </c>
      <c r="C126" s="2">
        <v>284</v>
      </c>
      <c r="D126" s="3">
        <v>4783.6499999999996</v>
      </c>
      <c r="E126" s="7" t="s">
        <v>12</v>
      </c>
    </row>
    <row r="127" spans="1:5" x14ac:dyDescent="0.2">
      <c r="A127" s="31">
        <v>44322</v>
      </c>
      <c r="B127" s="2">
        <v>1154</v>
      </c>
      <c r="C127" s="2">
        <v>269</v>
      </c>
      <c r="D127" s="3">
        <v>4371.5600000000004</v>
      </c>
      <c r="E127" s="7" t="s">
        <v>12</v>
      </c>
    </row>
    <row r="128" spans="1:5" x14ac:dyDescent="0.2">
      <c r="A128" s="31">
        <v>44323</v>
      </c>
      <c r="B128" s="2">
        <v>1121</v>
      </c>
      <c r="C128" s="2">
        <v>265</v>
      </c>
      <c r="D128" s="3">
        <v>3538.76</v>
      </c>
      <c r="E128" s="7" t="s">
        <v>12</v>
      </c>
    </row>
    <row r="129" spans="1:5" x14ac:dyDescent="0.2">
      <c r="A129" s="31">
        <v>44324</v>
      </c>
      <c r="B129" s="2">
        <v>1138</v>
      </c>
      <c r="C129" s="2">
        <v>271</v>
      </c>
      <c r="D129" s="3">
        <v>5577.69</v>
      </c>
      <c r="E129" s="7" t="s">
        <v>12</v>
      </c>
    </row>
    <row r="130" spans="1:5" x14ac:dyDescent="0.2">
      <c r="A130" s="31">
        <v>44325</v>
      </c>
      <c r="B130" s="2">
        <v>1123</v>
      </c>
      <c r="C130" s="2">
        <v>235</v>
      </c>
      <c r="D130" s="3">
        <v>3892.16</v>
      </c>
      <c r="E130" s="7" t="s">
        <v>12</v>
      </c>
    </row>
    <row r="131" spans="1:5" x14ac:dyDescent="0.2">
      <c r="A131" s="31">
        <v>44326</v>
      </c>
      <c r="B131" s="2">
        <v>1183</v>
      </c>
      <c r="C131" s="2">
        <v>268</v>
      </c>
      <c r="D131" s="3">
        <v>3696.48</v>
      </c>
      <c r="E131" s="7" t="s">
        <v>12</v>
      </c>
    </row>
    <row r="132" spans="1:5" x14ac:dyDescent="0.2">
      <c r="A132" s="31">
        <v>44327</v>
      </c>
      <c r="B132" s="2">
        <v>1115</v>
      </c>
      <c r="C132" s="2">
        <v>240</v>
      </c>
      <c r="D132" s="3">
        <v>3375.19</v>
      </c>
      <c r="E132" s="7" t="s">
        <v>12</v>
      </c>
    </row>
    <row r="133" spans="1:5" x14ac:dyDescent="0.2">
      <c r="A133" s="31">
        <v>44328</v>
      </c>
      <c r="B133" s="2">
        <v>1228</v>
      </c>
      <c r="C133" s="2">
        <v>286</v>
      </c>
      <c r="D133" s="3">
        <v>5356.29</v>
      </c>
      <c r="E133" s="7" t="s">
        <v>12</v>
      </c>
    </row>
    <row r="134" spans="1:5" x14ac:dyDescent="0.2">
      <c r="A134" s="31">
        <v>44329</v>
      </c>
      <c r="B134" s="2">
        <v>1186</v>
      </c>
      <c r="C134" s="2">
        <v>246</v>
      </c>
      <c r="D134" s="3">
        <v>4376.3</v>
      </c>
      <c r="E134" s="7" t="s">
        <v>12</v>
      </c>
    </row>
    <row r="135" spans="1:5" x14ac:dyDescent="0.2">
      <c r="A135" s="31">
        <v>44330</v>
      </c>
      <c r="B135" s="2">
        <v>1120</v>
      </c>
      <c r="C135" s="2">
        <v>240</v>
      </c>
      <c r="D135" s="3">
        <v>4038.62</v>
      </c>
      <c r="E135" s="7" t="s">
        <v>12</v>
      </c>
    </row>
    <row r="136" spans="1:5" x14ac:dyDescent="0.2">
      <c r="A136" s="31">
        <v>44331</v>
      </c>
      <c r="B136" s="2">
        <v>1170</v>
      </c>
      <c r="C136" s="2">
        <v>267</v>
      </c>
      <c r="D136" s="3">
        <v>5649.56</v>
      </c>
      <c r="E136" s="7" t="s">
        <v>12</v>
      </c>
    </row>
    <row r="137" spans="1:5" x14ac:dyDescent="0.2">
      <c r="A137" s="31">
        <v>44332</v>
      </c>
      <c r="B137" s="2">
        <v>1094</v>
      </c>
      <c r="C137" s="2">
        <v>250</v>
      </c>
      <c r="D137" s="3">
        <v>3898.21</v>
      </c>
      <c r="E137" s="7" t="s">
        <v>12</v>
      </c>
    </row>
    <row r="138" spans="1:5" x14ac:dyDescent="0.2">
      <c r="A138" s="31">
        <v>44333</v>
      </c>
      <c r="B138" s="2">
        <v>1196</v>
      </c>
      <c r="C138" s="2">
        <v>289</v>
      </c>
      <c r="D138" s="3">
        <v>3724.69</v>
      </c>
      <c r="E138" s="7" t="s">
        <v>12</v>
      </c>
    </row>
    <row r="139" spans="1:5" x14ac:dyDescent="0.2">
      <c r="A139" s="31">
        <v>44334</v>
      </c>
      <c r="B139" s="2">
        <v>1156</v>
      </c>
      <c r="C139" s="2">
        <v>254</v>
      </c>
      <c r="D139" s="3">
        <v>4035.67</v>
      </c>
      <c r="E139" s="7" t="s">
        <v>12</v>
      </c>
    </row>
    <row r="140" spans="1:5" x14ac:dyDescent="0.2">
      <c r="A140" s="31">
        <v>44335</v>
      </c>
      <c r="B140" s="2">
        <v>1166</v>
      </c>
      <c r="C140" s="2">
        <v>296</v>
      </c>
      <c r="D140" s="3">
        <v>5467.77</v>
      </c>
      <c r="E140" s="7" t="s">
        <v>12</v>
      </c>
    </row>
    <row r="141" spans="1:5" x14ac:dyDescent="0.2">
      <c r="A141" s="31">
        <v>44336</v>
      </c>
      <c r="B141" s="2">
        <v>1095</v>
      </c>
      <c r="C141" s="2">
        <v>235</v>
      </c>
      <c r="D141" s="3">
        <v>3944.86</v>
      </c>
      <c r="E141" s="7" t="s">
        <v>12</v>
      </c>
    </row>
    <row r="142" spans="1:5" x14ac:dyDescent="0.2">
      <c r="A142" s="31">
        <v>44337</v>
      </c>
      <c r="B142" s="2">
        <v>1094</v>
      </c>
      <c r="C142" s="2">
        <v>266</v>
      </c>
      <c r="D142" s="3">
        <v>3547.78</v>
      </c>
      <c r="E142" s="7" t="s">
        <v>12</v>
      </c>
    </row>
    <row r="143" spans="1:5" x14ac:dyDescent="0.2">
      <c r="A143" s="31">
        <v>44338</v>
      </c>
      <c r="B143" s="2">
        <v>1103</v>
      </c>
      <c r="C143" s="2">
        <v>245</v>
      </c>
      <c r="D143" s="3">
        <v>4330.8599999999997</v>
      </c>
      <c r="E143" s="7" t="s">
        <v>12</v>
      </c>
    </row>
    <row r="144" spans="1:5" x14ac:dyDescent="0.2">
      <c r="A144" s="31">
        <v>44339</v>
      </c>
      <c r="B144" s="2">
        <v>1135</v>
      </c>
      <c r="C144" s="2">
        <v>265</v>
      </c>
      <c r="D144" s="3">
        <v>3763.81</v>
      </c>
      <c r="E144" s="7" t="s">
        <v>12</v>
      </c>
    </row>
    <row r="145" spans="1:5" x14ac:dyDescent="0.2">
      <c r="A145" s="31">
        <v>44340</v>
      </c>
      <c r="B145" s="2">
        <v>1114</v>
      </c>
      <c r="C145" s="2">
        <v>269</v>
      </c>
      <c r="D145" s="3">
        <v>4604.1000000000004</v>
      </c>
      <c r="E145" s="7" t="s">
        <v>12</v>
      </c>
    </row>
    <row r="146" spans="1:5" x14ac:dyDescent="0.2">
      <c r="A146" s="31">
        <v>44341</v>
      </c>
      <c r="B146" s="2">
        <v>1131</v>
      </c>
      <c r="C146" s="2">
        <v>276</v>
      </c>
      <c r="D146" s="3">
        <v>4708.3900000000003</v>
      </c>
      <c r="E146" s="7" t="s">
        <v>12</v>
      </c>
    </row>
    <row r="147" spans="1:5" x14ac:dyDescent="0.2">
      <c r="A147" s="31">
        <v>44342</v>
      </c>
      <c r="B147" s="2">
        <v>1080</v>
      </c>
      <c r="C147" s="2">
        <v>285</v>
      </c>
      <c r="D147" s="3">
        <v>5409.71</v>
      </c>
      <c r="E147" s="7" t="s">
        <v>12</v>
      </c>
    </row>
    <row r="148" spans="1:5" x14ac:dyDescent="0.2">
      <c r="A148" s="31">
        <v>44343</v>
      </c>
      <c r="B148" s="2">
        <v>1184</v>
      </c>
      <c r="C148" s="2">
        <v>267</v>
      </c>
      <c r="D148" s="3">
        <v>4363</v>
      </c>
      <c r="E148" s="7" t="s">
        <v>12</v>
      </c>
    </row>
    <row r="149" spans="1:5" x14ac:dyDescent="0.2">
      <c r="A149" s="31">
        <v>44344</v>
      </c>
      <c r="B149" s="2">
        <v>1137</v>
      </c>
      <c r="C149" s="2">
        <v>268</v>
      </c>
      <c r="D149" s="3">
        <v>4167.53</v>
      </c>
      <c r="E149" s="7" t="s">
        <v>12</v>
      </c>
    </row>
    <row r="150" spans="1:5" x14ac:dyDescent="0.2">
      <c r="A150" s="31">
        <v>44345</v>
      </c>
      <c r="B150" s="2">
        <v>1153</v>
      </c>
      <c r="C150" s="2">
        <v>259</v>
      </c>
      <c r="D150" s="3">
        <v>4346.95</v>
      </c>
      <c r="E150" s="7" t="s">
        <v>12</v>
      </c>
    </row>
    <row r="151" spans="1:5" x14ac:dyDescent="0.2">
      <c r="A151" s="31">
        <v>44346</v>
      </c>
      <c r="B151" s="2">
        <v>1098</v>
      </c>
      <c r="C151" s="2">
        <v>249</v>
      </c>
      <c r="D151" s="3">
        <v>3905.05</v>
      </c>
      <c r="E151" s="7" t="s">
        <v>12</v>
      </c>
    </row>
    <row r="152" spans="1:5" x14ac:dyDescent="0.2">
      <c r="A152" s="31">
        <v>44347</v>
      </c>
      <c r="B152" s="2">
        <v>1199</v>
      </c>
      <c r="C152" s="2">
        <v>254</v>
      </c>
      <c r="D152" s="3">
        <v>3957.66</v>
      </c>
      <c r="E152" s="7" t="s">
        <v>12</v>
      </c>
    </row>
    <row r="153" spans="1:5" x14ac:dyDescent="0.2">
      <c r="A153" s="31">
        <v>44348</v>
      </c>
      <c r="B153" s="2">
        <v>1166</v>
      </c>
      <c r="C153" s="2">
        <v>278</v>
      </c>
      <c r="D153" s="3">
        <v>4111.22</v>
      </c>
      <c r="E153" s="7" t="s">
        <v>12</v>
      </c>
    </row>
    <row r="154" spans="1:5" x14ac:dyDescent="0.2">
      <c r="A154" s="31">
        <v>44349</v>
      </c>
      <c r="B154" s="2">
        <v>1064</v>
      </c>
      <c r="C154" s="2">
        <v>230</v>
      </c>
      <c r="D154" s="3">
        <v>3742.81</v>
      </c>
      <c r="E154" s="7" t="s">
        <v>12</v>
      </c>
    </row>
    <row r="155" spans="1:5" x14ac:dyDescent="0.2">
      <c r="A155" s="31">
        <v>44350</v>
      </c>
      <c r="B155" s="2">
        <v>1166</v>
      </c>
      <c r="C155" s="2">
        <v>273</v>
      </c>
      <c r="D155" s="3">
        <v>4009.34</v>
      </c>
      <c r="E155" s="7" t="s">
        <v>12</v>
      </c>
    </row>
    <row r="156" spans="1:5" x14ac:dyDescent="0.2">
      <c r="A156" s="31">
        <v>44351</v>
      </c>
      <c r="B156" s="2">
        <v>1162</v>
      </c>
      <c r="C156" s="2">
        <v>272</v>
      </c>
      <c r="D156" s="3">
        <v>3940.3</v>
      </c>
      <c r="E156" s="7" t="s">
        <v>12</v>
      </c>
    </row>
    <row r="157" spans="1:5" x14ac:dyDescent="0.2">
      <c r="A157" s="31">
        <v>44352</v>
      </c>
      <c r="B157" s="2">
        <v>1158</v>
      </c>
      <c r="C157" s="2">
        <v>262</v>
      </c>
      <c r="D157" s="3">
        <v>4678.1899999999996</v>
      </c>
      <c r="E157" s="7" t="s">
        <v>12</v>
      </c>
    </row>
    <row r="158" spans="1:5" x14ac:dyDescent="0.2">
      <c r="A158" s="31">
        <v>44353</v>
      </c>
      <c r="B158" s="2">
        <v>1221</v>
      </c>
      <c r="C158" s="2">
        <v>281</v>
      </c>
      <c r="D158" s="3">
        <v>3876</v>
      </c>
      <c r="E158" s="7" t="s">
        <v>12</v>
      </c>
    </row>
    <row r="159" spans="1:5" x14ac:dyDescent="0.2">
      <c r="A159" s="31">
        <v>44354</v>
      </c>
      <c r="B159" s="2">
        <v>1176</v>
      </c>
      <c r="C159" s="2">
        <v>262</v>
      </c>
      <c r="D159" s="3">
        <v>4340.07</v>
      </c>
      <c r="E159" s="7" t="s">
        <v>12</v>
      </c>
    </row>
    <row r="160" spans="1:5" x14ac:dyDescent="0.2">
      <c r="A160" s="31">
        <v>44355</v>
      </c>
      <c r="B160" s="2">
        <v>1150</v>
      </c>
      <c r="C160" s="2">
        <v>252</v>
      </c>
      <c r="D160" s="3">
        <v>4327.53</v>
      </c>
      <c r="E160" s="7" t="s">
        <v>12</v>
      </c>
    </row>
    <row r="161" spans="1:5" x14ac:dyDescent="0.2">
      <c r="A161" s="31">
        <v>44356</v>
      </c>
      <c r="B161" s="2">
        <v>1163</v>
      </c>
      <c r="C161" s="2">
        <v>261</v>
      </c>
      <c r="D161" s="3">
        <v>4374.96</v>
      </c>
      <c r="E161" s="7" t="s">
        <v>12</v>
      </c>
    </row>
    <row r="162" spans="1:5" x14ac:dyDescent="0.2">
      <c r="A162" s="31">
        <v>44357</v>
      </c>
      <c r="B162" s="2">
        <v>1161</v>
      </c>
      <c r="C162" s="2">
        <v>260</v>
      </c>
      <c r="D162" s="3">
        <v>4365.2299999999996</v>
      </c>
      <c r="E162" s="7" t="s">
        <v>12</v>
      </c>
    </row>
    <row r="163" spans="1:5" x14ac:dyDescent="0.2">
      <c r="A163" s="31">
        <v>44358</v>
      </c>
      <c r="B163" s="2">
        <v>1235</v>
      </c>
      <c r="C163" s="2">
        <v>294</v>
      </c>
      <c r="D163" s="3">
        <v>5085.1899999999996</v>
      </c>
      <c r="E163" s="7" t="s">
        <v>12</v>
      </c>
    </row>
    <row r="164" spans="1:5" x14ac:dyDescent="0.2">
      <c r="A164" s="31">
        <v>44359</v>
      </c>
      <c r="B164" s="2">
        <v>1139</v>
      </c>
      <c r="C164" s="2">
        <v>243</v>
      </c>
      <c r="D164" s="3">
        <v>4341.24</v>
      </c>
      <c r="E164" s="7" t="s">
        <v>12</v>
      </c>
    </row>
    <row r="165" spans="1:5" x14ac:dyDescent="0.2">
      <c r="A165" s="31">
        <v>44360</v>
      </c>
      <c r="B165" s="2">
        <v>1164</v>
      </c>
      <c r="C165" s="2">
        <v>276</v>
      </c>
      <c r="D165" s="3">
        <v>5828.13</v>
      </c>
      <c r="E165" s="7" t="s">
        <v>12</v>
      </c>
    </row>
    <row r="166" spans="1:5" x14ac:dyDescent="0.2">
      <c r="A166" s="31">
        <v>44361</v>
      </c>
      <c r="B166" s="2">
        <v>1080</v>
      </c>
      <c r="C166" s="2">
        <v>262</v>
      </c>
      <c r="D166" s="3">
        <v>4190.2299999999996</v>
      </c>
      <c r="E166" s="7" t="s">
        <v>12</v>
      </c>
    </row>
    <row r="167" spans="1:5" x14ac:dyDescent="0.2">
      <c r="A167" s="31">
        <v>44362</v>
      </c>
      <c r="B167" s="2">
        <v>1164</v>
      </c>
      <c r="C167" s="2">
        <v>272</v>
      </c>
      <c r="D167" s="3">
        <v>4695.16</v>
      </c>
      <c r="E167" s="7" t="s">
        <v>12</v>
      </c>
    </row>
    <row r="168" spans="1:5" x14ac:dyDescent="0.2">
      <c r="A168" s="31">
        <v>44363</v>
      </c>
      <c r="B168" s="2">
        <v>1115</v>
      </c>
      <c r="C168" s="2">
        <v>269</v>
      </c>
      <c r="D168" s="3">
        <v>5134.2700000000004</v>
      </c>
      <c r="E168" s="7" t="s">
        <v>12</v>
      </c>
    </row>
    <row r="169" spans="1:5" x14ac:dyDescent="0.2">
      <c r="A169" s="31">
        <v>44364</v>
      </c>
      <c r="B169" s="2">
        <v>1195</v>
      </c>
      <c r="C169" s="2">
        <v>260</v>
      </c>
      <c r="D169" s="3">
        <v>3330.75</v>
      </c>
      <c r="E169" s="7" t="s">
        <v>12</v>
      </c>
    </row>
    <row r="170" spans="1:5" x14ac:dyDescent="0.2">
      <c r="A170" s="31">
        <v>44365</v>
      </c>
      <c r="B170" s="2">
        <v>1144</v>
      </c>
      <c r="C170" s="2">
        <v>258</v>
      </c>
      <c r="D170" s="3">
        <v>5042.4799999999996</v>
      </c>
      <c r="E170" s="7" t="s">
        <v>12</v>
      </c>
    </row>
    <row r="171" spans="1:5" x14ac:dyDescent="0.2">
      <c r="A171" s="31">
        <v>44366</v>
      </c>
      <c r="B171" s="2">
        <v>1125</v>
      </c>
      <c r="C171" s="2">
        <v>281</v>
      </c>
      <c r="D171" s="3">
        <v>4381.54</v>
      </c>
      <c r="E171" s="7" t="s">
        <v>12</v>
      </c>
    </row>
    <row r="172" spans="1:5" x14ac:dyDescent="0.2">
      <c r="A172" s="31">
        <v>44367</v>
      </c>
      <c r="B172" s="2">
        <v>1051</v>
      </c>
      <c r="C172" s="2">
        <v>264</v>
      </c>
      <c r="D172" s="3">
        <v>3829.47</v>
      </c>
      <c r="E172" s="7" t="s">
        <v>12</v>
      </c>
    </row>
    <row r="173" spans="1:5" x14ac:dyDescent="0.2">
      <c r="A173" s="31">
        <v>44368</v>
      </c>
      <c r="B173" s="2">
        <v>1217</v>
      </c>
      <c r="C173" s="2">
        <v>291</v>
      </c>
      <c r="D173" s="3">
        <v>4956.28</v>
      </c>
      <c r="E173" s="7" t="s">
        <v>12</v>
      </c>
    </row>
    <row r="174" spans="1:5" x14ac:dyDescent="0.2">
      <c r="A174" s="31">
        <v>44369</v>
      </c>
      <c r="B174" s="2">
        <v>1161</v>
      </c>
      <c r="C174" s="2">
        <v>268</v>
      </c>
      <c r="D174" s="3">
        <v>4268.8999999999996</v>
      </c>
      <c r="E174" s="7" t="s">
        <v>12</v>
      </c>
    </row>
    <row r="175" spans="1:5" x14ac:dyDescent="0.2">
      <c r="A175" s="31">
        <v>44370</v>
      </c>
      <c r="B175" s="2">
        <v>1192</v>
      </c>
      <c r="C175" s="2">
        <v>257</v>
      </c>
      <c r="D175" s="3">
        <v>4143.7</v>
      </c>
      <c r="E175" s="7" t="s">
        <v>12</v>
      </c>
    </row>
    <row r="176" spans="1:5" x14ac:dyDescent="0.2">
      <c r="A176" s="31">
        <v>44371</v>
      </c>
      <c r="B176" s="2">
        <v>1146</v>
      </c>
      <c r="C176" s="2">
        <v>275</v>
      </c>
      <c r="D176" s="3">
        <v>4897.16</v>
      </c>
      <c r="E176" s="7" t="s">
        <v>12</v>
      </c>
    </row>
    <row r="177" spans="1:5" x14ac:dyDescent="0.2">
      <c r="A177" s="31">
        <v>44372</v>
      </c>
      <c r="B177" s="2">
        <v>1112</v>
      </c>
      <c r="C177" s="2">
        <v>248</v>
      </c>
      <c r="D177" s="3">
        <v>3571.6</v>
      </c>
      <c r="E177" s="7" t="s">
        <v>12</v>
      </c>
    </row>
    <row r="178" spans="1:5" x14ac:dyDescent="0.2">
      <c r="A178" s="31">
        <v>44373</v>
      </c>
      <c r="B178" s="2">
        <v>1154</v>
      </c>
      <c r="C178" s="2">
        <v>251</v>
      </c>
      <c r="D178" s="3">
        <v>3976.93</v>
      </c>
      <c r="E178" s="7" t="s">
        <v>12</v>
      </c>
    </row>
    <row r="179" spans="1:5" x14ac:dyDescent="0.2">
      <c r="A179" s="31">
        <v>44374</v>
      </c>
      <c r="B179" s="2">
        <v>1157</v>
      </c>
      <c r="C179" s="2">
        <v>291</v>
      </c>
      <c r="D179" s="3">
        <v>4267.1400000000003</v>
      </c>
      <c r="E179" s="7" t="s">
        <v>12</v>
      </c>
    </row>
    <row r="180" spans="1:5" x14ac:dyDescent="0.2">
      <c r="A180" s="31">
        <v>44375</v>
      </c>
      <c r="B180" s="2">
        <v>1115</v>
      </c>
      <c r="C180" s="2">
        <v>229</v>
      </c>
      <c r="D180" s="3">
        <v>3479.13</v>
      </c>
      <c r="E180" s="7" t="s">
        <v>12</v>
      </c>
    </row>
    <row r="181" spans="1:5" x14ac:dyDescent="0.2">
      <c r="A181" s="31">
        <v>44376</v>
      </c>
      <c r="B181" s="2">
        <v>1163</v>
      </c>
      <c r="C181" s="2">
        <v>286</v>
      </c>
      <c r="D181" s="3">
        <v>5383.79</v>
      </c>
      <c r="E181" s="7" t="s">
        <v>12</v>
      </c>
    </row>
    <row r="182" spans="1:5" x14ac:dyDescent="0.2">
      <c r="A182" s="31">
        <v>44377</v>
      </c>
      <c r="B182" s="2">
        <v>1091</v>
      </c>
      <c r="C182" s="2">
        <v>236</v>
      </c>
      <c r="D182" s="3">
        <v>3929.78</v>
      </c>
      <c r="E182" s="7" t="s">
        <v>12</v>
      </c>
    </row>
    <row r="183" spans="1:5" x14ac:dyDescent="0.2">
      <c r="A183" s="31">
        <v>44378</v>
      </c>
      <c r="B183" s="2">
        <v>1146</v>
      </c>
      <c r="C183" s="2">
        <v>261</v>
      </c>
      <c r="D183" s="3">
        <v>4114.37</v>
      </c>
      <c r="E183" s="7" t="s">
        <v>12</v>
      </c>
    </row>
    <row r="184" spans="1:5" x14ac:dyDescent="0.2">
      <c r="A184" s="31">
        <v>44379</v>
      </c>
      <c r="B184" s="2">
        <v>1145</v>
      </c>
      <c r="C184" s="2">
        <v>273</v>
      </c>
      <c r="D184" s="3">
        <v>3864.36</v>
      </c>
      <c r="E184" s="7" t="s">
        <v>12</v>
      </c>
    </row>
    <row r="185" spans="1:5" x14ac:dyDescent="0.2">
      <c r="A185" s="31">
        <v>44380</v>
      </c>
      <c r="B185" s="2">
        <v>1167</v>
      </c>
      <c r="C185" s="2">
        <v>245</v>
      </c>
      <c r="D185" s="3">
        <v>4078.94</v>
      </c>
      <c r="E185" s="7" t="s">
        <v>12</v>
      </c>
    </row>
    <row r="186" spans="1:5" x14ac:dyDescent="0.2">
      <c r="A186" s="31">
        <v>44381</v>
      </c>
      <c r="B186" s="2">
        <v>1169</v>
      </c>
      <c r="C186" s="2">
        <v>276</v>
      </c>
      <c r="D186" s="3">
        <v>3673.02</v>
      </c>
      <c r="E186" s="7" t="s">
        <v>12</v>
      </c>
    </row>
    <row r="187" spans="1:5" x14ac:dyDescent="0.2">
      <c r="A187" s="31">
        <v>44382</v>
      </c>
      <c r="B187" s="2">
        <v>1102</v>
      </c>
      <c r="C187" s="2">
        <v>249</v>
      </c>
      <c r="D187" s="3">
        <v>4930.1400000000003</v>
      </c>
      <c r="E187" s="7" t="s">
        <v>12</v>
      </c>
    </row>
    <row r="188" spans="1:5" x14ac:dyDescent="0.2">
      <c r="A188" s="31">
        <v>44383</v>
      </c>
      <c r="B188" s="2">
        <v>1175</v>
      </c>
      <c r="C188" s="2">
        <v>258</v>
      </c>
      <c r="D188" s="3">
        <v>4081.28</v>
      </c>
      <c r="E188" s="7" t="s">
        <v>12</v>
      </c>
    </row>
    <row r="189" spans="1:5" x14ac:dyDescent="0.2">
      <c r="A189" s="31">
        <v>44384</v>
      </c>
      <c r="B189" s="2">
        <v>1187</v>
      </c>
      <c r="C189" s="2">
        <v>290</v>
      </c>
      <c r="D189" s="3">
        <v>5269.87</v>
      </c>
      <c r="E189" s="7" t="s">
        <v>12</v>
      </c>
    </row>
    <row r="190" spans="1:5" x14ac:dyDescent="0.2">
      <c r="A190" s="31">
        <v>44385</v>
      </c>
      <c r="B190" s="2">
        <v>1130</v>
      </c>
      <c r="C190" s="2">
        <v>264</v>
      </c>
      <c r="D190" s="3">
        <v>4063.92</v>
      </c>
      <c r="E190" s="7" t="s">
        <v>12</v>
      </c>
    </row>
    <row r="191" spans="1:5" x14ac:dyDescent="0.2">
      <c r="A191" s="31">
        <v>44386</v>
      </c>
      <c r="B191" s="2">
        <v>1181</v>
      </c>
      <c r="C191" s="2">
        <v>268</v>
      </c>
      <c r="D191" s="3">
        <v>4197.51</v>
      </c>
      <c r="E191" s="7" t="s">
        <v>12</v>
      </c>
    </row>
    <row r="192" spans="1:5" x14ac:dyDescent="0.2">
      <c r="A192" s="31">
        <v>44387</v>
      </c>
      <c r="B192" s="2">
        <v>1097</v>
      </c>
      <c r="C192" s="2">
        <v>262</v>
      </c>
      <c r="D192" s="3">
        <v>4316.91</v>
      </c>
      <c r="E192" s="7" t="s">
        <v>12</v>
      </c>
    </row>
    <row r="193" spans="1:5" x14ac:dyDescent="0.2">
      <c r="A193" s="31">
        <v>44388</v>
      </c>
      <c r="B193" s="2">
        <v>1159</v>
      </c>
      <c r="C193" s="2">
        <v>262</v>
      </c>
      <c r="D193" s="3">
        <v>4881.0200000000004</v>
      </c>
      <c r="E193" s="7" t="s">
        <v>12</v>
      </c>
    </row>
    <row r="194" spans="1:5" x14ac:dyDescent="0.2">
      <c r="A194" s="31">
        <v>44389</v>
      </c>
      <c r="B194" s="2">
        <v>1175</v>
      </c>
      <c r="C194" s="2">
        <v>295</v>
      </c>
      <c r="D194" s="3">
        <v>5045.38</v>
      </c>
      <c r="E194" s="7" t="s">
        <v>12</v>
      </c>
    </row>
    <row r="195" spans="1:5" x14ac:dyDescent="0.2">
      <c r="A195" s="31">
        <v>44390</v>
      </c>
      <c r="B195" s="2">
        <v>1148</v>
      </c>
      <c r="C195" s="2">
        <v>282</v>
      </c>
      <c r="D195" s="3">
        <v>4121.47</v>
      </c>
      <c r="E195" s="7" t="s">
        <v>12</v>
      </c>
    </row>
    <row r="196" spans="1:5" x14ac:dyDescent="0.2">
      <c r="A196" s="31">
        <v>44391</v>
      </c>
      <c r="B196" s="2">
        <v>1183</v>
      </c>
      <c r="C196" s="2">
        <v>286</v>
      </c>
      <c r="D196" s="3">
        <v>4145.7700000000004</v>
      </c>
      <c r="E196" s="7" t="s">
        <v>12</v>
      </c>
    </row>
    <row r="197" spans="1:5" x14ac:dyDescent="0.2">
      <c r="A197" s="31">
        <v>44392</v>
      </c>
      <c r="B197" s="2">
        <v>1151</v>
      </c>
      <c r="C197" s="2">
        <v>265</v>
      </c>
      <c r="D197" s="3">
        <v>3818.11</v>
      </c>
      <c r="E197" s="7" t="s">
        <v>12</v>
      </c>
    </row>
    <row r="198" spans="1:5" x14ac:dyDescent="0.2">
      <c r="A198" s="31">
        <v>44393</v>
      </c>
      <c r="B198" s="2">
        <v>1160</v>
      </c>
      <c r="C198" s="2">
        <v>273</v>
      </c>
      <c r="D198" s="3">
        <v>4645.76</v>
      </c>
      <c r="E198" s="7" t="s">
        <v>12</v>
      </c>
    </row>
    <row r="199" spans="1:5" x14ac:dyDescent="0.2">
      <c r="A199" s="31">
        <v>44394</v>
      </c>
      <c r="B199" s="2">
        <v>1102</v>
      </c>
      <c r="C199" s="2">
        <v>262</v>
      </c>
      <c r="D199" s="3">
        <v>4661.9399999999996</v>
      </c>
      <c r="E199" s="7" t="s">
        <v>12</v>
      </c>
    </row>
    <row r="200" spans="1:5" x14ac:dyDescent="0.2">
      <c r="A200" s="31">
        <v>44395</v>
      </c>
      <c r="B200" s="2">
        <v>1220</v>
      </c>
      <c r="C200" s="2">
        <v>256</v>
      </c>
      <c r="D200" s="3">
        <v>3763.2</v>
      </c>
      <c r="E200" s="7" t="s">
        <v>12</v>
      </c>
    </row>
    <row r="201" spans="1:5" x14ac:dyDescent="0.2">
      <c r="A201" s="31">
        <v>44396</v>
      </c>
      <c r="B201" s="2">
        <v>1173</v>
      </c>
      <c r="C201" s="2">
        <v>293</v>
      </c>
      <c r="D201" s="3">
        <v>4856.25</v>
      </c>
      <c r="E201" s="7" t="s">
        <v>12</v>
      </c>
    </row>
    <row r="202" spans="1:5" x14ac:dyDescent="0.2">
      <c r="A202" s="31">
        <v>44397</v>
      </c>
      <c r="B202" s="2">
        <v>1157</v>
      </c>
      <c r="C202" s="2">
        <v>256</v>
      </c>
      <c r="D202" s="3">
        <v>3132.49</v>
      </c>
      <c r="E202" s="7" t="s">
        <v>12</v>
      </c>
    </row>
    <row r="203" spans="1:5" x14ac:dyDescent="0.2">
      <c r="A203" s="31">
        <v>44398</v>
      </c>
      <c r="B203" s="2">
        <v>1130</v>
      </c>
      <c r="C203" s="2">
        <v>257</v>
      </c>
      <c r="D203" s="3">
        <v>4584.45</v>
      </c>
      <c r="E203" s="7" t="s">
        <v>12</v>
      </c>
    </row>
    <row r="204" spans="1:5" x14ac:dyDescent="0.2">
      <c r="A204" s="31">
        <v>44399</v>
      </c>
      <c r="B204" s="2">
        <v>1137</v>
      </c>
      <c r="C204" s="2">
        <v>272</v>
      </c>
      <c r="D204" s="3">
        <v>3400.8</v>
      </c>
      <c r="E204" s="7" t="s">
        <v>12</v>
      </c>
    </row>
    <row r="205" spans="1:5" x14ac:dyDescent="0.2">
      <c r="A205" s="31">
        <v>44400</v>
      </c>
      <c r="B205" s="2">
        <v>1134</v>
      </c>
      <c r="C205" s="2">
        <v>270</v>
      </c>
      <c r="D205" s="3">
        <v>5073.67</v>
      </c>
      <c r="E205" s="7" t="s">
        <v>12</v>
      </c>
    </row>
    <row r="206" spans="1:5" x14ac:dyDescent="0.2">
      <c r="A206" s="31">
        <v>44401</v>
      </c>
      <c r="B206" s="2">
        <v>1169</v>
      </c>
      <c r="C206" s="2">
        <v>289</v>
      </c>
      <c r="D206" s="3">
        <v>4785.93</v>
      </c>
      <c r="E206" s="7" t="s">
        <v>12</v>
      </c>
    </row>
    <row r="207" spans="1:5" x14ac:dyDescent="0.2">
      <c r="A207" s="31">
        <v>44402</v>
      </c>
      <c r="B207" s="2">
        <v>1112</v>
      </c>
      <c r="C207" s="2">
        <v>248</v>
      </c>
      <c r="D207" s="3">
        <v>3784.47</v>
      </c>
      <c r="E207" s="7" t="s">
        <v>12</v>
      </c>
    </row>
    <row r="208" spans="1:5" x14ac:dyDescent="0.2">
      <c r="A208" s="31">
        <v>44403</v>
      </c>
      <c r="B208" s="2">
        <v>1160</v>
      </c>
      <c r="C208" s="2">
        <v>304</v>
      </c>
      <c r="D208" s="3">
        <v>4661.04</v>
      </c>
      <c r="E208" s="7" t="s">
        <v>12</v>
      </c>
    </row>
    <row r="209" spans="1:5" x14ac:dyDescent="0.2">
      <c r="A209" s="31">
        <v>44404</v>
      </c>
      <c r="B209" s="2">
        <v>1155</v>
      </c>
      <c r="C209" s="2">
        <v>275</v>
      </c>
      <c r="D209" s="3">
        <v>4478.62</v>
      </c>
      <c r="E209" s="7" t="s">
        <v>12</v>
      </c>
    </row>
    <row r="210" spans="1:5" x14ac:dyDescent="0.2">
      <c r="A210" s="31">
        <v>44405</v>
      </c>
      <c r="B210" s="2">
        <v>1158</v>
      </c>
      <c r="C210" s="2">
        <v>267</v>
      </c>
      <c r="D210" s="3">
        <v>4671.38</v>
      </c>
      <c r="E210" s="7" t="s">
        <v>12</v>
      </c>
    </row>
    <row r="211" spans="1:5" x14ac:dyDescent="0.2">
      <c r="A211" s="31">
        <v>44406</v>
      </c>
      <c r="B211" s="2">
        <v>1140</v>
      </c>
      <c r="C211" s="2">
        <v>267</v>
      </c>
      <c r="D211" s="3">
        <v>4537.24</v>
      </c>
      <c r="E211" s="7" t="s">
        <v>12</v>
      </c>
    </row>
    <row r="212" spans="1:5" x14ac:dyDescent="0.2">
      <c r="A212" s="31">
        <v>44407</v>
      </c>
      <c r="B212" s="2">
        <v>1105</v>
      </c>
      <c r="C212" s="2">
        <v>241</v>
      </c>
      <c r="D212" s="3">
        <v>3667.23</v>
      </c>
      <c r="E212" s="7" t="s">
        <v>12</v>
      </c>
    </row>
    <row r="213" spans="1:5" x14ac:dyDescent="0.2">
      <c r="A213" s="31">
        <v>44408</v>
      </c>
      <c r="B213" s="2">
        <v>1159</v>
      </c>
      <c r="C213" s="2">
        <v>272</v>
      </c>
      <c r="D213" s="3">
        <v>4324.04</v>
      </c>
      <c r="E213" s="7" t="s">
        <v>12</v>
      </c>
    </row>
    <row r="214" spans="1:5" x14ac:dyDescent="0.2">
      <c r="A214" s="31">
        <v>44409</v>
      </c>
      <c r="B214" s="2">
        <v>1186</v>
      </c>
      <c r="C214" s="2">
        <v>271</v>
      </c>
      <c r="D214" s="3">
        <v>4457</v>
      </c>
      <c r="E214" s="7" t="s">
        <v>12</v>
      </c>
    </row>
    <row r="215" spans="1:5" x14ac:dyDescent="0.2">
      <c r="A215" s="31">
        <v>44410</v>
      </c>
      <c r="B215" s="2">
        <v>1162</v>
      </c>
      <c r="C215" s="2">
        <v>255</v>
      </c>
      <c r="D215" s="3">
        <v>2580.4</v>
      </c>
      <c r="E215" s="7" t="s">
        <v>12</v>
      </c>
    </row>
    <row r="216" spans="1:5" x14ac:dyDescent="0.2">
      <c r="A216" s="31">
        <v>44411</v>
      </c>
      <c r="B216" s="2">
        <v>1183</v>
      </c>
      <c r="C216" s="2">
        <v>254</v>
      </c>
      <c r="D216" s="3">
        <v>3363.15</v>
      </c>
      <c r="E216" s="7" t="s">
        <v>12</v>
      </c>
    </row>
    <row r="217" spans="1:5" x14ac:dyDescent="0.2">
      <c r="A217" s="31">
        <v>44412</v>
      </c>
      <c r="B217" s="2">
        <v>1175</v>
      </c>
      <c r="C217" s="2">
        <v>277</v>
      </c>
      <c r="D217" s="3">
        <v>4717.96</v>
      </c>
      <c r="E217" s="7" t="s">
        <v>12</v>
      </c>
    </row>
    <row r="218" spans="1:5" x14ac:dyDescent="0.2">
      <c r="A218" s="31">
        <v>44413</v>
      </c>
      <c r="B218" s="2">
        <v>1141</v>
      </c>
      <c r="C218" s="2">
        <v>274</v>
      </c>
      <c r="D218" s="3">
        <v>3975.79</v>
      </c>
      <c r="E218" s="7" t="s">
        <v>12</v>
      </c>
    </row>
    <row r="219" spans="1:5" x14ac:dyDescent="0.2">
      <c r="A219" s="31">
        <v>44414</v>
      </c>
      <c r="B219" s="2">
        <v>1181</v>
      </c>
      <c r="C219" s="2">
        <v>271</v>
      </c>
      <c r="D219" s="3">
        <v>3893.14</v>
      </c>
      <c r="E219" s="7" t="s">
        <v>12</v>
      </c>
    </row>
    <row r="220" spans="1:5" x14ac:dyDescent="0.2">
      <c r="A220" s="31">
        <v>44415</v>
      </c>
      <c r="B220" s="2">
        <v>1132</v>
      </c>
      <c r="C220" s="2">
        <v>252</v>
      </c>
      <c r="D220" s="3">
        <v>3934.31</v>
      </c>
      <c r="E220" s="7" t="s">
        <v>12</v>
      </c>
    </row>
    <row r="221" spans="1:5" x14ac:dyDescent="0.2">
      <c r="A221" s="31">
        <v>44416</v>
      </c>
      <c r="B221" s="2">
        <v>1158</v>
      </c>
      <c r="C221" s="2">
        <v>250</v>
      </c>
      <c r="D221" s="3">
        <v>4091.92</v>
      </c>
      <c r="E221" s="7" t="s">
        <v>12</v>
      </c>
    </row>
    <row r="222" spans="1:5" x14ac:dyDescent="0.2">
      <c r="A222" s="31">
        <v>44417</v>
      </c>
      <c r="B222" s="2">
        <v>1127</v>
      </c>
      <c r="C222" s="2">
        <v>267</v>
      </c>
      <c r="D222" s="3">
        <v>4000.21</v>
      </c>
      <c r="E222" s="7" t="s">
        <v>12</v>
      </c>
    </row>
    <row r="223" spans="1:5" x14ac:dyDescent="0.2">
      <c r="A223" s="31">
        <v>44418</v>
      </c>
      <c r="B223" s="2">
        <v>1070</v>
      </c>
      <c r="C223" s="2">
        <v>231</v>
      </c>
      <c r="D223" s="3">
        <v>3691.7</v>
      </c>
      <c r="E223" s="7" t="s">
        <v>12</v>
      </c>
    </row>
    <row r="224" spans="1:5" x14ac:dyDescent="0.2">
      <c r="A224" s="31">
        <v>44419</v>
      </c>
      <c r="B224" s="2">
        <v>1136</v>
      </c>
      <c r="C224" s="2">
        <v>271</v>
      </c>
      <c r="D224" s="3">
        <v>4171.38</v>
      </c>
      <c r="E224" s="7" t="s">
        <v>12</v>
      </c>
    </row>
    <row r="225" spans="1:5" x14ac:dyDescent="0.2">
      <c r="A225" s="31">
        <v>44420</v>
      </c>
      <c r="B225" s="2">
        <v>1095</v>
      </c>
      <c r="C225" s="2">
        <v>262</v>
      </c>
      <c r="D225" s="3">
        <v>4137.91</v>
      </c>
      <c r="E225" s="7" t="s">
        <v>12</v>
      </c>
    </row>
    <row r="226" spans="1:5" x14ac:dyDescent="0.2">
      <c r="A226" s="31">
        <v>44421</v>
      </c>
      <c r="B226" s="2">
        <v>1227</v>
      </c>
      <c r="C226" s="2">
        <v>292</v>
      </c>
      <c r="D226" s="3">
        <v>5393.9</v>
      </c>
      <c r="E226" s="7" t="s">
        <v>12</v>
      </c>
    </row>
    <row r="227" spans="1:5" x14ac:dyDescent="0.2">
      <c r="A227" s="31">
        <v>44422</v>
      </c>
      <c r="B227" s="2">
        <v>1143</v>
      </c>
      <c r="C227" s="2">
        <v>262</v>
      </c>
      <c r="D227" s="3">
        <v>4507.03</v>
      </c>
      <c r="E227" s="7" t="s">
        <v>12</v>
      </c>
    </row>
    <row r="228" spans="1:5" x14ac:dyDescent="0.2">
      <c r="A228" s="31">
        <v>44423</v>
      </c>
      <c r="B228" s="2">
        <v>1120</v>
      </c>
      <c r="C228" s="2">
        <v>274</v>
      </c>
      <c r="D228" s="3">
        <v>4342.4799999999996</v>
      </c>
      <c r="E228" s="7" t="s">
        <v>12</v>
      </c>
    </row>
    <row r="229" spans="1:5" x14ac:dyDescent="0.2">
      <c r="A229" s="31">
        <v>44424</v>
      </c>
      <c r="B229" s="2">
        <v>1172</v>
      </c>
      <c r="C229" s="2">
        <v>289</v>
      </c>
      <c r="D229" s="3">
        <v>5573.46</v>
      </c>
      <c r="E229" s="7" t="s">
        <v>12</v>
      </c>
    </row>
    <row r="230" spans="1:5" x14ac:dyDescent="0.2">
      <c r="A230" s="31">
        <v>44425</v>
      </c>
      <c r="B230" s="2">
        <v>1134</v>
      </c>
      <c r="C230" s="2">
        <v>255</v>
      </c>
      <c r="D230" s="3">
        <v>3818.26</v>
      </c>
      <c r="E230" s="7" t="s">
        <v>12</v>
      </c>
    </row>
    <row r="231" spans="1:5" x14ac:dyDescent="0.2">
      <c r="A231" s="31">
        <v>44426</v>
      </c>
      <c r="B231" s="2">
        <v>1168</v>
      </c>
      <c r="C231" s="2">
        <v>263</v>
      </c>
      <c r="D231" s="3">
        <v>4069.72</v>
      </c>
      <c r="E231" s="7" t="s">
        <v>12</v>
      </c>
    </row>
    <row r="232" spans="1:5" x14ac:dyDescent="0.2">
      <c r="A232" s="31">
        <v>44427</v>
      </c>
      <c r="B232" s="2">
        <v>1135</v>
      </c>
      <c r="C232" s="2">
        <v>253</v>
      </c>
      <c r="D232" s="3">
        <v>4831.8</v>
      </c>
      <c r="E232" s="7" t="s">
        <v>12</v>
      </c>
    </row>
    <row r="233" spans="1:5" x14ac:dyDescent="0.2">
      <c r="A233" s="31">
        <v>44428</v>
      </c>
      <c r="B233" s="2">
        <v>1175</v>
      </c>
      <c r="C233" s="2">
        <v>245</v>
      </c>
      <c r="D233" s="3">
        <v>3114.84</v>
      </c>
      <c r="E233" s="7" t="s">
        <v>12</v>
      </c>
    </row>
    <row r="234" spans="1:5" x14ac:dyDescent="0.2">
      <c r="A234" s="31">
        <v>44429</v>
      </c>
      <c r="B234" s="2">
        <v>1117</v>
      </c>
      <c r="C234" s="2">
        <v>262</v>
      </c>
      <c r="D234" s="3">
        <v>3869.03</v>
      </c>
      <c r="E234" s="7" t="s">
        <v>12</v>
      </c>
    </row>
    <row r="235" spans="1:5" x14ac:dyDescent="0.2">
      <c r="A235" s="31">
        <v>44430</v>
      </c>
      <c r="B235" s="2">
        <v>1207</v>
      </c>
      <c r="C235" s="2">
        <v>272</v>
      </c>
      <c r="D235" s="3">
        <v>3667.88</v>
      </c>
      <c r="E235" s="7" t="s">
        <v>12</v>
      </c>
    </row>
    <row r="236" spans="1:5" x14ac:dyDescent="0.2">
      <c r="A236" s="31">
        <v>44431</v>
      </c>
      <c r="B236" s="2">
        <v>1153</v>
      </c>
      <c r="C236" s="2">
        <v>267</v>
      </c>
      <c r="D236" s="3">
        <v>5387.81</v>
      </c>
      <c r="E236" s="7" t="s">
        <v>12</v>
      </c>
    </row>
    <row r="237" spans="1:5" x14ac:dyDescent="0.2">
      <c r="A237" s="31">
        <v>44432</v>
      </c>
      <c r="B237" s="2">
        <v>1067</v>
      </c>
      <c r="C237" s="2">
        <v>258</v>
      </c>
      <c r="D237" s="3">
        <v>4919.25</v>
      </c>
      <c r="E237" s="7" t="s">
        <v>12</v>
      </c>
    </row>
    <row r="238" spans="1:5" x14ac:dyDescent="0.2">
      <c r="A238" s="31">
        <v>44433</v>
      </c>
      <c r="B238" s="2">
        <v>1088</v>
      </c>
      <c r="C238" s="2">
        <v>289</v>
      </c>
      <c r="D238" s="3">
        <v>3836.09</v>
      </c>
      <c r="E238" s="7" t="s">
        <v>12</v>
      </c>
    </row>
    <row r="239" spans="1:5" x14ac:dyDescent="0.2">
      <c r="A239" s="31">
        <v>44434</v>
      </c>
      <c r="B239" s="2">
        <v>1124</v>
      </c>
      <c r="C239" s="2">
        <v>233</v>
      </c>
      <c r="D239" s="3">
        <v>3639.04</v>
      </c>
      <c r="E239" s="7" t="s">
        <v>12</v>
      </c>
    </row>
    <row r="240" spans="1:5" x14ac:dyDescent="0.2">
      <c r="A240" s="31">
        <v>44435</v>
      </c>
      <c r="B240" s="2">
        <v>1132</v>
      </c>
      <c r="C240" s="2">
        <v>247</v>
      </c>
      <c r="D240" s="3">
        <v>4250.63</v>
      </c>
      <c r="E240" s="7" t="s">
        <v>12</v>
      </c>
    </row>
    <row r="241" spans="1:5" x14ac:dyDescent="0.2">
      <c r="A241" s="31">
        <v>44436</v>
      </c>
      <c r="B241" s="2">
        <v>1140</v>
      </c>
      <c r="C241" s="2">
        <v>256</v>
      </c>
      <c r="D241" s="3">
        <v>3764.46</v>
      </c>
      <c r="E241" s="7" t="s">
        <v>12</v>
      </c>
    </row>
    <row r="242" spans="1:5" x14ac:dyDescent="0.2">
      <c r="A242" s="31">
        <v>44437</v>
      </c>
      <c r="B242" s="2">
        <v>1156</v>
      </c>
      <c r="C242" s="2">
        <v>239</v>
      </c>
      <c r="D242" s="3">
        <v>4201.92</v>
      </c>
      <c r="E242" s="7" t="s">
        <v>12</v>
      </c>
    </row>
    <row r="243" spans="1:5" x14ac:dyDescent="0.2">
      <c r="A243" s="31">
        <v>44438</v>
      </c>
      <c r="B243" s="2">
        <v>1227</v>
      </c>
      <c r="C243" s="2">
        <v>284</v>
      </c>
      <c r="D243" s="3">
        <v>4933.83</v>
      </c>
      <c r="E243" s="7" t="s">
        <v>12</v>
      </c>
    </row>
    <row r="244" spans="1:5" x14ac:dyDescent="0.2">
      <c r="A244" s="31">
        <v>44439</v>
      </c>
      <c r="B244" s="2">
        <v>1180</v>
      </c>
      <c r="C244" s="2">
        <v>287</v>
      </c>
      <c r="D244" s="3">
        <v>5121.03</v>
      </c>
      <c r="E244" s="7" t="s">
        <v>12</v>
      </c>
    </row>
    <row r="245" spans="1:5" x14ac:dyDescent="0.2">
      <c r="A245" s="31">
        <v>44440</v>
      </c>
      <c r="B245" s="2">
        <v>1184</v>
      </c>
      <c r="C245" s="2">
        <v>267</v>
      </c>
      <c r="D245" s="3">
        <v>4378.24</v>
      </c>
      <c r="E245" s="7" t="s">
        <v>12</v>
      </c>
    </row>
    <row r="246" spans="1:5" x14ac:dyDescent="0.2">
      <c r="A246" s="31">
        <v>44441</v>
      </c>
      <c r="B246" s="2">
        <v>1143</v>
      </c>
      <c r="C246" s="2">
        <v>247</v>
      </c>
      <c r="D246" s="3">
        <v>4109.91</v>
      </c>
      <c r="E246" s="7" t="s">
        <v>12</v>
      </c>
    </row>
    <row r="247" spans="1:5" x14ac:dyDescent="0.2">
      <c r="A247" s="31">
        <v>44442</v>
      </c>
      <c r="B247" s="2">
        <v>1122</v>
      </c>
      <c r="C247" s="2">
        <v>249</v>
      </c>
      <c r="D247" s="3">
        <v>3443.26</v>
      </c>
      <c r="E247" s="7" t="s">
        <v>12</v>
      </c>
    </row>
    <row r="248" spans="1:5" x14ac:dyDescent="0.2">
      <c r="A248" s="31">
        <v>44443</v>
      </c>
      <c r="B248" s="2">
        <v>1185</v>
      </c>
      <c r="C248" s="2">
        <v>262</v>
      </c>
      <c r="D248" s="3">
        <v>3677.87</v>
      </c>
      <c r="E248" s="7" t="s">
        <v>12</v>
      </c>
    </row>
    <row r="249" spans="1:5" x14ac:dyDescent="0.2">
      <c r="A249" s="31">
        <v>44444</v>
      </c>
      <c r="B249" s="2">
        <v>1171</v>
      </c>
      <c r="C249" s="2">
        <v>263</v>
      </c>
      <c r="D249" s="3">
        <v>3782.85</v>
      </c>
      <c r="E249" s="7" t="s">
        <v>12</v>
      </c>
    </row>
    <row r="250" spans="1:5" x14ac:dyDescent="0.2">
      <c r="A250" s="31">
        <v>44445</v>
      </c>
      <c r="B250" s="2">
        <v>1137</v>
      </c>
      <c r="C250" s="2">
        <v>268</v>
      </c>
      <c r="D250" s="3">
        <v>5954.92</v>
      </c>
      <c r="E250" s="7" t="s">
        <v>12</v>
      </c>
    </row>
    <row r="251" spans="1:5" x14ac:dyDescent="0.2">
      <c r="A251" s="31">
        <v>44446</v>
      </c>
      <c r="B251" s="2">
        <v>1134</v>
      </c>
      <c r="C251" s="2">
        <v>248</v>
      </c>
      <c r="D251" s="3">
        <v>3422.32</v>
      </c>
      <c r="E251" s="7" t="s">
        <v>12</v>
      </c>
    </row>
    <row r="252" spans="1:5" x14ac:dyDescent="0.2">
      <c r="A252" s="31">
        <v>44447</v>
      </c>
      <c r="B252" s="2">
        <v>1139</v>
      </c>
      <c r="C252" s="2">
        <v>272</v>
      </c>
      <c r="D252" s="3">
        <v>4813.91</v>
      </c>
      <c r="E252" s="7" t="s">
        <v>12</v>
      </c>
    </row>
    <row r="253" spans="1:5" x14ac:dyDescent="0.2">
      <c r="A253" s="31">
        <v>44448</v>
      </c>
      <c r="B253" s="2">
        <v>1172</v>
      </c>
      <c r="C253" s="2">
        <v>254</v>
      </c>
      <c r="D253" s="3">
        <v>3728.56</v>
      </c>
      <c r="E253" s="7" t="s">
        <v>12</v>
      </c>
    </row>
    <row r="254" spans="1:5" x14ac:dyDescent="0.2">
      <c r="A254" s="31">
        <v>44449</v>
      </c>
      <c r="B254" s="2">
        <v>1129</v>
      </c>
      <c r="C254" s="2">
        <v>252</v>
      </c>
      <c r="D254" s="3">
        <v>3597.16</v>
      </c>
      <c r="E254" s="7" t="s">
        <v>12</v>
      </c>
    </row>
    <row r="255" spans="1:5" x14ac:dyDescent="0.2">
      <c r="A255" s="31">
        <v>44450</v>
      </c>
      <c r="B255" s="2">
        <v>1155</v>
      </c>
      <c r="C255" s="2">
        <v>268</v>
      </c>
      <c r="D255" s="3">
        <v>4364.8599999999997</v>
      </c>
      <c r="E255" s="7" t="s">
        <v>12</v>
      </c>
    </row>
    <row r="256" spans="1:5" x14ac:dyDescent="0.2">
      <c r="A256" s="31">
        <v>44451</v>
      </c>
      <c r="B256" s="2">
        <v>1168</v>
      </c>
      <c r="C256" s="2">
        <v>260</v>
      </c>
      <c r="D256" s="3">
        <v>3272.17</v>
      </c>
      <c r="E256" s="7" t="s">
        <v>12</v>
      </c>
    </row>
    <row r="257" spans="1:5" x14ac:dyDescent="0.2">
      <c r="A257" s="31">
        <v>44452</v>
      </c>
      <c r="B257" s="2">
        <v>1127</v>
      </c>
      <c r="C257" s="2">
        <v>250</v>
      </c>
      <c r="D257" s="3">
        <v>4130.1400000000003</v>
      </c>
      <c r="E257" s="7" t="s">
        <v>12</v>
      </c>
    </row>
    <row r="258" spans="1:5" x14ac:dyDescent="0.2">
      <c r="A258" s="31">
        <v>44453</v>
      </c>
      <c r="B258" s="2">
        <v>1174</v>
      </c>
      <c r="C258" s="2">
        <v>278</v>
      </c>
      <c r="D258" s="3">
        <v>3934.13</v>
      </c>
      <c r="E258" s="7" t="s">
        <v>12</v>
      </c>
    </row>
    <row r="259" spans="1:5" x14ac:dyDescent="0.2">
      <c r="A259" s="31">
        <v>44454</v>
      </c>
      <c r="B259" s="2">
        <v>1165</v>
      </c>
      <c r="C259" s="2">
        <v>291</v>
      </c>
      <c r="D259" s="3">
        <v>4071.7</v>
      </c>
      <c r="E259" s="7" t="s">
        <v>12</v>
      </c>
    </row>
    <row r="260" spans="1:5" x14ac:dyDescent="0.2">
      <c r="A260" s="31">
        <v>44455</v>
      </c>
      <c r="B260" s="2">
        <v>1124</v>
      </c>
      <c r="C260" s="2">
        <v>264</v>
      </c>
      <c r="D260" s="3">
        <v>4662.1000000000004</v>
      </c>
      <c r="E260" s="7" t="s">
        <v>12</v>
      </c>
    </row>
    <row r="261" spans="1:5" x14ac:dyDescent="0.2">
      <c r="A261" s="31">
        <v>44456</v>
      </c>
      <c r="B261" s="2">
        <v>1118</v>
      </c>
      <c r="C261" s="2">
        <v>274</v>
      </c>
      <c r="D261" s="3">
        <v>4570.6400000000003</v>
      </c>
      <c r="E261" s="7" t="s">
        <v>12</v>
      </c>
    </row>
    <row r="262" spans="1:5" x14ac:dyDescent="0.2">
      <c r="A262" s="31">
        <v>44457</v>
      </c>
      <c r="B262" s="2">
        <v>1116</v>
      </c>
      <c r="C262" s="2">
        <v>244</v>
      </c>
      <c r="D262" s="3">
        <v>3740.97</v>
      </c>
      <c r="E262" s="7" t="s">
        <v>12</v>
      </c>
    </row>
    <row r="263" spans="1:5" x14ac:dyDescent="0.2">
      <c r="A263" s="31">
        <v>44458</v>
      </c>
      <c r="B263" s="2">
        <v>1173</v>
      </c>
      <c r="C263" s="2">
        <v>278</v>
      </c>
      <c r="D263" s="3">
        <v>3554.74</v>
      </c>
      <c r="E263" s="7" t="s">
        <v>12</v>
      </c>
    </row>
    <row r="264" spans="1:5" x14ac:dyDescent="0.2">
      <c r="A264" s="31">
        <v>44459</v>
      </c>
      <c r="B264" s="2">
        <v>1174</v>
      </c>
      <c r="C264" s="2">
        <v>275</v>
      </c>
      <c r="D264" s="3">
        <v>4271.08</v>
      </c>
      <c r="E264" s="7" t="s">
        <v>12</v>
      </c>
    </row>
    <row r="265" spans="1:5" x14ac:dyDescent="0.2">
      <c r="A265" s="31">
        <v>44460</v>
      </c>
      <c r="B265" s="2">
        <v>1167</v>
      </c>
      <c r="C265" s="2">
        <v>235</v>
      </c>
      <c r="D265" s="3">
        <v>4459.01</v>
      </c>
      <c r="E265" s="7" t="s">
        <v>12</v>
      </c>
    </row>
    <row r="266" spans="1:5" x14ac:dyDescent="0.2">
      <c r="A266" s="31">
        <v>44461</v>
      </c>
      <c r="B266" s="2">
        <v>1158</v>
      </c>
      <c r="C266" s="2">
        <v>267</v>
      </c>
      <c r="D266" s="3">
        <v>4160.2299999999996</v>
      </c>
      <c r="E266" s="7" t="s">
        <v>12</v>
      </c>
    </row>
    <row r="267" spans="1:5" x14ac:dyDescent="0.2">
      <c r="A267" s="31">
        <v>44462</v>
      </c>
      <c r="B267" s="2">
        <v>1144</v>
      </c>
      <c r="C267" s="2">
        <v>270</v>
      </c>
      <c r="D267" s="3">
        <v>5248.46</v>
      </c>
      <c r="E267" s="7" t="s">
        <v>12</v>
      </c>
    </row>
    <row r="268" spans="1:5" x14ac:dyDescent="0.2">
      <c r="A268" s="31">
        <v>44463</v>
      </c>
      <c r="B268" s="2">
        <v>1212</v>
      </c>
      <c r="C268" s="2">
        <v>272</v>
      </c>
      <c r="D268" s="3">
        <v>3976.79</v>
      </c>
      <c r="E268" s="7" t="s">
        <v>12</v>
      </c>
    </row>
    <row r="269" spans="1:5" x14ac:dyDescent="0.2">
      <c r="A269" s="31">
        <v>44464</v>
      </c>
      <c r="B269" s="2">
        <v>1184</v>
      </c>
      <c r="C269" s="2">
        <v>269</v>
      </c>
      <c r="D269" s="3">
        <v>4486.95</v>
      </c>
      <c r="E269" s="7" t="s">
        <v>12</v>
      </c>
    </row>
    <row r="270" spans="1:5" x14ac:dyDescent="0.2">
      <c r="A270" s="31">
        <v>44465</v>
      </c>
      <c r="B270" s="2">
        <v>1186</v>
      </c>
      <c r="C270" s="2">
        <v>260</v>
      </c>
      <c r="D270" s="3">
        <v>3472.32</v>
      </c>
      <c r="E270" s="7" t="s">
        <v>12</v>
      </c>
    </row>
    <row r="271" spans="1:5" x14ac:dyDescent="0.2">
      <c r="A271" s="31">
        <v>44466</v>
      </c>
      <c r="B271" s="2">
        <v>1155</v>
      </c>
      <c r="C271" s="2">
        <v>250</v>
      </c>
      <c r="D271" s="3">
        <v>3574.3</v>
      </c>
      <c r="E271" s="7" t="s">
        <v>12</v>
      </c>
    </row>
    <row r="272" spans="1:5" x14ac:dyDescent="0.2">
      <c r="A272" s="31">
        <v>44467</v>
      </c>
      <c r="B272" s="2">
        <v>1115</v>
      </c>
      <c r="C272" s="2">
        <v>262</v>
      </c>
      <c r="D272" s="3">
        <v>3706.58</v>
      </c>
      <c r="E272" s="7" t="s">
        <v>12</v>
      </c>
    </row>
    <row r="273" spans="1:5" x14ac:dyDescent="0.2">
      <c r="A273" s="31">
        <v>44468</v>
      </c>
      <c r="B273" s="2">
        <v>1100</v>
      </c>
      <c r="C273" s="2">
        <v>258</v>
      </c>
      <c r="D273" s="3">
        <v>3478.61</v>
      </c>
      <c r="E273" s="7" t="s">
        <v>12</v>
      </c>
    </row>
    <row r="274" spans="1:5" x14ac:dyDescent="0.2">
      <c r="A274" s="31">
        <v>44469</v>
      </c>
      <c r="B274" s="2">
        <v>1142</v>
      </c>
      <c r="C274" s="2">
        <v>266</v>
      </c>
      <c r="D274" s="3">
        <v>5367.05</v>
      </c>
      <c r="E274" s="7" t="s">
        <v>12</v>
      </c>
    </row>
    <row r="275" spans="1:5" x14ac:dyDescent="0.2">
      <c r="A275" s="31">
        <v>44470</v>
      </c>
      <c r="B275" s="2">
        <v>1153</v>
      </c>
      <c r="C275" s="2">
        <v>287</v>
      </c>
      <c r="D275" s="3">
        <v>5122.53</v>
      </c>
      <c r="E275" s="7" t="s">
        <v>12</v>
      </c>
    </row>
    <row r="276" spans="1:5" x14ac:dyDescent="0.2">
      <c r="A276" s="31">
        <v>44471</v>
      </c>
      <c r="B276" s="2">
        <v>1118</v>
      </c>
      <c r="C276" s="2">
        <v>274</v>
      </c>
      <c r="D276" s="3">
        <v>4255.43</v>
      </c>
      <c r="E276" s="7" t="s">
        <v>12</v>
      </c>
    </row>
    <row r="277" spans="1:5" x14ac:dyDescent="0.2">
      <c r="A277" s="31">
        <v>44472</v>
      </c>
      <c r="B277" s="2">
        <v>1124</v>
      </c>
      <c r="C277" s="2">
        <v>269</v>
      </c>
      <c r="D277" s="3">
        <v>4840.3100000000004</v>
      </c>
      <c r="E277" s="7" t="s">
        <v>12</v>
      </c>
    </row>
    <row r="278" spans="1:5" x14ac:dyDescent="0.2">
      <c r="A278" s="31">
        <v>44473</v>
      </c>
      <c r="B278" s="2">
        <v>1139</v>
      </c>
      <c r="C278" s="2">
        <v>284</v>
      </c>
      <c r="D278" s="3">
        <v>4507.92</v>
      </c>
      <c r="E278" s="7" t="s">
        <v>12</v>
      </c>
    </row>
    <row r="279" spans="1:5" x14ac:dyDescent="0.2">
      <c r="A279" s="31">
        <v>44474</v>
      </c>
      <c r="B279" s="2">
        <v>1138</v>
      </c>
      <c r="C279" s="2">
        <v>252</v>
      </c>
      <c r="D279" s="3">
        <v>4138.49</v>
      </c>
      <c r="E279" s="7" t="s">
        <v>12</v>
      </c>
    </row>
    <row r="280" spans="1:5" x14ac:dyDescent="0.2">
      <c r="A280" s="31">
        <v>44475</v>
      </c>
      <c r="B280" s="2">
        <v>1137</v>
      </c>
      <c r="C280" s="2">
        <v>244</v>
      </c>
      <c r="D280" s="3">
        <v>3813.95</v>
      </c>
      <c r="E280" s="7" t="s">
        <v>12</v>
      </c>
    </row>
    <row r="281" spans="1:5" x14ac:dyDescent="0.2">
      <c r="A281" s="31">
        <v>44476</v>
      </c>
      <c r="B281" s="2">
        <v>1155</v>
      </c>
      <c r="C281" s="2">
        <v>252</v>
      </c>
      <c r="D281" s="3">
        <v>4368.84</v>
      </c>
      <c r="E281" s="7" t="s">
        <v>12</v>
      </c>
    </row>
    <row r="282" spans="1:5" x14ac:dyDescent="0.2">
      <c r="A282" s="31">
        <v>44477</v>
      </c>
      <c r="B282" s="2">
        <v>1204</v>
      </c>
      <c r="C282" s="2">
        <v>284</v>
      </c>
      <c r="D282" s="3">
        <v>4807.09</v>
      </c>
      <c r="E282" s="7" t="s">
        <v>12</v>
      </c>
    </row>
    <row r="283" spans="1:5" x14ac:dyDescent="0.2">
      <c r="A283" s="31">
        <v>44478</v>
      </c>
      <c r="B283" s="2">
        <v>1127</v>
      </c>
      <c r="C283" s="2">
        <v>266</v>
      </c>
      <c r="D283" s="3">
        <v>4140</v>
      </c>
      <c r="E283" s="7" t="s">
        <v>12</v>
      </c>
    </row>
    <row r="284" spans="1:5" x14ac:dyDescent="0.2">
      <c r="A284" s="31">
        <v>44479</v>
      </c>
      <c r="B284" s="2">
        <v>1185</v>
      </c>
      <c r="C284" s="2">
        <v>251</v>
      </c>
      <c r="D284" s="3">
        <v>4778.68</v>
      </c>
      <c r="E284" s="7" t="s">
        <v>12</v>
      </c>
    </row>
    <row r="285" spans="1:5" x14ac:dyDescent="0.2">
      <c r="A285" s="31">
        <v>44480</v>
      </c>
      <c r="B285" s="2">
        <v>1120</v>
      </c>
      <c r="C285" s="2">
        <v>250</v>
      </c>
      <c r="D285" s="3">
        <v>3525.83</v>
      </c>
      <c r="E285" s="7" t="s">
        <v>12</v>
      </c>
    </row>
    <row r="286" spans="1:5" x14ac:dyDescent="0.2">
      <c r="A286" s="31">
        <v>44481</v>
      </c>
      <c r="B286" s="2">
        <v>1137</v>
      </c>
      <c r="C286" s="2">
        <v>255</v>
      </c>
      <c r="D286" s="3">
        <v>3805.19</v>
      </c>
      <c r="E286" s="7" t="s">
        <v>12</v>
      </c>
    </row>
    <row r="287" spans="1:5" x14ac:dyDescent="0.2">
      <c r="A287" s="31">
        <v>44482</v>
      </c>
      <c r="B287" s="2">
        <v>1198</v>
      </c>
      <c r="C287" s="2">
        <v>269</v>
      </c>
      <c r="D287" s="3">
        <v>4141.5</v>
      </c>
      <c r="E287" s="7" t="s">
        <v>12</v>
      </c>
    </row>
    <row r="288" spans="1:5" x14ac:dyDescent="0.2">
      <c r="A288" s="31">
        <v>44483</v>
      </c>
      <c r="B288" s="2">
        <v>1180</v>
      </c>
      <c r="C288" s="2">
        <v>266</v>
      </c>
      <c r="D288" s="3">
        <v>4126.1499999999996</v>
      </c>
      <c r="E288" s="7" t="s">
        <v>12</v>
      </c>
    </row>
    <row r="289" spans="1:5" x14ac:dyDescent="0.2">
      <c r="A289" s="31">
        <v>44484</v>
      </c>
      <c r="B289" s="2">
        <v>1156</v>
      </c>
      <c r="C289" s="2">
        <v>263</v>
      </c>
      <c r="D289" s="3">
        <v>4781.8599999999997</v>
      </c>
      <c r="E289" s="7" t="s">
        <v>12</v>
      </c>
    </row>
    <row r="290" spans="1:5" x14ac:dyDescent="0.2">
      <c r="A290" s="31">
        <v>44485</v>
      </c>
      <c r="B290" s="2">
        <v>1212</v>
      </c>
      <c r="C290" s="2">
        <v>278</v>
      </c>
      <c r="D290" s="3">
        <v>3669.99</v>
      </c>
      <c r="E290" s="7" t="s">
        <v>12</v>
      </c>
    </row>
    <row r="291" spans="1:5" x14ac:dyDescent="0.2">
      <c r="A291" s="31">
        <v>44486</v>
      </c>
      <c r="B291" s="2">
        <v>1168</v>
      </c>
      <c r="C291" s="2">
        <v>227</v>
      </c>
      <c r="D291" s="3">
        <v>3402.39</v>
      </c>
      <c r="E291" s="7" t="s">
        <v>12</v>
      </c>
    </row>
    <row r="292" spans="1:5" x14ac:dyDescent="0.2">
      <c r="A292" s="31">
        <v>44487</v>
      </c>
      <c r="B292" s="2">
        <v>1115</v>
      </c>
      <c r="C292" s="2">
        <v>257</v>
      </c>
      <c r="D292" s="3">
        <v>4978.1000000000004</v>
      </c>
      <c r="E292" s="7" t="s">
        <v>12</v>
      </c>
    </row>
    <row r="293" spans="1:5" x14ac:dyDescent="0.2">
      <c r="A293" s="31">
        <v>44488</v>
      </c>
      <c r="B293" s="2">
        <v>1188</v>
      </c>
      <c r="C293" s="2">
        <v>283</v>
      </c>
      <c r="D293" s="3">
        <v>5011.3500000000004</v>
      </c>
      <c r="E293" s="7" t="s">
        <v>12</v>
      </c>
    </row>
    <row r="294" spans="1:5" x14ac:dyDescent="0.2">
      <c r="A294" s="31">
        <v>44489</v>
      </c>
      <c r="B294" s="2">
        <v>1136</v>
      </c>
      <c r="C294" s="2">
        <v>251</v>
      </c>
      <c r="D294" s="3">
        <v>4805.66</v>
      </c>
      <c r="E294" s="7" t="s">
        <v>12</v>
      </c>
    </row>
    <row r="295" spans="1:5" x14ac:dyDescent="0.2">
      <c r="A295" s="31">
        <v>44490</v>
      </c>
      <c r="B295" s="2">
        <v>1128</v>
      </c>
      <c r="C295" s="2">
        <v>292</v>
      </c>
      <c r="D295" s="3">
        <v>4202.28</v>
      </c>
      <c r="E295" s="7" t="s">
        <v>12</v>
      </c>
    </row>
    <row r="296" spans="1:5" x14ac:dyDescent="0.2">
      <c r="A296" s="31">
        <v>44491</v>
      </c>
      <c r="B296" s="2">
        <v>1087</v>
      </c>
      <c r="C296" s="2">
        <v>247</v>
      </c>
      <c r="D296" s="3">
        <v>3583.19</v>
      </c>
      <c r="E296" s="7" t="s">
        <v>12</v>
      </c>
    </row>
    <row r="297" spans="1:5" x14ac:dyDescent="0.2">
      <c r="A297" s="31">
        <v>44492</v>
      </c>
      <c r="B297" s="2">
        <v>1127</v>
      </c>
      <c r="C297" s="2">
        <v>264</v>
      </c>
      <c r="D297" s="3">
        <v>4477.1499999999996</v>
      </c>
      <c r="E297" s="7" t="s">
        <v>12</v>
      </c>
    </row>
    <row r="298" spans="1:5" x14ac:dyDescent="0.2">
      <c r="A298" s="31">
        <v>44493</v>
      </c>
      <c r="B298" s="2">
        <v>1119</v>
      </c>
      <c r="C298" s="2">
        <v>254</v>
      </c>
      <c r="D298" s="3">
        <v>4156.16</v>
      </c>
      <c r="E298" s="7" t="s">
        <v>12</v>
      </c>
    </row>
    <row r="299" spans="1:5" x14ac:dyDescent="0.2">
      <c r="A299" s="31">
        <v>44494</v>
      </c>
      <c r="B299" s="2">
        <v>1183</v>
      </c>
      <c r="C299" s="2">
        <v>283</v>
      </c>
      <c r="D299" s="3">
        <v>3517.2</v>
      </c>
      <c r="E299" s="7" t="s">
        <v>12</v>
      </c>
    </row>
    <row r="300" spans="1:5" x14ac:dyDescent="0.2">
      <c r="A300" s="31">
        <v>44495</v>
      </c>
      <c r="B300" s="2">
        <v>1130</v>
      </c>
      <c r="C300" s="2">
        <v>251</v>
      </c>
      <c r="D300" s="3">
        <v>3597.81</v>
      </c>
      <c r="E300" s="7" t="s">
        <v>12</v>
      </c>
    </row>
    <row r="301" spans="1:5" x14ac:dyDescent="0.2">
      <c r="A301" s="31">
        <v>44496</v>
      </c>
      <c r="B301" s="2">
        <v>1131</v>
      </c>
      <c r="C301" s="2">
        <v>280</v>
      </c>
      <c r="D301" s="3">
        <v>4686.49</v>
      </c>
      <c r="E301" s="7" t="s">
        <v>12</v>
      </c>
    </row>
    <row r="302" spans="1:5" x14ac:dyDescent="0.2">
      <c r="A302" s="31">
        <v>44497</v>
      </c>
      <c r="B302" s="2">
        <v>1136</v>
      </c>
      <c r="C302" s="2">
        <v>269</v>
      </c>
      <c r="D302" s="3">
        <v>4270.6400000000003</v>
      </c>
      <c r="E302" s="7" t="s">
        <v>12</v>
      </c>
    </row>
    <row r="303" spans="1:5" x14ac:dyDescent="0.2">
      <c r="A303" s="31">
        <v>44498</v>
      </c>
      <c r="B303" s="2">
        <v>1149</v>
      </c>
      <c r="C303" s="2">
        <v>258</v>
      </c>
      <c r="D303" s="3">
        <v>4966.99</v>
      </c>
      <c r="E303" s="7" t="s">
        <v>12</v>
      </c>
    </row>
    <row r="304" spans="1:5" x14ac:dyDescent="0.2">
      <c r="A304" s="31">
        <v>44499</v>
      </c>
      <c r="B304" s="2">
        <v>1120</v>
      </c>
      <c r="C304" s="2">
        <v>264</v>
      </c>
      <c r="D304" s="3">
        <v>3781.93</v>
      </c>
      <c r="E304" s="7" t="s">
        <v>12</v>
      </c>
    </row>
    <row r="305" spans="1:5" x14ac:dyDescent="0.2">
      <c r="A305" s="31">
        <v>44500</v>
      </c>
      <c r="B305" s="2">
        <v>1155</v>
      </c>
      <c r="C305" s="2">
        <v>266</v>
      </c>
      <c r="D305" s="3">
        <v>4133.3599999999997</v>
      </c>
      <c r="E305" s="7" t="s">
        <v>12</v>
      </c>
    </row>
    <row r="306" spans="1:5" x14ac:dyDescent="0.2">
      <c r="A306" s="31">
        <v>44501</v>
      </c>
      <c r="B306" s="2">
        <v>1181</v>
      </c>
      <c r="C306" s="2">
        <v>262</v>
      </c>
      <c r="D306" s="3">
        <v>3727.38</v>
      </c>
      <c r="E306" s="7" t="s">
        <v>12</v>
      </c>
    </row>
    <row r="307" spans="1:5" x14ac:dyDescent="0.2">
      <c r="A307" s="31">
        <v>44502</v>
      </c>
      <c r="B307" s="2">
        <v>1123</v>
      </c>
      <c r="C307" s="2">
        <v>265</v>
      </c>
      <c r="D307" s="3">
        <v>3886.08</v>
      </c>
      <c r="E307" s="7" t="s">
        <v>12</v>
      </c>
    </row>
    <row r="308" spans="1:5" x14ac:dyDescent="0.2">
      <c r="A308" s="31">
        <v>44503</v>
      </c>
      <c r="B308" s="2">
        <v>1186</v>
      </c>
      <c r="C308" s="2">
        <v>268</v>
      </c>
      <c r="D308" s="3">
        <v>5032.1499999999996</v>
      </c>
      <c r="E308" s="7" t="s">
        <v>12</v>
      </c>
    </row>
    <row r="309" spans="1:5" x14ac:dyDescent="0.2">
      <c r="A309" s="31">
        <v>44504</v>
      </c>
      <c r="B309" s="2">
        <v>1073</v>
      </c>
      <c r="C309" s="2">
        <v>258</v>
      </c>
      <c r="D309" s="3">
        <v>6153.94</v>
      </c>
      <c r="E309" s="7" t="s">
        <v>12</v>
      </c>
    </row>
    <row r="310" spans="1:5" x14ac:dyDescent="0.2">
      <c r="A310" s="31">
        <v>44505</v>
      </c>
      <c r="B310" s="2">
        <v>1160</v>
      </c>
      <c r="C310" s="2">
        <v>264</v>
      </c>
      <c r="D310" s="3">
        <v>4397.9799999999996</v>
      </c>
      <c r="E310" s="7" t="s">
        <v>12</v>
      </c>
    </row>
    <row r="311" spans="1:5" x14ac:dyDescent="0.2">
      <c r="A311" s="31">
        <v>44506</v>
      </c>
      <c r="B311" s="2">
        <v>1168</v>
      </c>
      <c r="C311" s="2">
        <v>296</v>
      </c>
      <c r="D311" s="3">
        <v>5184.6899999999996</v>
      </c>
      <c r="E311" s="7" t="s">
        <v>12</v>
      </c>
    </row>
    <row r="312" spans="1:5" x14ac:dyDescent="0.2">
      <c r="A312" s="31">
        <v>44507</v>
      </c>
      <c r="B312" s="2">
        <v>1135</v>
      </c>
      <c r="C312" s="2">
        <v>224</v>
      </c>
      <c r="D312" s="3">
        <v>3917.76</v>
      </c>
      <c r="E312" s="7" t="s">
        <v>12</v>
      </c>
    </row>
    <row r="313" spans="1:5" x14ac:dyDescent="0.2">
      <c r="A313" s="31">
        <v>44508</v>
      </c>
      <c r="B313" s="2">
        <v>1171</v>
      </c>
      <c r="C313" s="2">
        <v>281</v>
      </c>
      <c r="D313" s="3">
        <v>5032.88</v>
      </c>
      <c r="E313" s="7" t="s">
        <v>12</v>
      </c>
    </row>
    <row r="314" spans="1:5" x14ac:dyDescent="0.2">
      <c r="A314" s="31">
        <v>44509</v>
      </c>
      <c r="B314" s="2">
        <v>1082</v>
      </c>
      <c r="C314" s="2">
        <v>240</v>
      </c>
      <c r="D314" s="3">
        <v>3748.56</v>
      </c>
      <c r="E314" s="7" t="s">
        <v>12</v>
      </c>
    </row>
    <row r="315" spans="1:5" x14ac:dyDescent="0.2">
      <c r="A315" s="31">
        <v>44510</v>
      </c>
      <c r="B315" s="2">
        <v>1176</v>
      </c>
      <c r="C315" s="2">
        <v>262</v>
      </c>
      <c r="D315" s="3">
        <v>4599.3599999999997</v>
      </c>
      <c r="E315" s="7" t="s">
        <v>12</v>
      </c>
    </row>
    <row r="316" spans="1:5" x14ac:dyDescent="0.2">
      <c r="A316" s="31">
        <v>44511</v>
      </c>
      <c r="B316" s="2">
        <v>1127</v>
      </c>
      <c r="C316" s="2">
        <v>257</v>
      </c>
      <c r="D316" s="3">
        <v>3543.37</v>
      </c>
      <c r="E316" s="7" t="s">
        <v>12</v>
      </c>
    </row>
    <row r="317" spans="1:5" x14ac:dyDescent="0.2">
      <c r="A317" s="31">
        <v>44512</v>
      </c>
      <c r="B317" s="2">
        <v>1149</v>
      </c>
      <c r="C317" s="2">
        <v>277</v>
      </c>
      <c r="D317" s="3">
        <v>4581.6099999999997</v>
      </c>
      <c r="E317" s="7" t="s">
        <v>12</v>
      </c>
    </row>
    <row r="318" spans="1:5" x14ac:dyDescent="0.2">
      <c r="A318" s="31">
        <v>44513</v>
      </c>
      <c r="B318" s="2">
        <v>1166</v>
      </c>
      <c r="C318" s="2">
        <v>271</v>
      </c>
      <c r="D318" s="3">
        <v>3877.3</v>
      </c>
      <c r="E318" s="7" t="s">
        <v>12</v>
      </c>
    </row>
    <row r="319" spans="1:5" x14ac:dyDescent="0.2">
      <c r="A319" s="31">
        <v>44514</v>
      </c>
      <c r="B319" s="2">
        <v>1157</v>
      </c>
      <c r="C319" s="2">
        <v>244</v>
      </c>
      <c r="D319" s="3">
        <v>3949.57</v>
      </c>
      <c r="E319" s="7" t="s">
        <v>12</v>
      </c>
    </row>
    <row r="320" spans="1:5" x14ac:dyDescent="0.2">
      <c r="A320" s="31">
        <v>44515</v>
      </c>
      <c r="B320" s="2">
        <v>1153</v>
      </c>
      <c r="C320" s="2">
        <v>257</v>
      </c>
      <c r="D320" s="3">
        <v>4002.92</v>
      </c>
      <c r="E320" s="7" t="s">
        <v>12</v>
      </c>
    </row>
    <row r="321" spans="1:5" x14ac:dyDescent="0.2">
      <c r="A321" s="31">
        <v>44516</v>
      </c>
      <c r="B321" s="2">
        <v>1074</v>
      </c>
      <c r="C321" s="2">
        <v>229</v>
      </c>
      <c r="D321" s="3">
        <v>3269.94</v>
      </c>
      <c r="E321" s="7" t="s">
        <v>12</v>
      </c>
    </row>
    <row r="322" spans="1:5" x14ac:dyDescent="0.2">
      <c r="A322" s="31">
        <v>44517</v>
      </c>
      <c r="B322" s="2">
        <v>1185</v>
      </c>
      <c r="C322" s="2">
        <v>277</v>
      </c>
      <c r="D322" s="3">
        <v>4171</v>
      </c>
      <c r="E322" s="7" t="s">
        <v>12</v>
      </c>
    </row>
    <row r="323" spans="1:5" x14ac:dyDescent="0.2">
      <c r="A323" s="31">
        <v>44518</v>
      </c>
      <c r="B323" s="2">
        <v>1188</v>
      </c>
      <c r="C323" s="2">
        <v>266</v>
      </c>
      <c r="D323" s="3">
        <v>2749.29</v>
      </c>
      <c r="E323" s="7" t="s">
        <v>12</v>
      </c>
    </row>
    <row r="324" spans="1:5" x14ac:dyDescent="0.2">
      <c r="A324" s="31">
        <v>44519</v>
      </c>
      <c r="B324" s="2">
        <v>1153</v>
      </c>
      <c r="C324" s="2">
        <v>274</v>
      </c>
      <c r="D324" s="3">
        <v>4630.17</v>
      </c>
      <c r="E324" s="7" t="s">
        <v>12</v>
      </c>
    </row>
    <row r="325" spans="1:5" x14ac:dyDescent="0.2">
      <c r="A325" s="31">
        <v>44520</v>
      </c>
      <c r="B325" s="2">
        <v>1142</v>
      </c>
      <c r="C325" s="2">
        <v>262</v>
      </c>
      <c r="D325" s="3">
        <v>4281.32</v>
      </c>
      <c r="E325" s="7" t="s">
        <v>12</v>
      </c>
    </row>
    <row r="326" spans="1:5" x14ac:dyDescent="0.2">
      <c r="A326" s="31">
        <v>44521</v>
      </c>
      <c r="B326" s="2">
        <v>1184</v>
      </c>
      <c r="C326" s="2">
        <v>281</v>
      </c>
      <c r="D326" s="3">
        <v>4307.0200000000004</v>
      </c>
      <c r="E326" s="7" t="s">
        <v>12</v>
      </c>
    </row>
    <row r="327" spans="1:5" x14ac:dyDescent="0.2">
      <c r="A327" s="31">
        <v>44522</v>
      </c>
      <c r="B327" s="2">
        <v>1140</v>
      </c>
      <c r="C327" s="2">
        <v>246</v>
      </c>
      <c r="D327" s="3">
        <v>4036.56</v>
      </c>
      <c r="E327" s="7" t="s">
        <v>12</v>
      </c>
    </row>
    <row r="328" spans="1:5" x14ac:dyDescent="0.2">
      <c r="A328" s="31">
        <v>44523</v>
      </c>
      <c r="B328" s="2">
        <v>1150</v>
      </c>
      <c r="C328" s="2">
        <v>289</v>
      </c>
      <c r="D328" s="3">
        <v>4809.88</v>
      </c>
      <c r="E328" s="7" t="s">
        <v>12</v>
      </c>
    </row>
    <row r="329" spans="1:5" x14ac:dyDescent="0.2">
      <c r="A329" s="31">
        <v>44524</v>
      </c>
      <c r="B329" s="2">
        <v>1174</v>
      </c>
      <c r="C329" s="2">
        <v>253</v>
      </c>
      <c r="D329" s="3">
        <v>4967.9399999999996</v>
      </c>
      <c r="E329" s="7" t="s">
        <v>12</v>
      </c>
    </row>
    <row r="330" spans="1:5" x14ac:dyDescent="0.2">
      <c r="A330" s="31">
        <v>44525</v>
      </c>
      <c r="B330" s="2">
        <v>1189</v>
      </c>
      <c r="C330" s="2">
        <v>286</v>
      </c>
      <c r="D330" s="3">
        <v>4753.32</v>
      </c>
      <c r="E330" s="7" t="s">
        <v>12</v>
      </c>
    </row>
    <row r="331" spans="1:5" x14ac:dyDescent="0.2">
      <c r="A331" s="31">
        <v>44526</v>
      </c>
      <c r="B331" s="2">
        <v>1173</v>
      </c>
      <c r="C331" s="2">
        <v>235</v>
      </c>
      <c r="D331" s="3">
        <v>3957.22</v>
      </c>
      <c r="E331" s="7" t="s">
        <v>12</v>
      </c>
    </row>
    <row r="332" spans="1:5" x14ac:dyDescent="0.2">
      <c r="A332" s="31">
        <v>44527</v>
      </c>
      <c r="B332" s="2">
        <v>1218</v>
      </c>
      <c r="C332" s="2">
        <v>301</v>
      </c>
      <c r="D332" s="3">
        <v>5033.57</v>
      </c>
      <c r="E332" s="7" t="s">
        <v>12</v>
      </c>
    </row>
    <row r="333" spans="1:5" x14ac:dyDescent="0.2">
      <c r="A333" s="31">
        <v>44528</v>
      </c>
      <c r="B333" s="2">
        <v>1177</v>
      </c>
      <c r="C333" s="2">
        <v>262</v>
      </c>
      <c r="D333" s="3">
        <v>3558.23</v>
      </c>
      <c r="E333" s="7" t="s">
        <v>12</v>
      </c>
    </row>
    <row r="334" spans="1:5" x14ac:dyDescent="0.2">
      <c r="A334" s="31">
        <v>44529</v>
      </c>
      <c r="B334" s="2">
        <v>1211</v>
      </c>
      <c r="C334" s="2">
        <v>279</v>
      </c>
      <c r="D334" s="3">
        <v>4264.22</v>
      </c>
      <c r="E334" s="7" t="s">
        <v>12</v>
      </c>
    </row>
    <row r="335" spans="1:5" x14ac:dyDescent="0.2">
      <c r="A335" s="31">
        <v>44530</v>
      </c>
      <c r="B335" s="2">
        <v>1158</v>
      </c>
      <c r="C335" s="2">
        <v>298</v>
      </c>
      <c r="D335" s="3">
        <v>4745.6099999999997</v>
      </c>
      <c r="E335" s="7" t="s">
        <v>12</v>
      </c>
    </row>
    <row r="336" spans="1:5" x14ac:dyDescent="0.2">
      <c r="A336" s="31">
        <v>44531</v>
      </c>
      <c r="B336" s="2">
        <v>1074</v>
      </c>
      <c r="C336" s="2">
        <v>250</v>
      </c>
      <c r="D336" s="3">
        <v>2936.39</v>
      </c>
      <c r="E336" s="7" t="s">
        <v>12</v>
      </c>
    </row>
    <row r="337" spans="1:5" x14ac:dyDescent="0.2">
      <c r="A337" s="31">
        <v>44532</v>
      </c>
      <c r="B337" s="2">
        <v>1133</v>
      </c>
      <c r="C337" s="2">
        <v>278</v>
      </c>
      <c r="D337" s="3">
        <v>4239.6000000000004</v>
      </c>
      <c r="E337" s="7" t="s">
        <v>12</v>
      </c>
    </row>
    <row r="338" spans="1:5" x14ac:dyDescent="0.2">
      <c r="A338" s="31">
        <v>44533</v>
      </c>
      <c r="B338" s="2">
        <v>1136</v>
      </c>
      <c r="C338" s="2">
        <v>239</v>
      </c>
      <c r="D338" s="3">
        <v>3491.98</v>
      </c>
      <c r="E338" s="7" t="s">
        <v>12</v>
      </c>
    </row>
    <row r="339" spans="1:5" x14ac:dyDescent="0.2">
      <c r="A339" s="31">
        <v>44534</v>
      </c>
      <c r="B339" s="2">
        <v>1141</v>
      </c>
      <c r="C339" s="2">
        <v>274</v>
      </c>
      <c r="D339" s="3">
        <v>3971.67</v>
      </c>
      <c r="E339" s="7" t="s">
        <v>12</v>
      </c>
    </row>
    <row r="340" spans="1:5" x14ac:dyDescent="0.2">
      <c r="A340" s="31">
        <v>44535</v>
      </c>
      <c r="B340" s="2">
        <v>1193</v>
      </c>
      <c r="C340" s="2">
        <v>277</v>
      </c>
      <c r="D340" s="3">
        <v>5445.61</v>
      </c>
      <c r="E340" s="7" t="s">
        <v>12</v>
      </c>
    </row>
    <row r="341" spans="1:5" x14ac:dyDescent="0.2">
      <c r="A341" s="31">
        <v>44536</v>
      </c>
      <c r="B341" s="2">
        <v>1215</v>
      </c>
      <c r="C341" s="2">
        <v>285</v>
      </c>
      <c r="D341" s="3">
        <v>4809.2700000000004</v>
      </c>
      <c r="E341" s="7" t="s">
        <v>12</v>
      </c>
    </row>
    <row r="342" spans="1:5" x14ac:dyDescent="0.2">
      <c r="A342" s="31">
        <v>44537</v>
      </c>
      <c r="B342" s="2">
        <v>1178</v>
      </c>
      <c r="C342" s="2">
        <v>286</v>
      </c>
      <c r="D342" s="3">
        <v>4188.76</v>
      </c>
      <c r="E342" s="7" t="s">
        <v>12</v>
      </c>
    </row>
    <row r="343" spans="1:5" x14ac:dyDescent="0.2">
      <c r="A343" s="31">
        <v>44538</v>
      </c>
      <c r="B343" s="2">
        <v>1168</v>
      </c>
      <c r="C343" s="2">
        <v>279</v>
      </c>
      <c r="D343" s="3">
        <v>5313.97</v>
      </c>
      <c r="E343" s="7" t="s">
        <v>12</v>
      </c>
    </row>
    <row r="344" spans="1:5" x14ac:dyDescent="0.2">
      <c r="A344" s="31">
        <v>44539</v>
      </c>
      <c r="B344" s="2">
        <v>1120</v>
      </c>
      <c r="C344" s="2">
        <v>246</v>
      </c>
      <c r="D344" s="3">
        <v>4278.04</v>
      </c>
      <c r="E344" s="7" t="s">
        <v>12</v>
      </c>
    </row>
    <row r="345" spans="1:5" x14ac:dyDescent="0.2">
      <c r="A345" s="31">
        <v>44540</v>
      </c>
      <c r="B345" s="2">
        <v>1133</v>
      </c>
      <c r="C345" s="2">
        <v>258</v>
      </c>
      <c r="D345" s="3">
        <v>4107.87</v>
      </c>
      <c r="E345" s="7" t="s">
        <v>12</v>
      </c>
    </row>
    <row r="346" spans="1:5" x14ac:dyDescent="0.2">
      <c r="A346" s="31">
        <v>44541</v>
      </c>
      <c r="B346" s="2">
        <v>1129</v>
      </c>
      <c r="C346" s="2">
        <v>309</v>
      </c>
      <c r="D346" s="3">
        <v>5061.1000000000004</v>
      </c>
      <c r="E346" s="7" t="s">
        <v>12</v>
      </c>
    </row>
    <row r="347" spans="1:5" x14ac:dyDescent="0.2">
      <c r="A347" s="31">
        <v>44542</v>
      </c>
      <c r="B347" s="2">
        <v>1207</v>
      </c>
      <c r="C347" s="2">
        <v>263</v>
      </c>
      <c r="D347" s="3">
        <v>4764.8900000000003</v>
      </c>
      <c r="E347" s="7" t="s">
        <v>12</v>
      </c>
    </row>
    <row r="348" spans="1:5" x14ac:dyDescent="0.2">
      <c r="A348" s="31">
        <v>44543</v>
      </c>
      <c r="B348" s="2">
        <v>1166</v>
      </c>
      <c r="C348" s="2">
        <v>293</v>
      </c>
      <c r="D348" s="3">
        <v>4270.6400000000003</v>
      </c>
      <c r="E348" s="7" t="s">
        <v>12</v>
      </c>
    </row>
    <row r="349" spans="1:5" x14ac:dyDescent="0.2">
      <c r="A349" s="31">
        <v>44544</v>
      </c>
      <c r="B349" s="2">
        <v>1099</v>
      </c>
      <c r="C349" s="2">
        <v>258</v>
      </c>
      <c r="D349" s="3">
        <v>4461.59</v>
      </c>
      <c r="E349" s="7" t="s">
        <v>12</v>
      </c>
    </row>
    <row r="350" spans="1:5" x14ac:dyDescent="0.2">
      <c r="A350" s="31">
        <v>44545</v>
      </c>
      <c r="B350" s="2">
        <v>1235</v>
      </c>
      <c r="C350" s="2">
        <v>304</v>
      </c>
      <c r="D350" s="3">
        <v>4945.6499999999996</v>
      </c>
      <c r="E350" s="7" t="s">
        <v>12</v>
      </c>
    </row>
    <row r="351" spans="1:5" x14ac:dyDescent="0.2">
      <c r="A351" s="31">
        <v>44546</v>
      </c>
      <c r="B351" s="2">
        <v>1131</v>
      </c>
      <c r="C351" s="2">
        <v>240</v>
      </c>
      <c r="D351" s="3">
        <v>3738.4</v>
      </c>
      <c r="E351" s="7" t="s">
        <v>12</v>
      </c>
    </row>
    <row r="352" spans="1:5" x14ac:dyDescent="0.2">
      <c r="A352" s="31">
        <v>44547</v>
      </c>
      <c r="B352" s="2">
        <v>1140</v>
      </c>
      <c r="C352" s="2">
        <v>240</v>
      </c>
      <c r="D352" s="3">
        <v>3323.85</v>
      </c>
      <c r="E352" s="7" t="s">
        <v>12</v>
      </c>
    </row>
    <row r="353" spans="1:5" x14ac:dyDescent="0.2">
      <c r="A353" s="31">
        <v>44548</v>
      </c>
      <c r="B353" s="2">
        <v>1176</v>
      </c>
      <c r="C353" s="2">
        <v>271</v>
      </c>
      <c r="D353" s="3">
        <v>4911.26</v>
      </c>
      <c r="E353" s="7" t="s">
        <v>12</v>
      </c>
    </row>
    <row r="354" spans="1:5" x14ac:dyDescent="0.2">
      <c r="A354" s="31">
        <v>44549</v>
      </c>
      <c r="B354" s="2">
        <v>1190</v>
      </c>
      <c r="C354" s="2">
        <v>251</v>
      </c>
      <c r="D354" s="3">
        <v>3506.59</v>
      </c>
      <c r="E354" s="7" t="s">
        <v>12</v>
      </c>
    </row>
    <row r="355" spans="1:5" x14ac:dyDescent="0.2">
      <c r="A355" s="31">
        <v>44550</v>
      </c>
      <c r="B355" s="2">
        <v>1154</v>
      </c>
      <c r="C355" s="2">
        <v>269</v>
      </c>
      <c r="D355" s="3">
        <v>3817.61</v>
      </c>
      <c r="E355" s="7" t="s">
        <v>12</v>
      </c>
    </row>
    <row r="356" spans="1:5" x14ac:dyDescent="0.2">
      <c r="A356" s="31">
        <v>44551</v>
      </c>
      <c r="B356" s="2">
        <v>1201</v>
      </c>
      <c r="C356" s="2">
        <v>280</v>
      </c>
      <c r="D356" s="3">
        <v>3614.39</v>
      </c>
      <c r="E356" s="7" t="s">
        <v>12</v>
      </c>
    </row>
    <row r="357" spans="1:5" x14ac:dyDescent="0.2">
      <c r="A357" s="31">
        <v>44552</v>
      </c>
      <c r="B357" s="2">
        <v>1136</v>
      </c>
      <c r="C357" s="2">
        <v>253</v>
      </c>
      <c r="D357" s="3">
        <v>4956.96</v>
      </c>
      <c r="E357" s="7" t="s">
        <v>12</v>
      </c>
    </row>
    <row r="358" spans="1:5" x14ac:dyDescent="0.2">
      <c r="A358" s="31">
        <v>44553</v>
      </c>
      <c r="B358" s="2">
        <v>1177</v>
      </c>
      <c r="C358" s="2">
        <v>261</v>
      </c>
      <c r="D358" s="3">
        <v>5026.0600000000004</v>
      </c>
      <c r="E358" s="7" t="s">
        <v>12</v>
      </c>
    </row>
    <row r="359" spans="1:5" x14ac:dyDescent="0.2">
      <c r="A359" s="31">
        <v>44554</v>
      </c>
      <c r="B359" s="2">
        <v>1134</v>
      </c>
      <c r="C359" s="2">
        <v>250</v>
      </c>
      <c r="D359" s="3">
        <v>3917.18</v>
      </c>
      <c r="E359" s="7" t="s">
        <v>12</v>
      </c>
    </row>
    <row r="360" spans="1:5" x14ac:dyDescent="0.2">
      <c r="A360" s="31">
        <v>44555</v>
      </c>
      <c r="B360" s="2">
        <v>1166</v>
      </c>
      <c r="C360" s="2">
        <v>294</v>
      </c>
      <c r="D360" s="3">
        <v>3907</v>
      </c>
      <c r="E360" s="7" t="s">
        <v>12</v>
      </c>
    </row>
    <row r="361" spans="1:5" x14ac:dyDescent="0.2">
      <c r="A361" s="31">
        <v>44556</v>
      </c>
      <c r="B361" s="2">
        <v>1140</v>
      </c>
      <c r="C361" s="2">
        <v>257</v>
      </c>
      <c r="D361" s="3">
        <v>5040.8999999999996</v>
      </c>
      <c r="E361" s="7" t="s">
        <v>12</v>
      </c>
    </row>
    <row r="362" spans="1:5" x14ac:dyDescent="0.2">
      <c r="A362" s="31">
        <v>44557</v>
      </c>
      <c r="B362" s="2">
        <v>1194</v>
      </c>
      <c r="C362" s="2">
        <v>266</v>
      </c>
      <c r="D362" s="3">
        <v>4889.37</v>
      </c>
      <c r="E362" s="7" t="s">
        <v>12</v>
      </c>
    </row>
    <row r="363" spans="1:5" x14ac:dyDescent="0.2">
      <c r="A363" s="31">
        <v>44558</v>
      </c>
      <c r="B363" s="2">
        <v>1109</v>
      </c>
      <c r="C363" s="2">
        <v>257</v>
      </c>
      <c r="D363" s="3">
        <v>3699.35</v>
      </c>
      <c r="E363" s="7" t="s">
        <v>12</v>
      </c>
    </row>
    <row r="364" spans="1:5" x14ac:dyDescent="0.2">
      <c r="A364" s="31">
        <v>44559</v>
      </c>
      <c r="B364" s="2">
        <v>1186</v>
      </c>
      <c r="C364" s="2">
        <v>258</v>
      </c>
      <c r="D364" s="3">
        <v>3919.33</v>
      </c>
      <c r="E364" s="7" t="s">
        <v>12</v>
      </c>
    </row>
    <row r="365" spans="1:5" x14ac:dyDescent="0.2">
      <c r="A365" s="31">
        <v>44560</v>
      </c>
      <c r="B365" s="2">
        <v>1158</v>
      </c>
      <c r="C365" s="2">
        <v>242</v>
      </c>
      <c r="D365" s="3">
        <v>2646.39</v>
      </c>
      <c r="E365" s="7" t="s">
        <v>12</v>
      </c>
    </row>
    <row r="366" spans="1:5" x14ac:dyDescent="0.2">
      <c r="A366" s="31">
        <v>44561</v>
      </c>
      <c r="B366" s="2">
        <v>1138</v>
      </c>
      <c r="C366" s="2">
        <v>261</v>
      </c>
      <c r="D366" s="3">
        <v>3741.66</v>
      </c>
      <c r="E366" s="7" t="s">
        <v>12</v>
      </c>
    </row>
    <row r="367" spans="1:5" x14ac:dyDescent="0.2">
      <c r="A367" s="31">
        <v>44562</v>
      </c>
      <c r="B367" s="2">
        <v>1158</v>
      </c>
      <c r="C367" s="2">
        <v>273</v>
      </c>
      <c r="D367" s="3">
        <v>4596.34</v>
      </c>
      <c r="E367" s="7" t="s">
        <v>12</v>
      </c>
    </row>
    <row r="368" spans="1:5" x14ac:dyDescent="0.2">
      <c r="A368" s="31">
        <v>44563</v>
      </c>
      <c r="B368" s="2">
        <v>1120</v>
      </c>
      <c r="C368" s="2">
        <v>276</v>
      </c>
      <c r="D368" s="3">
        <v>4906.75</v>
      </c>
      <c r="E368" s="7" t="s">
        <v>12</v>
      </c>
    </row>
    <row r="369" spans="1:5" x14ac:dyDescent="0.2">
      <c r="A369" s="31">
        <v>44564</v>
      </c>
      <c r="B369" s="2">
        <v>1112</v>
      </c>
      <c r="C369" s="2">
        <v>253</v>
      </c>
      <c r="D369" s="3">
        <v>3640.69</v>
      </c>
      <c r="E369" s="7" t="s">
        <v>12</v>
      </c>
    </row>
    <row r="370" spans="1:5" x14ac:dyDescent="0.2">
      <c r="A370" s="31">
        <v>44565</v>
      </c>
      <c r="B370" s="2">
        <v>1109</v>
      </c>
      <c r="C370" s="2">
        <v>256</v>
      </c>
      <c r="D370" s="3">
        <v>3903.33</v>
      </c>
      <c r="E370" s="7" t="s">
        <v>12</v>
      </c>
    </row>
    <row r="371" spans="1:5" x14ac:dyDescent="0.2">
      <c r="A371" s="31">
        <v>44566</v>
      </c>
      <c r="B371" s="2">
        <v>1164</v>
      </c>
      <c r="C371" s="2">
        <v>238</v>
      </c>
      <c r="D371" s="3">
        <v>3171.72</v>
      </c>
      <c r="E371" s="7" t="s">
        <v>12</v>
      </c>
    </row>
    <row r="372" spans="1:5" x14ac:dyDescent="0.2">
      <c r="A372" s="31">
        <v>44567</v>
      </c>
      <c r="B372" s="2">
        <v>1124</v>
      </c>
      <c r="C372" s="2">
        <v>288</v>
      </c>
      <c r="D372" s="3">
        <v>3997.09</v>
      </c>
      <c r="E372" s="7" t="s">
        <v>12</v>
      </c>
    </row>
    <row r="373" spans="1:5" x14ac:dyDescent="0.2">
      <c r="A373" s="31">
        <v>44568</v>
      </c>
      <c r="B373" s="2">
        <v>1141</v>
      </c>
      <c r="C373" s="2">
        <v>279</v>
      </c>
      <c r="D373" s="3">
        <v>5237.58</v>
      </c>
      <c r="E373" s="7" t="s">
        <v>12</v>
      </c>
    </row>
    <row r="374" spans="1:5" x14ac:dyDescent="0.2">
      <c r="A374" s="31">
        <v>44569</v>
      </c>
      <c r="B374" s="2">
        <v>1131</v>
      </c>
      <c r="C374" s="2">
        <v>267</v>
      </c>
      <c r="D374" s="3">
        <v>4627.07</v>
      </c>
      <c r="E374" s="7" t="s">
        <v>12</v>
      </c>
    </row>
    <row r="375" spans="1:5" x14ac:dyDescent="0.2">
      <c r="A375" s="31">
        <v>44570</v>
      </c>
      <c r="B375" s="2">
        <v>1135</v>
      </c>
      <c r="C375" s="2">
        <v>259</v>
      </c>
      <c r="D375" s="3">
        <v>3959.24</v>
      </c>
      <c r="E375" s="7" t="s">
        <v>12</v>
      </c>
    </row>
    <row r="376" spans="1:5" x14ac:dyDescent="0.2">
      <c r="A376" s="31">
        <v>44571</v>
      </c>
      <c r="B376" s="2">
        <v>1142</v>
      </c>
      <c r="C376" s="2">
        <v>270</v>
      </c>
      <c r="D376" s="3">
        <v>3846.54</v>
      </c>
      <c r="E376" s="7" t="s">
        <v>12</v>
      </c>
    </row>
    <row r="377" spans="1:5" x14ac:dyDescent="0.2">
      <c r="A377" s="31">
        <v>44572</v>
      </c>
      <c r="B377" s="2">
        <v>1140</v>
      </c>
      <c r="C377" s="2">
        <v>239</v>
      </c>
      <c r="D377" s="3">
        <v>2764.36</v>
      </c>
      <c r="E377" s="7" t="s">
        <v>12</v>
      </c>
    </row>
    <row r="378" spans="1:5" x14ac:dyDescent="0.2">
      <c r="A378" s="31">
        <v>44573</v>
      </c>
      <c r="B378" s="2">
        <v>1142</v>
      </c>
      <c r="C378" s="2">
        <v>271</v>
      </c>
      <c r="D378" s="3">
        <v>5456.81</v>
      </c>
      <c r="E378" s="7" t="s">
        <v>12</v>
      </c>
    </row>
    <row r="379" spans="1:5" x14ac:dyDescent="0.2">
      <c r="A379" s="31">
        <v>44574</v>
      </c>
      <c r="B379" s="2">
        <v>1180</v>
      </c>
      <c r="C379" s="2">
        <v>262</v>
      </c>
      <c r="D379" s="3">
        <v>3766.3</v>
      </c>
      <c r="E379" s="7" t="s">
        <v>12</v>
      </c>
    </row>
    <row r="380" spans="1:5" x14ac:dyDescent="0.2">
      <c r="A380" s="31">
        <v>44575</v>
      </c>
      <c r="B380" s="2">
        <v>1125</v>
      </c>
      <c r="C380" s="2">
        <v>269</v>
      </c>
      <c r="D380" s="3">
        <v>4284.7299999999996</v>
      </c>
      <c r="E380" s="7" t="s">
        <v>12</v>
      </c>
    </row>
    <row r="381" spans="1:5" x14ac:dyDescent="0.2">
      <c r="A381" s="31">
        <v>44576</v>
      </c>
      <c r="B381" s="2">
        <v>1114</v>
      </c>
      <c r="C381" s="2">
        <v>243</v>
      </c>
      <c r="D381" s="3">
        <v>3947.82</v>
      </c>
      <c r="E381" s="7" t="s">
        <v>12</v>
      </c>
    </row>
    <row r="382" spans="1:5" x14ac:dyDescent="0.2">
      <c r="A382" s="31">
        <v>44577</v>
      </c>
      <c r="B382" s="2">
        <v>1199</v>
      </c>
      <c r="C382" s="2">
        <v>279</v>
      </c>
      <c r="D382" s="3">
        <v>5063.47</v>
      </c>
      <c r="E382" s="7" t="s">
        <v>12</v>
      </c>
    </row>
    <row r="383" spans="1:5" x14ac:dyDescent="0.2">
      <c r="A383" s="31">
        <v>44578</v>
      </c>
      <c r="B383" s="2">
        <v>1124</v>
      </c>
      <c r="C383" s="2">
        <v>265</v>
      </c>
      <c r="D383" s="3">
        <v>3901.71</v>
      </c>
      <c r="E383" s="7" t="s">
        <v>12</v>
      </c>
    </row>
    <row r="384" spans="1:5" x14ac:dyDescent="0.2">
      <c r="A384" s="31">
        <v>44579</v>
      </c>
      <c r="B384" s="2">
        <v>1120</v>
      </c>
      <c r="C384" s="2">
        <v>252</v>
      </c>
      <c r="D384" s="3">
        <v>3380.07</v>
      </c>
      <c r="E384" s="7" t="s">
        <v>12</v>
      </c>
    </row>
    <row r="385" spans="1:5" x14ac:dyDescent="0.2">
      <c r="A385" s="31">
        <v>44580</v>
      </c>
      <c r="B385" s="2">
        <v>1166</v>
      </c>
      <c r="C385" s="2">
        <v>239</v>
      </c>
      <c r="D385" s="3">
        <v>3116.83</v>
      </c>
      <c r="E385" s="7" t="s">
        <v>12</v>
      </c>
    </row>
    <row r="386" spans="1:5" x14ac:dyDescent="0.2">
      <c r="A386" s="31">
        <v>44581</v>
      </c>
      <c r="B386" s="2">
        <v>1125</v>
      </c>
      <c r="C386" s="2">
        <v>240</v>
      </c>
      <c r="D386" s="3">
        <v>3730.81</v>
      </c>
      <c r="E386" s="7" t="s">
        <v>12</v>
      </c>
    </row>
    <row r="387" spans="1:5" x14ac:dyDescent="0.2">
      <c r="A387" s="31">
        <v>44582</v>
      </c>
      <c r="B387" s="2">
        <v>1141</v>
      </c>
      <c r="C387" s="2">
        <v>293</v>
      </c>
      <c r="D387" s="3">
        <v>5322.04</v>
      </c>
      <c r="E387" s="7" t="s">
        <v>12</v>
      </c>
    </row>
    <row r="388" spans="1:5" x14ac:dyDescent="0.2">
      <c r="A388" s="31">
        <v>44583</v>
      </c>
      <c r="B388" s="2">
        <v>1157</v>
      </c>
      <c r="C388" s="2">
        <v>279</v>
      </c>
      <c r="D388" s="3">
        <v>4963.21</v>
      </c>
      <c r="E388" s="7" t="s">
        <v>12</v>
      </c>
    </row>
    <row r="389" spans="1:5" x14ac:dyDescent="0.2">
      <c r="A389" s="31">
        <v>44584</v>
      </c>
      <c r="B389" s="2">
        <v>1117</v>
      </c>
      <c r="C389" s="2">
        <v>281</v>
      </c>
      <c r="D389" s="3">
        <v>4140.3900000000003</v>
      </c>
      <c r="E389" s="7" t="s">
        <v>12</v>
      </c>
    </row>
    <row r="390" spans="1:5" x14ac:dyDescent="0.2">
      <c r="A390" s="31">
        <v>44585</v>
      </c>
      <c r="B390" s="2">
        <v>1134</v>
      </c>
      <c r="C390" s="2">
        <v>278</v>
      </c>
      <c r="D390" s="3">
        <v>4702.54</v>
      </c>
      <c r="E390" s="7" t="s">
        <v>12</v>
      </c>
    </row>
    <row r="391" spans="1:5" x14ac:dyDescent="0.2">
      <c r="A391" s="31">
        <v>44586</v>
      </c>
      <c r="B391" s="2">
        <v>1109</v>
      </c>
      <c r="C391" s="2">
        <v>225</v>
      </c>
      <c r="D391" s="3">
        <v>3847.86</v>
      </c>
      <c r="E391" s="7" t="s">
        <v>12</v>
      </c>
    </row>
    <row r="392" spans="1:5" x14ac:dyDescent="0.2">
      <c r="A392" s="31">
        <v>44587</v>
      </c>
      <c r="B392" s="2">
        <v>1183</v>
      </c>
      <c r="C392" s="2">
        <v>251</v>
      </c>
      <c r="D392" s="3">
        <v>3650.51</v>
      </c>
      <c r="E392" s="7" t="s">
        <v>12</v>
      </c>
    </row>
    <row r="393" spans="1:5" x14ac:dyDescent="0.2">
      <c r="A393" s="31">
        <v>44588</v>
      </c>
      <c r="B393" s="2">
        <v>1168</v>
      </c>
      <c r="C393" s="2">
        <v>284</v>
      </c>
      <c r="D393" s="3">
        <v>5039.4799999999996</v>
      </c>
      <c r="E393" s="7" t="s">
        <v>12</v>
      </c>
    </row>
    <row r="394" spans="1:5" x14ac:dyDescent="0.2">
      <c r="A394" s="31">
        <v>44589</v>
      </c>
      <c r="B394" s="2">
        <v>1188</v>
      </c>
      <c r="C394" s="2">
        <v>261</v>
      </c>
      <c r="D394" s="3">
        <v>3970.58</v>
      </c>
      <c r="E394" s="7" t="s">
        <v>12</v>
      </c>
    </row>
    <row r="395" spans="1:5" x14ac:dyDescent="0.2">
      <c r="A395" s="31">
        <v>44590</v>
      </c>
      <c r="B395" s="2">
        <v>1100</v>
      </c>
      <c r="C395" s="2">
        <v>244</v>
      </c>
      <c r="D395" s="3">
        <v>4313.66</v>
      </c>
      <c r="E395" s="7" t="s">
        <v>12</v>
      </c>
    </row>
    <row r="396" spans="1:5" x14ac:dyDescent="0.2">
      <c r="A396" s="31">
        <v>44591</v>
      </c>
      <c r="B396" s="2">
        <v>1126</v>
      </c>
      <c r="C396" s="2">
        <v>223</v>
      </c>
      <c r="D396" s="3">
        <v>4215.87</v>
      </c>
      <c r="E396" s="7" t="s">
        <v>12</v>
      </c>
    </row>
    <row r="397" spans="1:5" x14ac:dyDescent="0.2">
      <c r="A397" s="31">
        <v>44592</v>
      </c>
      <c r="B397" s="2">
        <v>1137</v>
      </c>
      <c r="C397" s="2">
        <v>261</v>
      </c>
      <c r="D397" s="3">
        <v>4196.59</v>
      </c>
      <c r="E397" s="7" t="s">
        <v>12</v>
      </c>
    </row>
    <row r="398" spans="1:5" x14ac:dyDescent="0.2">
      <c r="A398" s="31">
        <v>44593</v>
      </c>
      <c r="B398" s="2">
        <v>1166</v>
      </c>
      <c r="C398" s="2">
        <v>274</v>
      </c>
      <c r="D398" s="3">
        <v>4325.7299999999996</v>
      </c>
      <c r="E398" s="7" t="s">
        <v>12</v>
      </c>
    </row>
    <row r="399" spans="1:5" x14ac:dyDescent="0.2">
      <c r="A399" s="31">
        <v>44594</v>
      </c>
      <c r="B399" s="2">
        <v>1151</v>
      </c>
      <c r="C399" s="2">
        <v>262</v>
      </c>
      <c r="D399" s="3">
        <v>3758.03</v>
      </c>
      <c r="E399" s="7" t="s">
        <v>12</v>
      </c>
    </row>
    <row r="400" spans="1:5" x14ac:dyDescent="0.2">
      <c r="A400" s="31">
        <v>44595</v>
      </c>
      <c r="B400" s="2">
        <v>1120</v>
      </c>
      <c r="C400" s="2">
        <v>247</v>
      </c>
      <c r="D400" s="3">
        <v>3286.06</v>
      </c>
      <c r="E400" s="7" t="s">
        <v>12</v>
      </c>
    </row>
    <row r="401" spans="1:5" x14ac:dyDescent="0.2">
      <c r="A401" s="31">
        <v>44596</v>
      </c>
      <c r="B401" s="2">
        <v>1138</v>
      </c>
      <c r="C401" s="2">
        <v>246</v>
      </c>
      <c r="D401" s="3">
        <v>4023.81</v>
      </c>
      <c r="E401" s="7" t="s">
        <v>12</v>
      </c>
    </row>
    <row r="402" spans="1:5" x14ac:dyDescent="0.2">
      <c r="A402" s="31">
        <v>44597</v>
      </c>
      <c r="B402" s="2">
        <v>1134</v>
      </c>
      <c r="C402" s="2">
        <v>238</v>
      </c>
      <c r="D402" s="3">
        <v>3594.65</v>
      </c>
      <c r="E402" s="7" t="s">
        <v>12</v>
      </c>
    </row>
    <row r="403" spans="1:5" x14ac:dyDescent="0.2">
      <c r="A403" s="31">
        <v>44598</v>
      </c>
      <c r="B403" s="2">
        <v>1148</v>
      </c>
      <c r="C403" s="2">
        <v>257</v>
      </c>
      <c r="D403" s="3">
        <v>4100.55</v>
      </c>
      <c r="E403" s="7" t="s">
        <v>12</v>
      </c>
    </row>
    <row r="404" spans="1:5" x14ac:dyDescent="0.2">
      <c r="A404" s="31">
        <v>44599</v>
      </c>
      <c r="B404" s="2">
        <v>1134</v>
      </c>
      <c r="C404" s="2">
        <v>253</v>
      </c>
      <c r="D404" s="3">
        <v>3768.22</v>
      </c>
      <c r="E404" s="7" t="s">
        <v>12</v>
      </c>
    </row>
    <row r="405" spans="1:5" x14ac:dyDescent="0.2">
      <c r="A405" s="31">
        <v>44600</v>
      </c>
      <c r="B405" s="2">
        <v>1142</v>
      </c>
      <c r="C405" s="2">
        <v>274</v>
      </c>
      <c r="D405" s="3">
        <v>4642.41</v>
      </c>
      <c r="E405" s="7" t="s">
        <v>12</v>
      </c>
    </row>
    <row r="406" spans="1:5" x14ac:dyDescent="0.2">
      <c r="A406" s="31">
        <v>44601</v>
      </c>
      <c r="B406" s="2">
        <v>1104</v>
      </c>
      <c r="C406" s="2">
        <v>257</v>
      </c>
      <c r="D406" s="3">
        <v>3829.02</v>
      </c>
      <c r="E406" s="7" t="s">
        <v>12</v>
      </c>
    </row>
    <row r="407" spans="1:5" x14ac:dyDescent="0.2">
      <c r="A407" s="31">
        <v>44602</v>
      </c>
      <c r="B407" s="2">
        <v>1113</v>
      </c>
      <c r="C407" s="2">
        <v>242</v>
      </c>
      <c r="D407" s="3">
        <v>3672.39</v>
      </c>
      <c r="E407" s="7" t="s">
        <v>12</v>
      </c>
    </row>
    <row r="408" spans="1:5" x14ac:dyDescent="0.2">
      <c r="A408" s="31">
        <v>44603</v>
      </c>
      <c r="B408" s="2">
        <v>1138</v>
      </c>
      <c r="C408" s="2">
        <v>279</v>
      </c>
      <c r="D408" s="3">
        <v>3897.14</v>
      </c>
      <c r="E408" s="7" t="s">
        <v>12</v>
      </c>
    </row>
    <row r="409" spans="1:5" x14ac:dyDescent="0.2">
      <c r="A409" s="31">
        <v>44604</v>
      </c>
      <c r="B409" s="2">
        <v>1164</v>
      </c>
      <c r="C409" s="2">
        <v>288</v>
      </c>
      <c r="D409" s="3">
        <v>5075.0200000000004</v>
      </c>
      <c r="E409" s="7" t="s">
        <v>12</v>
      </c>
    </row>
    <row r="410" spans="1:5" x14ac:dyDescent="0.2">
      <c r="A410" s="31">
        <v>44605</v>
      </c>
      <c r="B410" s="2">
        <v>1115</v>
      </c>
      <c r="C410" s="2">
        <v>250</v>
      </c>
      <c r="D410" s="3">
        <v>3938.14</v>
      </c>
      <c r="E410" s="7" t="s">
        <v>12</v>
      </c>
    </row>
    <row r="411" spans="1:5" x14ac:dyDescent="0.2">
      <c r="A411" s="31">
        <v>44606</v>
      </c>
      <c r="B411" s="2">
        <v>1086</v>
      </c>
      <c r="C411" s="2">
        <v>246</v>
      </c>
      <c r="D411" s="3">
        <v>4172.6099999999997</v>
      </c>
      <c r="E411" s="7" t="s">
        <v>12</v>
      </c>
    </row>
    <row r="412" spans="1:5" x14ac:dyDescent="0.2">
      <c r="A412" s="31">
        <v>44607</v>
      </c>
      <c r="B412" s="2">
        <v>1117</v>
      </c>
      <c r="C412" s="2">
        <v>252</v>
      </c>
      <c r="D412" s="3">
        <v>3875.6</v>
      </c>
      <c r="E412" s="7" t="s">
        <v>12</v>
      </c>
    </row>
    <row r="413" spans="1:5" x14ac:dyDescent="0.2">
      <c r="A413" s="31">
        <v>44608</v>
      </c>
      <c r="B413" s="2">
        <v>1182</v>
      </c>
      <c r="C413" s="2">
        <v>252</v>
      </c>
      <c r="D413" s="3">
        <v>3309.69</v>
      </c>
      <c r="E413" s="7" t="s">
        <v>12</v>
      </c>
    </row>
    <row r="414" spans="1:5" x14ac:dyDescent="0.2">
      <c r="A414" s="31">
        <v>44609</v>
      </c>
      <c r="B414" s="2">
        <v>1161</v>
      </c>
      <c r="C414" s="2">
        <v>281</v>
      </c>
      <c r="D414" s="3">
        <v>4410.97</v>
      </c>
      <c r="E414" s="7" t="s">
        <v>12</v>
      </c>
    </row>
    <row r="415" spans="1:5" x14ac:dyDescent="0.2">
      <c r="A415" s="31">
        <v>44610</v>
      </c>
      <c r="B415" s="2">
        <v>1104</v>
      </c>
      <c r="C415" s="2">
        <v>281</v>
      </c>
      <c r="D415" s="3">
        <v>4374.83</v>
      </c>
      <c r="E415" s="7" t="s">
        <v>12</v>
      </c>
    </row>
    <row r="416" spans="1:5" x14ac:dyDescent="0.2">
      <c r="A416" s="31">
        <v>44611</v>
      </c>
      <c r="B416" s="2">
        <v>1153</v>
      </c>
      <c r="C416" s="2">
        <v>247</v>
      </c>
      <c r="D416" s="3">
        <v>4444.08</v>
      </c>
      <c r="E416" s="7" t="s">
        <v>12</v>
      </c>
    </row>
    <row r="417" spans="1:5" x14ac:dyDescent="0.2">
      <c r="A417" s="31">
        <v>44612</v>
      </c>
      <c r="B417" s="2">
        <v>1073</v>
      </c>
      <c r="C417" s="2">
        <v>260</v>
      </c>
      <c r="D417" s="3">
        <v>4286.3599999999997</v>
      </c>
      <c r="E417" s="7" t="s">
        <v>12</v>
      </c>
    </row>
    <row r="418" spans="1:5" x14ac:dyDescent="0.2">
      <c r="A418" s="31">
        <v>44613</v>
      </c>
      <c r="B418" s="2">
        <v>1204</v>
      </c>
      <c r="C418" s="2">
        <v>279</v>
      </c>
      <c r="D418" s="3">
        <v>4373.53</v>
      </c>
      <c r="E418" s="7" t="s">
        <v>12</v>
      </c>
    </row>
    <row r="419" spans="1:5" x14ac:dyDescent="0.2">
      <c r="A419" s="31">
        <v>44614</v>
      </c>
      <c r="B419" s="2">
        <v>1140</v>
      </c>
      <c r="C419" s="2">
        <v>260</v>
      </c>
      <c r="D419" s="3">
        <v>4357.41</v>
      </c>
      <c r="E419" s="7" t="s">
        <v>12</v>
      </c>
    </row>
    <row r="420" spans="1:5" x14ac:dyDescent="0.2">
      <c r="A420" s="31">
        <v>44615</v>
      </c>
      <c r="B420" s="2">
        <v>1154</v>
      </c>
      <c r="C420" s="2">
        <v>257</v>
      </c>
      <c r="D420" s="3">
        <v>3733.3</v>
      </c>
      <c r="E420" s="7" t="s">
        <v>12</v>
      </c>
    </row>
    <row r="421" spans="1:5" x14ac:dyDescent="0.2">
      <c r="A421" s="31">
        <v>44616</v>
      </c>
      <c r="B421" s="2">
        <v>1148</v>
      </c>
      <c r="C421" s="2">
        <v>267</v>
      </c>
      <c r="D421" s="3">
        <v>4564.8</v>
      </c>
      <c r="E421" s="7" t="s">
        <v>12</v>
      </c>
    </row>
    <row r="422" spans="1:5" x14ac:dyDescent="0.2">
      <c r="A422" s="31">
        <v>44617</v>
      </c>
      <c r="B422" s="2">
        <v>1155</v>
      </c>
      <c r="C422" s="2">
        <v>297</v>
      </c>
      <c r="D422" s="3">
        <v>5026.72</v>
      </c>
      <c r="E422" s="7" t="s">
        <v>12</v>
      </c>
    </row>
    <row r="423" spans="1:5" x14ac:dyDescent="0.2">
      <c r="A423" s="31">
        <v>44618</v>
      </c>
      <c r="B423" s="2">
        <v>1184</v>
      </c>
      <c r="C423" s="2">
        <v>276</v>
      </c>
      <c r="D423" s="3">
        <v>3989.54</v>
      </c>
      <c r="E423" s="7" t="s">
        <v>12</v>
      </c>
    </row>
    <row r="424" spans="1:5" x14ac:dyDescent="0.2">
      <c r="A424" s="31">
        <v>44619</v>
      </c>
      <c r="B424" s="2">
        <v>1115</v>
      </c>
      <c r="C424" s="2">
        <v>244</v>
      </c>
      <c r="D424" s="3">
        <v>4112.95</v>
      </c>
      <c r="E424" s="7" t="s">
        <v>12</v>
      </c>
    </row>
    <row r="425" spans="1:5" x14ac:dyDescent="0.2">
      <c r="A425" s="31">
        <v>44620</v>
      </c>
      <c r="B425" s="2">
        <v>1156</v>
      </c>
      <c r="C425" s="2">
        <v>241</v>
      </c>
      <c r="D425" s="3">
        <v>3740.56</v>
      </c>
      <c r="E425" s="7" t="s">
        <v>12</v>
      </c>
    </row>
    <row r="426" spans="1:5" x14ac:dyDescent="0.2">
      <c r="A426" s="31">
        <v>44621</v>
      </c>
      <c r="B426" s="2">
        <v>1130</v>
      </c>
      <c r="C426" s="2">
        <v>267</v>
      </c>
      <c r="D426" s="3">
        <v>4465.8999999999996</v>
      </c>
      <c r="E426" s="7" t="s">
        <v>12</v>
      </c>
    </row>
    <row r="427" spans="1:5" x14ac:dyDescent="0.2">
      <c r="A427" s="31">
        <v>44622</v>
      </c>
      <c r="B427" s="2">
        <v>1177</v>
      </c>
      <c r="C427" s="2">
        <v>259</v>
      </c>
      <c r="D427" s="3">
        <v>4243.24</v>
      </c>
      <c r="E427" s="7" t="s">
        <v>12</v>
      </c>
    </row>
    <row r="428" spans="1:5" x14ac:dyDescent="0.2">
      <c r="A428" s="31">
        <v>44623</v>
      </c>
      <c r="B428" s="2">
        <v>1117</v>
      </c>
      <c r="C428" s="2">
        <v>262</v>
      </c>
      <c r="D428" s="3">
        <v>3100.98</v>
      </c>
      <c r="E428" s="7" t="s">
        <v>12</v>
      </c>
    </row>
    <row r="429" spans="1:5" x14ac:dyDescent="0.2">
      <c r="A429" s="31">
        <v>44624</v>
      </c>
      <c r="B429" s="2">
        <v>1214</v>
      </c>
      <c r="C429" s="2">
        <v>291</v>
      </c>
      <c r="D429" s="3">
        <v>5093.1400000000003</v>
      </c>
      <c r="E429" s="7" t="s">
        <v>12</v>
      </c>
    </row>
    <row r="430" spans="1:5" x14ac:dyDescent="0.2">
      <c r="A430" s="31">
        <v>44625</v>
      </c>
      <c r="B430" s="2">
        <v>1149</v>
      </c>
      <c r="C430" s="2">
        <v>297</v>
      </c>
      <c r="D430" s="3">
        <v>4966.22</v>
      </c>
      <c r="E430" s="7" t="s">
        <v>12</v>
      </c>
    </row>
    <row r="431" spans="1:5" x14ac:dyDescent="0.2">
      <c r="A431" s="31">
        <v>44626</v>
      </c>
      <c r="B431" s="2">
        <v>1117</v>
      </c>
      <c r="C431" s="2">
        <v>253</v>
      </c>
      <c r="D431" s="3">
        <v>4368.46</v>
      </c>
      <c r="E431" s="7" t="s">
        <v>12</v>
      </c>
    </row>
    <row r="432" spans="1:5" x14ac:dyDescent="0.2">
      <c r="A432" s="31">
        <v>44627</v>
      </c>
      <c r="B432" s="2">
        <v>1189</v>
      </c>
      <c r="C432" s="2">
        <v>290</v>
      </c>
      <c r="D432" s="3">
        <v>4304.1099999999997</v>
      </c>
      <c r="E432" s="7" t="s">
        <v>12</v>
      </c>
    </row>
    <row r="433" spans="1:5" x14ac:dyDescent="0.2">
      <c r="A433" s="31">
        <v>44628</v>
      </c>
      <c r="B433" s="2">
        <v>1137</v>
      </c>
      <c r="C433" s="2">
        <v>290</v>
      </c>
      <c r="D433" s="3">
        <v>4455.42</v>
      </c>
      <c r="E433" s="7" t="s">
        <v>12</v>
      </c>
    </row>
    <row r="434" spans="1:5" x14ac:dyDescent="0.2">
      <c r="A434" s="31">
        <v>44629</v>
      </c>
      <c r="B434" s="2">
        <v>1177</v>
      </c>
      <c r="C434" s="2">
        <v>257</v>
      </c>
      <c r="D434" s="3">
        <v>2652.71</v>
      </c>
      <c r="E434" s="7" t="s">
        <v>12</v>
      </c>
    </row>
    <row r="435" spans="1:5" x14ac:dyDescent="0.2">
      <c r="A435" s="31">
        <v>44630</v>
      </c>
      <c r="B435" s="2">
        <v>1156</v>
      </c>
      <c r="C435" s="2">
        <v>270</v>
      </c>
      <c r="D435" s="3">
        <v>4095.85</v>
      </c>
      <c r="E435" s="7" t="s">
        <v>12</v>
      </c>
    </row>
    <row r="436" spans="1:5" x14ac:dyDescent="0.2">
      <c r="A436" s="31">
        <v>44631</v>
      </c>
      <c r="B436" s="2">
        <v>1157</v>
      </c>
      <c r="C436" s="2">
        <v>269</v>
      </c>
      <c r="D436" s="3">
        <v>4408.83</v>
      </c>
      <c r="E436" s="7" t="s">
        <v>12</v>
      </c>
    </row>
    <row r="437" spans="1:5" x14ac:dyDescent="0.2">
      <c r="A437" s="31">
        <v>44632</v>
      </c>
      <c r="B437" s="2">
        <v>1204</v>
      </c>
      <c r="C437" s="2">
        <v>252</v>
      </c>
      <c r="D437" s="3">
        <v>3713.03</v>
      </c>
      <c r="E437" s="7" t="s">
        <v>12</v>
      </c>
    </row>
    <row r="438" spans="1:5" x14ac:dyDescent="0.2">
      <c r="A438" s="31">
        <v>44633</v>
      </c>
      <c r="B438" s="2">
        <v>1133</v>
      </c>
      <c r="C438" s="2">
        <v>239</v>
      </c>
      <c r="D438" s="3">
        <v>3878.08</v>
      </c>
      <c r="E438" s="7" t="s">
        <v>12</v>
      </c>
    </row>
    <row r="439" spans="1:5" x14ac:dyDescent="0.2">
      <c r="A439" s="31">
        <v>44634</v>
      </c>
      <c r="B439" s="2">
        <v>1145</v>
      </c>
      <c r="C439" s="2">
        <v>282</v>
      </c>
      <c r="D439" s="3">
        <v>3433.83</v>
      </c>
      <c r="E439" s="7" t="s">
        <v>12</v>
      </c>
    </row>
    <row r="440" spans="1:5" x14ac:dyDescent="0.2">
      <c r="A440" s="31">
        <v>44635</v>
      </c>
      <c r="B440" s="2">
        <v>1218</v>
      </c>
      <c r="C440" s="2">
        <v>274</v>
      </c>
      <c r="D440" s="3">
        <v>5162.4399999999996</v>
      </c>
      <c r="E440" s="7" t="s">
        <v>12</v>
      </c>
    </row>
    <row r="441" spans="1:5" x14ac:dyDescent="0.2">
      <c r="A441" s="31">
        <v>44636</v>
      </c>
      <c r="B441" s="2">
        <v>1164</v>
      </c>
      <c r="C441" s="2">
        <v>302</v>
      </c>
      <c r="D441" s="3">
        <v>4361.58</v>
      </c>
      <c r="E441" s="7" t="s">
        <v>12</v>
      </c>
    </row>
    <row r="442" spans="1:5" x14ac:dyDescent="0.2">
      <c r="A442" s="31">
        <v>44637</v>
      </c>
      <c r="B442" s="2">
        <v>1140</v>
      </c>
      <c r="C442" s="2">
        <v>260</v>
      </c>
      <c r="D442" s="3">
        <v>3755.77</v>
      </c>
      <c r="E442" s="7" t="s">
        <v>12</v>
      </c>
    </row>
    <row r="443" spans="1:5" x14ac:dyDescent="0.2">
      <c r="A443" s="31">
        <v>44638</v>
      </c>
      <c r="B443" s="2">
        <v>1140</v>
      </c>
      <c r="C443" s="2">
        <v>262</v>
      </c>
      <c r="D443" s="3">
        <v>3647.14</v>
      </c>
      <c r="E443" s="7" t="s">
        <v>12</v>
      </c>
    </row>
    <row r="444" spans="1:5" x14ac:dyDescent="0.2">
      <c r="A444" s="31">
        <v>44639</v>
      </c>
      <c r="B444" s="2">
        <v>1150</v>
      </c>
      <c r="C444" s="2">
        <v>255</v>
      </c>
      <c r="D444" s="3">
        <v>4924.67</v>
      </c>
      <c r="E444" s="7" t="s">
        <v>12</v>
      </c>
    </row>
    <row r="445" spans="1:5" x14ac:dyDescent="0.2">
      <c r="A445" s="31">
        <v>44640</v>
      </c>
      <c r="B445" s="2">
        <v>1170</v>
      </c>
      <c r="C445" s="2">
        <v>283</v>
      </c>
      <c r="D445" s="3">
        <v>4474.33</v>
      </c>
      <c r="E445" s="7" t="s">
        <v>12</v>
      </c>
    </row>
    <row r="446" spans="1:5" x14ac:dyDescent="0.2">
      <c r="A446" s="31">
        <v>44641</v>
      </c>
      <c r="B446" s="2">
        <v>1155</v>
      </c>
      <c r="C446" s="2">
        <v>298</v>
      </c>
      <c r="D446" s="3">
        <v>4483.46</v>
      </c>
      <c r="E446" s="7" t="s">
        <v>12</v>
      </c>
    </row>
    <row r="447" spans="1:5" x14ac:dyDescent="0.2">
      <c r="A447" s="31">
        <v>44642</v>
      </c>
      <c r="B447" s="2">
        <v>1130</v>
      </c>
      <c r="C447" s="2">
        <v>274</v>
      </c>
      <c r="D447" s="3">
        <v>4248.9799999999996</v>
      </c>
      <c r="E447" s="7" t="s">
        <v>12</v>
      </c>
    </row>
    <row r="448" spans="1:5" x14ac:dyDescent="0.2">
      <c r="A448" s="31">
        <v>44643</v>
      </c>
      <c r="B448" s="2">
        <v>1115</v>
      </c>
      <c r="C448" s="2">
        <v>256</v>
      </c>
      <c r="D448" s="3">
        <v>4253.17</v>
      </c>
      <c r="E448" s="7" t="s">
        <v>12</v>
      </c>
    </row>
    <row r="449" spans="1:5" x14ac:dyDescent="0.2">
      <c r="A449" s="31">
        <v>44644</v>
      </c>
      <c r="B449" s="2">
        <v>1147</v>
      </c>
      <c r="C449" s="2">
        <v>281</v>
      </c>
      <c r="D449" s="3">
        <v>4698.03</v>
      </c>
      <c r="E449" s="7" t="s">
        <v>12</v>
      </c>
    </row>
    <row r="450" spans="1:5" x14ac:dyDescent="0.2">
      <c r="A450" s="31">
        <v>44645</v>
      </c>
      <c r="B450" s="2">
        <v>1198</v>
      </c>
      <c r="C450" s="2">
        <v>272</v>
      </c>
      <c r="D450" s="3">
        <v>4082.24</v>
      </c>
      <c r="E450" s="7" t="s">
        <v>12</v>
      </c>
    </row>
    <row r="451" spans="1:5" x14ac:dyDescent="0.2">
      <c r="A451" s="31">
        <v>44646</v>
      </c>
      <c r="B451" s="2">
        <v>1128</v>
      </c>
      <c r="C451" s="2">
        <v>249</v>
      </c>
      <c r="D451" s="3">
        <v>3441.08</v>
      </c>
      <c r="E451" s="7" t="s">
        <v>12</v>
      </c>
    </row>
    <row r="452" spans="1:5" x14ac:dyDescent="0.2">
      <c r="A452" s="31">
        <v>44647</v>
      </c>
      <c r="B452" s="2">
        <v>1125</v>
      </c>
      <c r="C452" s="2">
        <v>253</v>
      </c>
      <c r="D452" s="3">
        <v>2603.56</v>
      </c>
      <c r="E452" s="7" t="s">
        <v>12</v>
      </c>
    </row>
    <row r="453" spans="1:5" x14ac:dyDescent="0.2">
      <c r="A453" s="31">
        <v>44648</v>
      </c>
      <c r="B453" s="2">
        <v>1145</v>
      </c>
      <c r="C453" s="2">
        <v>260</v>
      </c>
      <c r="D453" s="3">
        <v>4450.33</v>
      </c>
      <c r="E453" s="7" t="s">
        <v>12</v>
      </c>
    </row>
    <row r="454" spans="1:5" x14ac:dyDescent="0.2">
      <c r="A454" s="31">
        <v>44649</v>
      </c>
      <c r="B454" s="2">
        <v>1160</v>
      </c>
      <c r="C454" s="2">
        <v>271</v>
      </c>
      <c r="D454" s="3">
        <v>4974.75</v>
      </c>
      <c r="E454" s="7" t="s">
        <v>12</v>
      </c>
    </row>
    <row r="455" spans="1:5" x14ac:dyDescent="0.2">
      <c r="A455" s="31">
        <v>44650</v>
      </c>
      <c r="B455" s="2">
        <v>1143</v>
      </c>
      <c r="C455" s="2">
        <v>261</v>
      </c>
      <c r="D455" s="3">
        <v>3560.32</v>
      </c>
      <c r="E455" s="7" t="s">
        <v>12</v>
      </c>
    </row>
    <row r="456" spans="1:5" x14ac:dyDescent="0.2">
      <c r="A456" s="31">
        <v>44651</v>
      </c>
      <c r="B456" s="2">
        <v>1125</v>
      </c>
      <c r="C456" s="2">
        <v>271</v>
      </c>
      <c r="D456" s="3">
        <v>3499.63</v>
      </c>
      <c r="E456" s="7" t="s">
        <v>12</v>
      </c>
    </row>
    <row r="457" spans="1:5" x14ac:dyDescent="0.2">
      <c r="A457" s="31">
        <v>44652</v>
      </c>
      <c r="B457" s="2">
        <v>1194</v>
      </c>
      <c r="C457" s="2">
        <v>258</v>
      </c>
      <c r="D457" s="3">
        <v>3564.72</v>
      </c>
      <c r="E457" s="7" t="s">
        <v>12</v>
      </c>
    </row>
    <row r="458" spans="1:5" x14ac:dyDescent="0.2">
      <c r="A458" s="31">
        <v>44653</v>
      </c>
      <c r="B458" s="2">
        <v>1132</v>
      </c>
      <c r="C458" s="2">
        <v>239</v>
      </c>
      <c r="D458" s="3">
        <v>3684.54</v>
      </c>
      <c r="E458" s="7" t="s">
        <v>12</v>
      </c>
    </row>
    <row r="459" spans="1:5" x14ac:dyDescent="0.2">
      <c r="A459" s="31">
        <v>44654</v>
      </c>
      <c r="B459" s="2">
        <v>1149</v>
      </c>
      <c r="C459" s="2">
        <v>264</v>
      </c>
      <c r="D459" s="3">
        <v>3653.9</v>
      </c>
      <c r="E459" s="7" t="s">
        <v>12</v>
      </c>
    </row>
    <row r="460" spans="1:5" x14ac:dyDescent="0.2">
      <c r="A460" s="31">
        <v>44655</v>
      </c>
      <c r="B460" s="2">
        <v>1159</v>
      </c>
      <c r="C460" s="2">
        <v>252</v>
      </c>
      <c r="D460" s="3">
        <v>4125.59</v>
      </c>
      <c r="E460" s="7" t="s">
        <v>12</v>
      </c>
    </row>
    <row r="461" spans="1:5" x14ac:dyDescent="0.2">
      <c r="A461" s="31">
        <v>44656</v>
      </c>
      <c r="B461" s="2">
        <v>1154</v>
      </c>
      <c r="C461" s="2">
        <v>271</v>
      </c>
      <c r="D461" s="3">
        <v>3508.28</v>
      </c>
      <c r="E461" s="7" t="s">
        <v>12</v>
      </c>
    </row>
    <row r="462" spans="1:5" x14ac:dyDescent="0.2">
      <c r="A462" s="31">
        <v>44657</v>
      </c>
      <c r="B462" s="2">
        <v>1182</v>
      </c>
      <c r="C462" s="2">
        <v>266</v>
      </c>
      <c r="D462" s="3">
        <v>3405.93</v>
      </c>
      <c r="E462" s="7" t="s">
        <v>12</v>
      </c>
    </row>
    <row r="463" spans="1:5" x14ac:dyDescent="0.2">
      <c r="A463" s="31">
        <v>44658</v>
      </c>
      <c r="B463" s="2">
        <v>1082</v>
      </c>
      <c r="C463" s="2">
        <v>239</v>
      </c>
      <c r="D463" s="3">
        <v>4363.1400000000003</v>
      </c>
      <c r="E463" s="7" t="s">
        <v>12</v>
      </c>
    </row>
    <row r="464" spans="1:5" x14ac:dyDescent="0.2">
      <c r="A464" s="31">
        <v>44659</v>
      </c>
      <c r="B464" s="2">
        <v>1145</v>
      </c>
      <c r="C464" s="2">
        <v>254</v>
      </c>
      <c r="D464" s="3">
        <v>4521.47</v>
      </c>
      <c r="E464" s="7" t="s">
        <v>12</v>
      </c>
    </row>
    <row r="465" spans="1:5" x14ac:dyDescent="0.2">
      <c r="A465" s="31">
        <v>44660</v>
      </c>
      <c r="B465" s="2">
        <v>1147</v>
      </c>
      <c r="C465" s="2">
        <v>264</v>
      </c>
      <c r="D465" s="3">
        <v>4489.72</v>
      </c>
      <c r="E465" s="7" t="s">
        <v>12</v>
      </c>
    </row>
    <row r="466" spans="1:5" x14ac:dyDescent="0.2">
      <c r="A466" s="31">
        <v>44661</v>
      </c>
      <c r="B466" s="2">
        <v>1131</v>
      </c>
      <c r="C466" s="2">
        <v>272</v>
      </c>
      <c r="D466" s="3">
        <v>3491.3</v>
      </c>
      <c r="E466" s="7" t="s">
        <v>12</v>
      </c>
    </row>
    <row r="467" spans="1:5" x14ac:dyDescent="0.2">
      <c r="A467" s="31">
        <v>44662</v>
      </c>
      <c r="B467" s="2">
        <v>1100</v>
      </c>
      <c r="C467" s="2">
        <v>240</v>
      </c>
      <c r="D467" s="3">
        <v>4183.62</v>
      </c>
      <c r="E467" s="7" t="s">
        <v>12</v>
      </c>
    </row>
    <row r="468" spans="1:5" x14ac:dyDescent="0.2">
      <c r="A468" s="31">
        <v>44663</v>
      </c>
      <c r="B468" s="2">
        <v>1164</v>
      </c>
      <c r="C468" s="2">
        <v>277</v>
      </c>
      <c r="D468" s="3">
        <v>4449.95</v>
      </c>
      <c r="E468" s="7" t="s">
        <v>12</v>
      </c>
    </row>
    <row r="469" spans="1:5" x14ac:dyDescent="0.2">
      <c r="A469" s="31">
        <v>44664</v>
      </c>
      <c r="B469" s="2">
        <v>1100</v>
      </c>
      <c r="C469" s="2">
        <v>277</v>
      </c>
      <c r="D469" s="3">
        <v>5563.31</v>
      </c>
      <c r="E469" s="7" t="s">
        <v>12</v>
      </c>
    </row>
    <row r="470" spans="1:5" x14ac:dyDescent="0.2">
      <c r="A470" s="31">
        <v>44665</v>
      </c>
      <c r="B470" s="2">
        <v>1221</v>
      </c>
      <c r="C470" s="2">
        <v>265</v>
      </c>
      <c r="D470" s="3">
        <v>3480.68</v>
      </c>
      <c r="E470" s="7" t="s">
        <v>12</v>
      </c>
    </row>
    <row r="471" spans="1:5" x14ac:dyDescent="0.2">
      <c r="A471" s="31">
        <v>44666</v>
      </c>
      <c r="B471" s="2">
        <v>1213</v>
      </c>
      <c r="C471" s="2">
        <v>303</v>
      </c>
      <c r="D471" s="3">
        <v>4263.6899999999996</v>
      </c>
      <c r="E471" s="7" t="s">
        <v>12</v>
      </c>
    </row>
    <row r="472" spans="1:5" x14ac:dyDescent="0.2">
      <c r="A472" s="31">
        <v>44667</v>
      </c>
      <c r="B472" s="2">
        <v>1146</v>
      </c>
      <c r="C472" s="2">
        <v>268</v>
      </c>
      <c r="D472" s="3">
        <v>4757.63</v>
      </c>
      <c r="E472" s="7" t="s">
        <v>12</v>
      </c>
    </row>
    <row r="473" spans="1:5" x14ac:dyDescent="0.2">
      <c r="A473" s="31">
        <v>44668</v>
      </c>
      <c r="B473" s="2">
        <v>1136</v>
      </c>
      <c r="C473" s="2">
        <v>264</v>
      </c>
      <c r="D473" s="3">
        <v>3052.71</v>
      </c>
      <c r="E473" s="7" t="s">
        <v>12</v>
      </c>
    </row>
    <row r="474" spans="1:5" x14ac:dyDescent="0.2">
      <c r="A474" s="31">
        <v>44669</v>
      </c>
      <c r="B474" s="2">
        <v>1090</v>
      </c>
      <c r="C474" s="2">
        <v>257</v>
      </c>
      <c r="D474" s="3">
        <v>2965.54</v>
      </c>
      <c r="E474" s="7" t="s">
        <v>12</v>
      </c>
    </row>
    <row r="475" spans="1:5" x14ac:dyDescent="0.2">
      <c r="A475" s="31">
        <v>44670</v>
      </c>
      <c r="B475" s="2">
        <v>1099</v>
      </c>
      <c r="C475" s="2">
        <v>232</v>
      </c>
      <c r="D475" s="3">
        <v>3815.54</v>
      </c>
      <c r="E475" s="7" t="s">
        <v>12</v>
      </c>
    </row>
    <row r="476" spans="1:5" x14ac:dyDescent="0.2">
      <c r="A476" s="31">
        <v>44671</v>
      </c>
      <c r="B476" s="2">
        <v>1116</v>
      </c>
      <c r="C476" s="2">
        <v>262</v>
      </c>
      <c r="D476" s="3">
        <v>4976.28</v>
      </c>
      <c r="E476" s="7" t="s">
        <v>12</v>
      </c>
    </row>
    <row r="477" spans="1:5" x14ac:dyDescent="0.2">
      <c r="A477" s="31">
        <v>44672</v>
      </c>
      <c r="B477" s="2">
        <v>1133</v>
      </c>
      <c r="C477" s="2">
        <v>278</v>
      </c>
      <c r="D477" s="3">
        <v>4608.53</v>
      </c>
      <c r="E477" s="7" t="s">
        <v>12</v>
      </c>
    </row>
    <row r="478" spans="1:5" x14ac:dyDescent="0.2">
      <c r="A478" s="31">
        <v>44673</v>
      </c>
      <c r="B478" s="2">
        <v>1105</v>
      </c>
      <c r="C478" s="2">
        <v>259</v>
      </c>
      <c r="D478" s="3">
        <v>3544.98</v>
      </c>
      <c r="E478" s="7" t="s">
        <v>12</v>
      </c>
    </row>
    <row r="479" spans="1:5" x14ac:dyDescent="0.2">
      <c r="A479" s="31">
        <v>44674</v>
      </c>
      <c r="B479" s="2">
        <v>1078</v>
      </c>
      <c r="C479" s="2">
        <v>260</v>
      </c>
      <c r="D479" s="3">
        <v>4427.3100000000004</v>
      </c>
      <c r="E479" s="7" t="s">
        <v>12</v>
      </c>
    </row>
    <row r="480" spans="1:5" x14ac:dyDescent="0.2">
      <c r="A480" s="31">
        <v>44675</v>
      </c>
      <c r="B480" s="2">
        <v>1122</v>
      </c>
      <c r="C480" s="2">
        <v>283</v>
      </c>
      <c r="D480" s="3">
        <v>4841.22</v>
      </c>
      <c r="E480" s="7" t="s">
        <v>12</v>
      </c>
    </row>
    <row r="481" spans="1:5" x14ac:dyDescent="0.2">
      <c r="A481" s="31">
        <v>44676</v>
      </c>
      <c r="B481" s="2">
        <v>1122</v>
      </c>
      <c r="C481" s="2">
        <v>251</v>
      </c>
      <c r="D481" s="3">
        <v>3535.3</v>
      </c>
      <c r="E481" s="7" t="s">
        <v>12</v>
      </c>
    </row>
    <row r="482" spans="1:5" x14ac:dyDescent="0.2">
      <c r="A482" s="31">
        <v>44677</v>
      </c>
      <c r="B482" s="2">
        <v>1156</v>
      </c>
      <c r="C482" s="2">
        <v>291</v>
      </c>
      <c r="D482" s="3">
        <v>3868.84</v>
      </c>
      <c r="E482" s="7" t="s">
        <v>12</v>
      </c>
    </row>
    <row r="483" spans="1:5" x14ac:dyDescent="0.2">
      <c r="A483" s="31">
        <v>44678</v>
      </c>
      <c r="B483" s="2">
        <v>1168</v>
      </c>
      <c r="C483" s="2">
        <v>267</v>
      </c>
      <c r="D483" s="3">
        <v>4234.87</v>
      </c>
      <c r="E483" s="7" t="s">
        <v>12</v>
      </c>
    </row>
    <row r="484" spans="1:5" x14ac:dyDescent="0.2">
      <c r="A484" s="31">
        <v>44679</v>
      </c>
      <c r="B484" s="2">
        <v>1106</v>
      </c>
      <c r="C484" s="2">
        <v>260</v>
      </c>
      <c r="D484" s="3">
        <v>4338.91</v>
      </c>
      <c r="E484" s="7" t="s">
        <v>12</v>
      </c>
    </row>
    <row r="485" spans="1:5" x14ac:dyDescent="0.2">
      <c r="A485" s="31">
        <v>44680</v>
      </c>
      <c r="B485" s="2">
        <v>1168</v>
      </c>
      <c r="C485" s="2">
        <v>288</v>
      </c>
      <c r="D485" s="3">
        <v>5803.24</v>
      </c>
      <c r="E485" s="7" t="s">
        <v>12</v>
      </c>
    </row>
    <row r="486" spans="1:5" x14ac:dyDescent="0.2">
      <c r="A486" s="31">
        <v>44681</v>
      </c>
      <c r="B486" s="2">
        <v>1123</v>
      </c>
      <c r="C486" s="2">
        <v>241</v>
      </c>
      <c r="D486" s="3">
        <v>3432.58</v>
      </c>
      <c r="E486" s="7" t="s">
        <v>12</v>
      </c>
    </row>
    <row r="487" spans="1:5" x14ac:dyDescent="0.2">
      <c r="A487" s="31">
        <v>44682</v>
      </c>
      <c r="B487" s="2">
        <v>1219</v>
      </c>
      <c r="C487" s="2">
        <v>289</v>
      </c>
      <c r="D487" s="3">
        <v>4278.55</v>
      </c>
      <c r="E487" s="7" t="s">
        <v>12</v>
      </c>
    </row>
    <row r="488" spans="1:5" x14ac:dyDescent="0.2">
      <c r="A488" s="31">
        <v>44683</v>
      </c>
      <c r="B488" s="2">
        <v>1162</v>
      </c>
      <c r="C488" s="2">
        <v>274</v>
      </c>
      <c r="D488" s="3">
        <v>3854.55</v>
      </c>
      <c r="E488" s="7" t="s">
        <v>12</v>
      </c>
    </row>
    <row r="489" spans="1:5" x14ac:dyDescent="0.2">
      <c r="A489" s="31">
        <v>44684</v>
      </c>
      <c r="B489" s="2">
        <v>1126</v>
      </c>
      <c r="C489" s="2">
        <v>287</v>
      </c>
      <c r="D489" s="3">
        <v>4264.45</v>
      </c>
      <c r="E489" s="7" t="s">
        <v>12</v>
      </c>
    </row>
    <row r="490" spans="1:5" x14ac:dyDescent="0.2">
      <c r="A490" s="31">
        <v>44685</v>
      </c>
      <c r="B490" s="2">
        <v>1127</v>
      </c>
      <c r="C490" s="2">
        <v>272</v>
      </c>
      <c r="D490" s="3">
        <v>4189.25</v>
      </c>
      <c r="E490" s="7" t="s">
        <v>12</v>
      </c>
    </row>
    <row r="491" spans="1:5" x14ac:dyDescent="0.2">
      <c r="A491" s="31">
        <v>44686</v>
      </c>
      <c r="B491" s="2">
        <v>1087</v>
      </c>
      <c r="C491" s="2">
        <v>240</v>
      </c>
      <c r="D491" s="3">
        <v>4239.18</v>
      </c>
      <c r="E491" s="7" t="s">
        <v>12</v>
      </c>
    </row>
    <row r="492" spans="1:5" x14ac:dyDescent="0.2">
      <c r="A492" s="31">
        <v>44687</v>
      </c>
      <c r="B492" s="2">
        <v>1114</v>
      </c>
      <c r="C492" s="2">
        <v>281</v>
      </c>
      <c r="D492" s="3">
        <v>5012.43</v>
      </c>
      <c r="E492" s="7" t="s">
        <v>12</v>
      </c>
    </row>
    <row r="493" spans="1:5" x14ac:dyDescent="0.2">
      <c r="A493" s="31">
        <v>44688</v>
      </c>
      <c r="B493" s="2">
        <v>1198</v>
      </c>
      <c r="C493" s="2">
        <v>283</v>
      </c>
      <c r="D493" s="3">
        <v>5269.57</v>
      </c>
      <c r="E493" s="7" t="s">
        <v>12</v>
      </c>
    </row>
    <row r="494" spans="1:5" x14ac:dyDescent="0.2">
      <c r="A494" s="31">
        <v>44689</v>
      </c>
      <c r="B494" s="2">
        <v>1119</v>
      </c>
      <c r="C494" s="2">
        <v>257</v>
      </c>
      <c r="D494" s="3">
        <v>4363.4799999999996</v>
      </c>
      <c r="E494" s="7" t="s">
        <v>12</v>
      </c>
    </row>
    <row r="495" spans="1:5" x14ac:dyDescent="0.2">
      <c r="A495" s="31">
        <v>44690</v>
      </c>
      <c r="B495" s="2">
        <v>1146</v>
      </c>
      <c r="C495" s="2">
        <v>252</v>
      </c>
      <c r="D495" s="3">
        <v>3875.94</v>
      </c>
      <c r="E495" s="7" t="s">
        <v>12</v>
      </c>
    </row>
    <row r="496" spans="1:5" x14ac:dyDescent="0.2">
      <c r="A496" s="31">
        <v>44691</v>
      </c>
      <c r="B496" s="2">
        <v>1119</v>
      </c>
      <c r="C496" s="2">
        <v>261</v>
      </c>
      <c r="D496" s="3">
        <v>4834.51</v>
      </c>
      <c r="E496" s="7" t="s">
        <v>12</v>
      </c>
    </row>
    <row r="497" spans="1:5" x14ac:dyDescent="0.2">
      <c r="A497" s="31">
        <v>44692</v>
      </c>
      <c r="B497" s="2">
        <v>1148</v>
      </c>
      <c r="C497" s="2">
        <v>263</v>
      </c>
      <c r="D497" s="3">
        <v>3566.11</v>
      </c>
      <c r="E497" s="7" t="s">
        <v>12</v>
      </c>
    </row>
    <row r="498" spans="1:5" x14ac:dyDescent="0.2">
      <c r="A498" s="31">
        <v>44693</v>
      </c>
      <c r="B498" s="2">
        <v>1206</v>
      </c>
      <c r="C498" s="2">
        <v>289</v>
      </c>
      <c r="D498" s="3">
        <v>4491.42</v>
      </c>
      <c r="E498" s="7" t="s">
        <v>12</v>
      </c>
    </row>
    <row r="499" spans="1:5" x14ac:dyDescent="0.2">
      <c r="A499" s="31">
        <v>44694</v>
      </c>
      <c r="B499" s="2">
        <v>1120</v>
      </c>
      <c r="C499" s="2">
        <v>249</v>
      </c>
      <c r="D499" s="3">
        <v>3842.96</v>
      </c>
      <c r="E499" s="7" t="s">
        <v>12</v>
      </c>
    </row>
    <row r="500" spans="1:5" x14ac:dyDescent="0.2">
      <c r="A500" s="31">
        <v>44695</v>
      </c>
      <c r="B500" s="2">
        <v>1114</v>
      </c>
      <c r="C500" s="2">
        <v>247</v>
      </c>
      <c r="D500" s="3">
        <v>3146.12</v>
      </c>
      <c r="E500" s="7" t="s">
        <v>12</v>
      </c>
    </row>
    <row r="501" spans="1:5" x14ac:dyDescent="0.2">
      <c r="A501" s="31">
        <v>44696</v>
      </c>
      <c r="B501" s="2">
        <v>1139</v>
      </c>
      <c r="C501" s="2">
        <v>241</v>
      </c>
      <c r="D501" s="3">
        <v>3578.17</v>
      </c>
      <c r="E501" s="7" t="s">
        <v>12</v>
      </c>
    </row>
    <row r="502" spans="1:5" x14ac:dyDescent="0.2">
      <c r="A502" s="31">
        <v>44697</v>
      </c>
      <c r="B502" s="2">
        <v>1134</v>
      </c>
      <c r="C502" s="2">
        <v>263</v>
      </c>
      <c r="D502" s="3">
        <v>4335.87</v>
      </c>
      <c r="E502" s="7" t="s">
        <v>12</v>
      </c>
    </row>
    <row r="503" spans="1:5" x14ac:dyDescent="0.2">
      <c r="A503" s="31">
        <v>44698</v>
      </c>
      <c r="B503" s="2">
        <v>1178</v>
      </c>
      <c r="C503" s="2">
        <v>261</v>
      </c>
      <c r="D503" s="3">
        <v>3421.6</v>
      </c>
      <c r="E503" s="7" t="s">
        <v>12</v>
      </c>
    </row>
    <row r="504" spans="1:5" x14ac:dyDescent="0.2">
      <c r="A504" s="31">
        <v>44699</v>
      </c>
      <c r="B504" s="2">
        <v>1183</v>
      </c>
      <c r="C504" s="2">
        <v>257</v>
      </c>
      <c r="D504" s="3">
        <v>4416.5600000000004</v>
      </c>
      <c r="E504" s="7" t="s">
        <v>12</v>
      </c>
    </row>
    <row r="505" spans="1:5" x14ac:dyDescent="0.2">
      <c r="A505" s="31">
        <v>44700</v>
      </c>
      <c r="B505" s="2">
        <v>1166</v>
      </c>
      <c r="C505" s="2">
        <v>253</v>
      </c>
      <c r="D505" s="3">
        <v>4104.57</v>
      </c>
      <c r="E505" s="7" t="s">
        <v>12</v>
      </c>
    </row>
    <row r="506" spans="1:5" x14ac:dyDescent="0.2">
      <c r="A506" s="31">
        <v>44701</v>
      </c>
      <c r="B506" s="2">
        <v>1149</v>
      </c>
      <c r="C506" s="2">
        <v>286</v>
      </c>
      <c r="D506" s="3">
        <v>4587.0600000000004</v>
      </c>
      <c r="E506" s="7" t="s">
        <v>12</v>
      </c>
    </row>
    <row r="507" spans="1:5" x14ac:dyDescent="0.2">
      <c r="A507" s="31">
        <v>44702</v>
      </c>
      <c r="B507" s="2">
        <v>1162</v>
      </c>
      <c r="C507" s="2">
        <v>300</v>
      </c>
      <c r="D507" s="3">
        <v>4820.3999999999996</v>
      </c>
      <c r="E507" s="7" t="s">
        <v>12</v>
      </c>
    </row>
    <row r="508" spans="1:5" x14ac:dyDescent="0.2">
      <c r="A508" s="31">
        <v>44703</v>
      </c>
      <c r="B508" s="2">
        <v>1142</v>
      </c>
      <c r="C508" s="2">
        <v>275</v>
      </c>
      <c r="D508" s="3">
        <v>4453.8</v>
      </c>
      <c r="E508" s="7" t="s">
        <v>12</v>
      </c>
    </row>
    <row r="509" spans="1:5" x14ac:dyDescent="0.2">
      <c r="A509" s="31">
        <v>44704</v>
      </c>
      <c r="B509" s="2">
        <v>1162</v>
      </c>
      <c r="C509" s="2">
        <v>287</v>
      </c>
      <c r="D509" s="3">
        <v>4761.3100000000004</v>
      </c>
      <c r="E509" s="7" t="s">
        <v>12</v>
      </c>
    </row>
    <row r="510" spans="1:5" x14ac:dyDescent="0.2">
      <c r="A510" s="31">
        <v>44705</v>
      </c>
      <c r="B510" s="2">
        <v>1143</v>
      </c>
      <c r="C510" s="2">
        <v>254</v>
      </c>
      <c r="D510" s="3">
        <v>4190.7700000000004</v>
      </c>
      <c r="E510" s="7" t="s">
        <v>12</v>
      </c>
    </row>
    <row r="511" spans="1:5" x14ac:dyDescent="0.2">
      <c r="A511" s="31">
        <v>44706</v>
      </c>
      <c r="B511" s="2">
        <v>1147</v>
      </c>
      <c r="C511" s="2">
        <v>272</v>
      </c>
      <c r="D511" s="3">
        <v>5006.13</v>
      </c>
      <c r="E511" s="7" t="s">
        <v>12</v>
      </c>
    </row>
    <row r="512" spans="1:5" x14ac:dyDescent="0.2">
      <c r="A512" s="31">
        <v>44707</v>
      </c>
      <c r="B512" s="2">
        <v>1100</v>
      </c>
      <c r="C512" s="2">
        <v>247</v>
      </c>
      <c r="D512" s="3">
        <v>3867.89</v>
      </c>
      <c r="E512" s="7" t="s">
        <v>12</v>
      </c>
    </row>
    <row r="513" spans="1:5" x14ac:dyDescent="0.2">
      <c r="A513" s="31">
        <v>44708</v>
      </c>
      <c r="B513" s="2">
        <v>1145</v>
      </c>
      <c r="C513" s="2">
        <v>272</v>
      </c>
      <c r="D513" s="3">
        <v>4754.1099999999997</v>
      </c>
      <c r="E513" s="7" t="s">
        <v>12</v>
      </c>
    </row>
    <row r="514" spans="1:5" x14ac:dyDescent="0.2">
      <c r="A514" s="31">
        <v>44709</v>
      </c>
      <c r="B514" s="2">
        <v>1134</v>
      </c>
      <c r="C514" s="2">
        <v>249</v>
      </c>
      <c r="D514" s="3">
        <v>3775.12</v>
      </c>
      <c r="E514" s="7" t="s">
        <v>12</v>
      </c>
    </row>
    <row r="515" spans="1:5" x14ac:dyDescent="0.2">
      <c r="A515" s="31">
        <v>44710</v>
      </c>
      <c r="B515" s="2">
        <v>1105</v>
      </c>
      <c r="C515" s="2">
        <v>272</v>
      </c>
      <c r="D515" s="3">
        <v>4199.95</v>
      </c>
      <c r="E515" s="7" t="s">
        <v>12</v>
      </c>
    </row>
    <row r="516" spans="1:5" x14ac:dyDescent="0.2">
      <c r="A516" s="31">
        <v>44711</v>
      </c>
      <c r="B516" s="2">
        <v>1075</v>
      </c>
      <c r="C516" s="2">
        <v>221</v>
      </c>
      <c r="D516" s="3">
        <v>3011.64</v>
      </c>
      <c r="E516" s="7" t="s">
        <v>12</v>
      </c>
    </row>
    <row r="517" spans="1:5" x14ac:dyDescent="0.2">
      <c r="A517" s="31">
        <v>44712</v>
      </c>
      <c r="B517" s="2">
        <v>1138</v>
      </c>
      <c r="C517" s="2">
        <v>282</v>
      </c>
      <c r="D517" s="3">
        <v>4084.06</v>
      </c>
      <c r="E517" s="7" t="s">
        <v>12</v>
      </c>
    </row>
    <row r="518" spans="1:5" x14ac:dyDescent="0.2">
      <c r="A518" s="31">
        <v>44713</v>
      </c>
      <c r="B518" s="2">
        <v>1101</v>
      </c>
      <c r="C518" s="2">
        <v>251</v>
      </c>
      <c r="D518" s="3">
        <v>3750.21</v>
      </c>
      <c r="E518" s="7" t="s">
        <v>12</v>
      </c>
    </row>
    <row r="519" spans="1:5" x14ac:dyDescent="0.2">
      <c r="A519" s="31">
        <v>44714</v>
      </c>
      <c r="B519" s="2">
        <v>1073</v>
      </c>
      <c r="C519" s="2">
        <v>254</v>
      </c>
      <c r="D519" s="3">
        <v>5254.58</v>
      </c>
      <c r="E519" s="7" t="s">
        <v>12</v>
      </c>
    </row>
    <row r="520" spans="1:5" x14ac:dyDescent="0.2">
      <c r="A520" s="31">
        <v>44715</v>
      </c>
      <c r="B520" s="2">
        <v>1124</v>
      </c>
      <c r="C520" s="2">
        <v>255</v>
      </c>
      <c r="D520" s="3">
        <v>3658.68</v>
      </c>
      <c r="E520" s="7" t="s">
        <v>12</v>
      </c>
    </row>
    <row r="521" spans="1:5" x14ac:dyDescent="0.2">
      <c r="A521" s="31">
        <v>44716</v>
      </c>
      <c r="B521" s="2">
        <v>1151</v>
      </c>
      <c r="C521" s="2">
        <v>283</v>
      </c>
      <c r="D521" s="3">
        <v>4232.47</v>
      </c>
      <c r="E521" s="7" t="s">
        <v>12</v>
      </c>
    </row>
    <row r="522" spans="1:5" x14ac:dyDescent="0.2">
      <c r="A522" s="31">
        <v>44717</v>
      </c>
      <c r="B522" s="2">
        <v>1107</v>
      </c>
      <c r="C522" s="2">
        <v>234</v>
      </c>
      <c r="D522" s="3">
        <v>4196.9399999999996</v>
      </c>
      <c r="E522" s="7" t="s">
        <v>12</v>
      </c>
    </row>
    <row r="523" spans="1:5" x14ac:dyDescent="0.2">
      <c r="A523" s="31">
        <v>44718</v>
      </c>
      <c r="B523" s="2">
        <v>1208</v>
      </c>
      <c r="C523" s="2">
        <v>255</v>
      </c>
      <c r="D523" s="3">
        <v>4900.8599999999997</v>
      </c>
      <c r="E523" s="7" t="s">
        <v>12</v>
      </c>
    </row>
    <row r="524" spans="1:5" x14ac:dyDescent="0.2">
      <c r="A524" s="31">
        <v>44719</v>
      </c>
      <c r="B524" s="2">
        <v>1140</v>
      </c>
      <c r="C524" s="2">
        <v>258</v>
      </c>
      <c r="D524" s="3">
        <v>4122.92</v>
      </c>
      <c r="E524" s="7" t="s">
        <v>12</v>
      </c>
    </row>
    <row r="525" spans="1:5" x14ac:dyDescent="0.2">
      <c r="A525" s="31">
        <v>44720</v>
      </c>
      <c r="B525" s="2">
        <v>1180</v>
      </c>
      <c r="C525" s="2">
        <v>270</v>
      </c>
      <c r="D525" s="3">
        <v>3875.29</v>
      </c>
      <c r="E525" s="7" t="s">
        <v>12</v>
      </c>
    </row>
    <row r="526" spans="1:5" x14ac:dyDescent="0.2">
      <c r="A526" s="31">
        <v>44721</v>
      </c>
      <c r="B526" s="2">
        <v>1193</v>
      </c>
      <c r="C526" s="2">
        <v>300</v>
      </c>
      <c r="D526" s="3">
        <v>5575.65</v>
      </c>
      <c r="E526" s="7" t="s">
        <v>12</v>
      </c>
    </row>
    <row r="527" spans="1:5" x14ac:dyDescent="0.2">
      <c r="A527" s="31">
        <v>44722</v>
      </c>
      <c r="B527" s="2">
        <v>1146</v>
      </c>
      <c r="C527" s="2">
        <v>277</v>
      </c>
      <c r="D527" s="3">
        <v>4564.16</v>
      </c>
      <c r="E527" s="7" t="s">
        <v>12</v>
      </c>
    </row>
    <row r="528" spans="1:5" x14ac:dyDescent="0.2">
      <c r="A528" s="31">
        <v>44723</v>
      </c>
      <c r="B528" s="2">
        <v>1104</v>
      </c>
      <c r="C528" s="2">
        <v>234</v>
      </c>
      <c r="D528" s="3">
        <v>3998.31</v>
      </c>
      <c r="E528" s="7" t="s">
        <v>12</v>
      </c>
    </row>
    <row r="529" spans="1:5" x14ac:dyDescent="0.2">
      <c r="A529" s="31">
        <v>44724</v>
      </c>
      <c r="B529" s="2">
        <v>1085</v>
      </c>
      <c r="C529" s="2">
        <v>256</v>
      </c>
      <c r="D529" s="3">
        <v>3990.72</v>
      </c>
      <c r="E529" s="7" t="s">
        <v>12</v>
      </c>
    </row>
    <row r="530" spans="1:5" x14ac:dyDescent="0.2">
      <c r="A530" s="31">
        <v>44725</v>
      </c>
      <c r="B530" s="2">
        <v>1177</v>
      </c>
      <c r="C530" s="2">
        <v>263</v>
      </c>
      <c r="D530" s="3">
        <v>4867.1499999999996</v>
      </c>
      <c r="E530" s="7" t="s">
        <v>12</v>
      </c>
    </row>
    <row r="531" spans="1:5" x14ac:dyDescent="0.2">
      <c r="A531" s="31">
        <v>44726</v>
      </c>
      <c r="B531" s="2">
        <v>1228</v>
      </c>
      <c r="C531" s="2">
        <v>295</v>
      </c>
      <c r="D531" s="3">
        <v>4112.41</v>
      </c>
      <c r="E531" s="7" t="s">
        <v>12</v>
      </c>
    </row>
    <row r="532" spans="1:5" x14ac:dyDescent="0.2">
      <c r="A532" s="31">
        <v>44727</v>
      </c>
      <c r="B532" s="2">
        <v>1138</v>
      </c>
      <c r="C532" s="2">
        <v>261</v>
      </c>
      <c r="D532" s="3">
        <v>3087.16</v>
      </c>
      <c r="E532" s="7" t="s">
        <v>12</v>
      </c>
    </row>
    <row r="533" spans="1:5" x14ac:dyDescent="0.2">
      <c r="A533" s="31">
        <v>44728</v>
      </c>
      <c r="B533" s="2">
        <v>1173</v>
      </c>
      <c r="C533" s="2">
        <v>297</v>
      </c>
      <c r="D533" s="3">
        <v>4664.5600000000004</v>
      </c>
      <c r="E533" s="7" t="s">
        <v>12</v>
      </c>
    </row>
    <row r="534" spans="1:5" x14ac:dyDescent="0.2">
      <c r="A534" s="31">
        <v>44729</v>
      </c>
      <c r="B534" s="2">
        <v>1147</v>
      </c>
      <c r="C534" s="2">
        <v>246</v>
      </c>
      <c r="D534" s="3">
        <v>4214.8500000000004</v>
      </c>
      <c r="E534" s="7" t="s">
        <v>12</v>
      </c>
    </row>
    <row r="535" spans="1:5" x14ac:dyDescent="0.2">
      <c r="A535" s="31">
        <v>44730</v>
      </c>
      <c r="B535" s="2">
        <v>1146</v>
      </c>
      <c r="C535" s="2">
        <v>256</v>
      </c>
      <c r="D535" s="3">
        <v>3863.85</v>
      </c>
      <c r="E535" s="7" t="s">
        <v>12</v>
      </c>
    </row>
    <row r="536" spans="1:5" x14ac:dyDescent="0.2">
      <c r="A536" s="31">
        <v>44731</v>
      </c>
      <c r="B536" s="2">
        <v>1154</v>
      </c>
      <c r="C536" s="2">
        <v>235</v>
      </c>
      <c r="D536" s="3">
        <v>4104.7700000000004</v>
      </c>
      <c r="E536" s="7" t="s">
        <v>12</v>
      </c>
    </row>
    <row r="537" spans="1:5" x14ac:dyDescent="0.2">
      <c r="A537" s="31">
        <v>44732</v>
      </c>
      <c r="B537" s="2">
        <v>1136</v>
      </c>
      <c r="C537" s="2">
        <v>259</v>
      </c>
      <c r="D537" s="3">
        <v>3504.52</v>
      </c>
      <c r="E537" s="7" t="s">
        <v>12</v>
      </c>
    </row>
    <row r="538" spans="1:5" x14ac:dyDescent="0.2">
      <c r="A538" s="31">
        <v>44733</v>
      </c>
      <c r="B538" s="2">
        <v>1160</v>
      </c>
      <c r="C538" s="2">
        <v>261</v>
      </c>
      <c r="D538" s="3">
        <v>4457.0600000000004</v>
      </c>
      <c r="E538" s="7" t="s">
        <v>12</v>
      </c>
    </row>
    <row r="539" spans="1:5" x14ac:dyDescent="0.2">
      <c r="A539" s="31">
        <v>44734</v>
      </c>
      <c r="B539" s="2">
        <v>1095</v>
      </c>
      <c r="C539" s="2">
        <v>244</v>
      </c>
      <c r="D539" s="3">
        <v>3078.17</v>
      </c>
      <c r="E539" s="7" t="s">
        <v>12</v>
      </c>
    </row>
    <row r="540" spans="1:5" x14ac:dyDescent="0.2">
      <c r="A540" s="31">
        <v>44735</v>
      </c>
      <c r="B540" s="2">
        <v>1118</v>
      </c>
      <c r="C540" s="2">
        <v>235</v>
      </c>
      <c r="D540" s="3">
        <v>3925.05</v>
      </c>
      <c r="E540" s="7" t="s">
        <v>12</v>
      </c>
    </row>
    <row r="541" spans="1:5" x14ac:dyDescent="0.2">
      <c r="A541" s="31">
        <v>44736</v>
      </c>
      <c r="B541" s="2">
        <v>1191</v>
      </c>
      <c r="C541" s="2">
        <v>271</v>
      </c>
      <c r="D541" s="3">
        <v>4106.25</v>
      </c>
      <c r="E541" s="7" t="s">
        <v>12</v>
      </c>
    </row>
    <row r="542" spans="1:5" x14ac:dyDescent="0.2">
      <c r="A542" s="31">
        <v>44737</v>
      </c>
      <c r="B542" s="2">
        <v>1080</v>
      </c>
      <c r="C542" s="2">
        <v>262</v>
      </c>
      <c r="D542" s="3">
        <v>4343.53</v>
      </c>
      <c r="E542" s="7" t="s">
        <v>12</v>
      </c>
    </row>
    <row r="543" spans="1:5" x14ac:dyDescent="0.2">
      <c r="A543" s="31">
        <v>44738</v>
      </c>
      <c r="B543" s="2">
        <v>1197</v>
      </c>
      <c r="C543" s="2">
        <v>296</v>
      </c>
      <c r="D543" s="3">
        <v>4795.67</v>
      </c>
      <c r="E543" s="7" t="s">
        <v>12</v>
      </c>
    </row>
    <row r="544" spans="1:5" x14ac:dyDescent="0.2">
      <c r="A544" s="31">
        <v>44739</v>
      </c>
      <c r="B544" s="2">
        <v>1083</v>
      </c>
      <c r="C544" s="2">
        <v>258</v>
      </c>
      <c r="D544" s="3">
        <v>5327.53</v>
      </c>
      <c r="E544" s="7" t="s">
        <v>12</v>
      </c>
    </row>
    <row r="545" spans="1:5" x14ac:dyDescent="0.2">
      <c r="A545" s="31">
        <v>44740</v>
      </c>
      <c r="B545" s="2">
        <v>1126</v>
      </c>
      <c r="C545" s="2">
        <v>263</v>
      </c>
      <c r="D545" s="3">
        <v>4026.05</v>
      </c>
      <c r="E545" s="7" t="s">
        <v>12</v>
      </c>
    </row>
    <row r="546" spans="1:5" x14ac:dyDescent="0.2">
      <c r="A546" s="31">
        <v>44741</v>
      </c>
      <c r="B546" s="2">
        <v>1164</v>
      </c>
      <c r="C546" s="2">
        <v>285</v>
      </c>
      <c r="D546" s="3">
        <v>4845.96</v>
      </c>
      <c r="E546" s="7" t="s">
        <v>12</v>
      </c>
    </row>
    <row r="547" spans="1:5" x14ac:dyDescent="0.2">
      <c r="A547" s="31">
        <v>44742</v>
      </c>
      <c r="B547" s="2">
        <v>1227</v>
      </c>
      <c r="C547" s="2">
        <v>280</v>
      </c>
      <c r="D547" s="3">
        <v>3693.63</v>
      </c>
      <c r="E547" s="7" t="s">
        <v>12</v>
      </c>
    </row>
    <row r="548" spans="1:5" x14ac:dyDescent="0.2">
      <c r="A548" s="31">
        <v>44743</v>
      </c>
      <c r="B548" s="2">
        <v>1121</v>
      </c>
      <c r="C548" s="2">
        <v>264</v>
      </c>
      <c r="D548" s="3">
        <v>4187.2299999999996</v>
      </c>
      <c r="E548" s="7" t="s">
        <v>12</v>
      </c>
    </row>
    <row r="549" spans="1:5" x14ac:dyDescent="0.2">
      <c r="A549" s="31">
        <v>44744</v>
      </c>
      <c r="B549" s="2">
        <v>1191</v>
      </c>
      <c r="C549" s="2">
        <v>254</v>
      </c>
      <c r="D549" s="3">
        <v>4113.7</v>
      </c>
      <c r="E549" s="7" t="s">
        <v>12</v>
      </c>
    </row>
    <row r="550" spans="1:5" x14ac:dyDescent="0.2">
      <c r="A550" s="31">
        <v>44745</v>
      </c>
      <c r="B550" s="2">
        <v>1121</v>
      </c>
      <c r="C550" s="2">
        <v>233</v>
      </c>
      <c r="D550" s="3">
        <v>4067.69</v>
      </c>
      <c r="E550" s="7" t="s">
        <v>12</v>
      </c>
    </row>
    <row r="551" spans="1:5" x14ac:dyDescent="0.2">
      <c r="A551" s="31">
        <v>44746</v>
      </c>
      <c r="B551" s="2">
        <v>1167</v>
      </c>
      <c r="C551" s="2">
        <v>271</v>
      </c>
      <c r="D551" s="3">
        <v>4221.43</v>
      </c>
      <c r="E551" s="7" t="s">
        <v>12</v>
      </c>
    </row>
    <row r="552" spans="1:5" x14ac:dyDescent="0.2">
      <c r="A552" s="31">
        <v>44747</v>
      </c>
      <c r="B552" s="2">
        <v>1156</v>
      </c>
      <c r="C552" s="2">
        <v>260</v>
      </c>
      <c r="D552" s="3">
        <v>4154.3500000000004</v>
      </c>
      <c r="E552" s="7" t="s">
        <v>12</v>
      </c>
    </row>
    <row r="553" spans="1:5" x14ac:dyDescent="0.2">
      <c r="A553" s="31">
        <v>44748</v>
      </c>
      <c r="B553" s="2">
        <v>1137</v>
      </c>
      <c r="C553" s="2">
        <v>262</v>
      </c>
      <c r="D553" s="3">
        <v>4702.18</v>
      </c>
      <c r="E553" s="7" t="s">
        <v>12</v>
      </c>
    </row>
    <row r="554" spans="1:5" x14ac:dyDescent="0.2">
      <c r="A554" s="31">
        <v>44749</v>
      </c>
      <c r="B554" s="2">
        <v>1139</v>
      </c>
      <c r="C554" s="2">
        <v>285</v>
      </c>
      <c r="D554" s="3">
        <v>5586.82</v>
      </c>
      <c r="E554" s="7" t="s">
        <v>12</v>
      </c>
    </row>
    <row r="555" spans="1:5" x14ac:dyDescent="0.2">
      <c r="A555" s="31">
        <v>44750</v>
      </c>
      <c r="B555" s="2">
        <v>1137</v>
      </c>
      <c r="C555" s="2">
        <v>251</v>
      </c>
      <c r="D555" s="3">
        <v>4200.49</v>
      </c>
      <c r="E555" s="7" t="s">
        <v>12</v>
      </c>
    </row>
    <row r="556" spans="1:5" x14ac:dyDescent="0.2">
      <c r="A556" s="31">
        <v>44751</v>
      </c>
      <c r="B556" s="2">
        <v>1146</v>
      </c>
      <c r="C556" s="2">
        <v>256</v>
      </c>
      <c r="D556" s="3">
        <v>3793.26</v>
      </c>
      <c r="E556" s="7" t="s">
        <v>12</v>
      </c>
    </row>
    <row r="557" spans="1:5" x14ac:dyDescent="0.2">
      <c r="A557" s="31">
        <v>44752</v>
      </c>
      <c r="B557" s="2">
        <v>1153</v>
      </c>
      <c r="C557" s="2">
        <v>258</v>
      </c>
      <c r="D557" s="3">
        <v>4525.71</v>
      </c>
      <c r="E557" s="7" t="s">
        <v>12</v>
      </c>
    </row>
    <row r="558" spans="1:5" x14ac:dyDescent="0.2">
      <c r="A558" s="31">
        <v>44753</v>
      </c>
      <c r="B558" s="2">
        <v>1194</v>
      </c>
      <c r="C558" s="2">
        <v>284</v>
      </c>
      <c r="D558" s="3">
        <v>4770.8100000000004</v>
      </c>
      <c r="E558" s="7" t="s">
        <v>12</v>
      </c>
    </row>
    <row r="559" spans="1:5" x14ac:dyDescent="0.2">
      <c r="A559" s="31">
        <v>44754</v>
      </c>
      <c r="B559" s="2">
        <v>1102</v>
      </c>
      <c r="C559" s="2">
        <v>259</v>
      </c>
      <c r="D559" s="3">
        <v>4150.97</v>
      </c>
      <c r="E559" s="7" t="s">
        <v>12</v>
      </c>
    </row>
    <row r="560" spans="1:5" x14ac:dyDescent="0.2">
      <c r="A560" s="31">
        <v>44755</v>
      </c>
      <c r="B560" s="2">
        <v>1166</v>
      </c>
      <c r="C560" s="2">
        <v>286</v>
      </c>
      <c r="D560" s="3">
        <v>4429.03</v>
      </c>
      <c r="E560" s="7" t="s">
        <v>12</v>
      </c>
    </row>
    <row r="561" spans="1:5" x14ac:dyDescent="0.2">
      <c r="A561" s="31">
        <v>44756</v>
      </c>
      <c r="B561" s="2">
        <v>1149</v>
      </c>
      <c r="C561" s="2">
        <v>264</v>
      </c>
      <c r="D561" s="3">
        <v>4569.54</v>
      </c>
      <c r="E561" s="7" t="s">
        <v>12</v>
      </c>
    </row>
    <row r="562" spans="1:5" x14ac:dyDescent="0.2">
      <c r="A562" s="31">
        <v>44757</v>
      </c>
      <c r="B562" s="2">
        <v>1123</v>
      </c>
      <c r="C562" s="2">
        <v>260</v>
      </c>
      <c r="D562" s="3">
        <v>3879.94</v>
      </c>
      <c r="E562" s="7" t="s">
        <v>12</v>
      </c>
    </row>
    <row r="563" spans="1:5" x14ac:dyDescent="0.2">
      <c r="A563" s="31">
        <v>44758</v>
      </c>
      <c r="B563" s="2">
        <v>1200</v>
      </c>
      <c r="C563" s="2">
        <v>269</v>
      </c>
      <c r="D563" s="3">
        <v>3884.89</v>
      </c>
      <c r="E563" s="7" t="s">
        <v>12</v>
      </c>
    </row>
    <row r="564" spans="1:5" x14ac:dyDescent="0.2">
      <c r="A564" s="31">
        <v>44759</v>
      </c>
      <c r="B564" s="2">
        <v>1155</v>
      </c>
      <c r="C564" s="2">
        <v>238</v>
      </c>
      <c r="D564" s="3">
        <v>4152.6899999999996</v>
      </c>
      <c r="E564" s="7" t="s">
        <v>12</v>
      </c>
    </row>
    <row r="565" spans="1:5" x14ac:dyDescent="0.2">
      <c r="A565" s="31">
        <v>44760</v>
      </c>
      <c r="B565" s="2">
        <v>1154</v>
      </c>
      <c r="C565" s="2">
        <v>268</v>
      </c>
      <c r="D565" s="3">
        <v>3611.16</v>
      </c>
      <c r="E565" s="7" t="s">
        <v>12</v>
      </c>
    </row>
    <row r="566" spans="1:5" x14ac:dyDescent="0.2">
      <c r="A566" s="31">
        <v>44761</v>
      </c>
      <c r="B566" s="2">
        <v>1138</v>
      </c>
      <c r="C566" s="2">
        <v>258</v>
      </c>
      <c r="D566" s="3">
        <v>4363.6499999999996</v>
      </c>
      <c r="E566" s="7" t="s">
        <v>12</v>
      </c>
    </row>
    <row r="567" spans="1:5" x14ac:dyDescent="0.2">
      <c r="A567" s="31">
        <v>44762</v>
      </c>
      <c r="B567" s="2">
        <v>1191</v>
      </c>
      <c r="C567" s="2">
        <v>265</v>
      </c>
      <c r="D567" s="3">
        <v>4533.3900000000003</v>
      </c>
      <c r="E567" s="7" t="s">
        <v>12</v>
      </c>
    </row>
    <row r="568" spans="1:5" x14ac:dyDescent="0.2">
      <c r="A568" s="31">
        <v>44763</v>
      </c>
      <c r="B568" s="2">
        <v>1159</v>
      </c>
      <c r="C568" s="2">
        <v>278</v>
      </c>
      <c r="D568" s="3">
        <v>5133.95</v>
      </c>
      <c r="E568" s="7" t="s">
        <v>12</v>
      </c>
    </row>
    <row r="569" spans="1:5" x14ac:dyDescent="0.2">
      <c r="A569" s="31">
        <v>44764</v>
      </c>
      <c r="B569" s="2">
        <v>1221</v>
      </c>
      <c r="C569" s="2">
        <v>265</v>
      </c>
      <c r="D569" s="3">
        <v>3604.85</v>
      </c>
      <c r="E569" s="7" t="s">
        <v>12</v>
      </c>
    </row>
    <row r="570" spans="1:5" x14ac:dyDescent="0.2">
      <c r="A570" s="31">
        <v>44765</v>
      </c>
      <c r="B570" s="2">
        <v>1168</v>
      </c>
      <c r="C570" s="2">
        <v>265</v>
      </c>
      <c r="D570" s="3">
        <v>4235.13</v>
      </c>
      <c r="E570" s="7" t="s">
        <v>12</v>
      </c>
    </row>
    <row r="571" spans="1:5" x14ac:dyDescent="0.2">
      <c r="A571" s="31">
        <v>44766</v>
      </c>
      <c r="B571" s="2">
        <v>1128</v>
      </c>
      <c r="C571" s="2">
        <v>258</v>
      </c>
      <c r="D571" s="3">
        <v>4743.75</v>
      </c>
      <c r="E571" s="7" t="s">
        <v>12</v>
      </c>
    </row>
    <row r="572" spans="1:5" x14ac:dyDescent="0.2">
      <c r="A572" s="31">
        <v>44767</v>
      </c>
      <c r="B572" s="2">
        <v>1102</v>
      </c>
      <c r="C572" s="2">
        <v>275</v>
      </c>
      <c r="D572" s="3">
        <v>4823.9399999999996</v>
      </c>
      <c r="E572" s="7" t="s">
        <v>12</v>
      </c>
    </row>
    <row r="573" spans="1:5" x14ac:dyDescent="0.2">
      <c r="A573" s="31">
        <v>44768</v>
      </c>
      <c r="B573" s="2">
        <v>1150</v>
      </c>
      <c r="C573" s="2">
        <v>235</v>
      </c>
      <c r="D573" s="3">
        <v>2725.42</v>
      </c>
      <c r="E573" s="7" t="s">
        <v>12</v>
      </c>
    </row>
    <row r="574" spans="1:5" x14ac:dyDescent="0.2">
      <c r="A574" s="31">
        <v>44769</v>
      </c>
      <c r="B574" s="2">
        <v>1147</v>
      </c>
      <c r="C574" s="2">
        <v>254</v>
      </c>
      <c r="D574" s="3">
        <v>3604.29</v>
      </c>
      <c r="E574" s="7" t="s">
        <v>12</v>
      </c>
    </row>
    <row r="575" spans="1:5" x14ac:dyDescent="0.2">
      <c r="A575" s="31">
        <v>44770</v>
      </c>
      <c r="B575" s="2">
        <v>1175</v>
      </c>
      <c r="C575" s="2">
        <v>275</v>
      </c>
      <c r="D575" s="3">
        <v>4233.01</v>
      </c>
      <c r="E575" s="7" t="s">
        <v>12</v>
      </c>
    </row>
    <row r="576" spans="1:5" x14ac:dyDescent="0.2">
      <c r="A576" s="31">
        <v>44771</v>
      </c>
      <c r="B576" s="2">
        <v>1192</v>
      </c>
      <c r="C576" s="2">
        <v>280</v>
      </c>
      <c r="D576" s="3">
        <v>4441.99</v>
      </c>
      <c r="E576" s="7" t="s">
        <v>12</v>
      </c>
    </row>
    <row r="577" spans="1:5" x14ac:dyDescent="0.2">
      <c r="A577" s="31">
        <v>44772</v>
      </c>
      <c r="B577" s="2">
        <v>1214</v>
      </c>
      <c r="C577" s="2">
        <v>275</v>
      </c>
      <c r="D577" s="3">
        <v>5326.49</v>
      </c>
      <c r="E577" s="7" t="s">
        <v>12</v>
      </c>
    </row>
    <row r="578" spans="1:5" x14ac:dyDescent="0.2">
      <c r="A578" s="31">
        <v>44773</v>
      </c>
      <c r="B578" s="2">
        <v>1160</v>
      </c>
      <c r="C578" s="2">
        <v>251</v>
      </c>
      <c r="D578" s="3">
        <v>2922.66</v>
      </c>
      <c r="E578" s="7" t="s">
        <v>12</v>
      </c>
    </row>
    <row r="579" spans="1:5" x14ac:dyDescent="0.2">
      <c r="A579" s="31">
        <v>44774</v>
      </c>
      <c r="B579" s="2">
        <v>1204</v>
      </c>
      <c r="C579" s="2">
        <v>254</v>
      </c>
      <c r="D579" s="3">
        <v>4472</v>
      </c>
      <c r="E579" s="7" t="s">
        <v>12</v>
      </c>
    </row>
    <row r="580" spans="1:5" x14ac:dyDescent="0.2">
      <c r="A580" s="31">
        <v>44775</v>
      </c>
      <c r="B580" s="2">
        <v>1157</v>
      </c>
      <c r="C580" s="2">
        <v>285</v>
      </c>
      <c r="D580" s="3">
        <v>4333.53</v>
      </c>
      <c r="E580" s="7" t="s">
        <v>12</v>
      </c>
    </row>
    <row r="581" spans="1:5" x14ac:dyDescent="0.2">
      <c r="A581" s="31">
        <v>44776</v>
      </c>
      <c r="B581" s="2">
        <v>1178</v>
      </c>
      <c r="C581" s="2">
        <v>265</v>
      </c>
      <c r="D581" s="3">
        <v>3962.5</v>
      </c>
      <c r="E581" s="7" t="s">
        <v>12</v>
      </c>
    </row>
    <row r="582" spans="1:5" x14ac:dyDescent="0.2">
      <c r="A582" s="31">
        <v>44777</v>
      </c>
      <c r="B582" s="2">
        <v>1110</v>
      </c>
      <c r="C582" s="2">
        <v>250</v>
      </c>
      <c r="D582" s="3">
        <v>3410.45</v>
      </c>
      <c r="E582" s="7" t="s">
        <v>12</v>
      </c>
    </row>
    <row r="583" spans="1:5" x14ac:dyDescent="0.2">
      <c r="A583" s="31">
        <v>44778</v>
      </c>
      <c r="B583" s="2">
        <v>1122</v>
      </c>
      <c r="C583" s="2">
        <v>242</v>
      </c>
      <c r="D583" s="3">
        <v>3013.4</v>
      </c>
      <c r="E583" s="7" t="s">
        <v>12</v>
      </c>
    </row>
    <row r="584" spans="1:5" x14ac:dyDescent="0.2">
      <c r="A584" s="31">
        <v>44779</v>
      </c>
      <c r="B584" s="2">
        <v>1142</v>
      </c>
      <c r="C584" s="2">
        <v>265</v>
      </c>
      <c r="D584" s="3">
        <v>4867.51</v>
      </c>
      <c r="E584" s="7" t="s">
        <v>12</v>
      </c>
    </row>
    <row r="585" spans="1:5" x14ac:dyDescent="0.2">
      <c r="A585" s="31">
        <v>44780</v>
      </c>
      <c r="B585" s="2">
        <v>1215</v>
      </c>
      <c r="C585" s="2">
        <v>272</v>
      </c>
      <c r="D585" s="3">
        <v>5313.88</v>
      </c>
      <c r="E585" s="7" t="s">
        <v>12</v>
      </c>
    </row>
    <row r="586" spans="1:5" x14ac:dyDescent="0.2">
      <c r="A586" s="31">
        <v>44781</v>
      </c>
      <c r="B586" s="2">
        <v>1132</v>
      </c>
      <c r="C586" s="2">
        <v>274</v>
      </c>
      <c r="D586" s="3">
        <v>5150.92</v>
      </c>
      <c r="E586" s="7" t="s">
        <v>12</v>
      </c>
    </row>
    <row r="587" spans="1:5" x14ac:dyDescent="0.2">
      <c r="A587" s="31">
        <v>44782</v>
      </c>
      <c r="B587" s="2">
        <v>1184</v>
      </c>
      <c r="C587" s="2">
        <v>246</v>
      </c>
      <c r="D587" s="3">
        <v>3925.55</v>
      </c>
      <c r="E587" s="7" t="s">
        <v>12</v>
      </c>
    </row>
    <row r="588" spans="1:5" x14ac:dyDescent="0.2">
      <c r="A588" s="31">
        <v>44783</v>
      </c>
      <c r="B588" s="2">
        <v>1145</v>
      </c>
      <c r="C588" s="2">
        <v>269</v>
      </c>
      <c r="D588" s="3">
        <v>5184.57</v>
      </c>
      <c r="E588" s="7" t="s">
        <v>12</v>
      </c>
    </row>
    <row r="589" spans="1:5" x14ac:dyDescent="0.2">
      <c r="A589" s="31">
        <v>44784</v>
      </c>
      <c r="B589" s="2">
        <v>1130</v>
      </c>
      <c r="C589" s="2">
        <v>270</v>
      </c>
      <c r="D589" s="3">
        <v>4551.3</v>
      </c>
      <c r="E589" s="7" t="s">
        <v>12</v>
      </c>
    </row>
    <row r="590" spans="1:5" x14ac:dyDescent="0.2">
      <c r="A590" s="31">
        <v>44785</v>
      </c>
      <c r="B590" s="2">
        <v>1154</v>
      </c>
      <c r="C590" s="2">
        <v>261</v>
      </c>
      <c r="D590" s="3">
        <v>3835.83</v>
      </c>
      <c r="E590" s="7" t="s">
        <v>12</v>
      </c>
    </row>
    <row r="591" spans="1:5" x14ac:dyDescent="0.2">
      <c r="A591" s="31">
        <v>44786</v>
      </c>
      <c r="B591" s="2">
        <v>1143</v>
      </c>
      <c r="C591" s="2">
        <v>269</v>
      </c>
      <c r="D591" s="3">
        <v>4756.88</v>
      </c>
      <c r="E591" s="7" t="s">
        <v>12</v>
      </c>
    </row>
    <row r="592" spans="1:5" x14ac:dyDescent="0.2">
      <c r="A592" s="31">
        <v>44787</v>
      </c>
      <c r="B592" s="2">
        <v>1167</v>
      </c>
      <c r="C592" s="2">
        <v>265</v>
      </c>
      <c r="D592" s="3">
        <v>4626.1099999999997</v>
      </c>
      <c r="E592" s="7" t="s">
        <v>12</v>
      </c>
    </row>
    <row r="593" spans="1:5" x14ac:dyDescent="0.2">
      <c r="A593" s="31">
        <v>44788</v>
      </c>
      <c r="B593" s="2">
        <v>1153</v>
      </c>
      <c r="C593" s="2">
        <v>269</v>
      </c>
      <c r="D593" s="3">
        <v>3495.46</v>
      </c>
      <c r="E593" s="7" t="s">
        <v>12</v>
      </c>
    </row>
    <row r="594" spans="1:5" x14ac:dyDescent="0.2">
      <c r="A594" s="31">
        <v>44789</v>
      </c>
      <c r="B594" s="2">
        <v>1123</v>
      </c>
      <c r="C594" s="2">
        <v>252</v>
      </c>
      <c r="D594" s="3">
        <v>4038.57</v>
      </c>
      <c r="E594" s="7" t="s">
        <v>12</v>
      </c>
    </row>
    <row r="595" spans="1:5" x14ac:dyDescent="0.2">
      <c r="A595" s="31">
        <v>44790</v>
      </c>
      <c r="B595" s="2">
        <v>1166</v>
      </c>
      <c r="C595" s="2">
        <v>277</v>
      </c>
      <c r="D595" s="3">
        <v>4236.0600000000004</v>
      </c>
      <c r="E595" s="7" t="s">
        <v>12</v>
      </c>
    </row>
    <row r="596" spans="1:5" x14ac:dyDescent="0.2">
      <c r="A596" s="31">
        <v>44791</v>
      </c>
      <c r="B596" s="2">
        <v>1180</v>
      </c>
      <c r="C596" s="2">
        <v>295</v>
      </c>
      <c r="D596" s="3">
        <v>4996.7</v>
      </c>
      <c r="E596" s="7" t="s">
        <v>12</v>
      </c>
    </row>
    <row r="597" spans="1:5" x14ac:dyDescent="0.2">
      <c r="A597" s="31">
        <v>44792</v>
      </c>
      <c r="B597" s="2">
        <v>1196</v>
      </c>
      <c r="C597" s="2">
        <v>241</v>
      </c>
      <c r="D597" s="3">
        <v>3156.65</v>
      </c>
      <c r="E597" s="7" t="s">
        <v>12</v>
      </c>
    </row>
    <row r="598" spans="1:5" x14ac:dyDescent="0.2">
      <c r="A598" s="31">
        <v>44793</v>
      </c>
      <c r="B598" s="2">
        <v>1168</v>
      </c>
      <c r="C598" s="2">
        <v>257</v>
      </c>
      <c r="D598" s="3">
        <v>4466.7</v>
      </c>
      <c r="E598" s="7" t="s">
        <v>12</v>
      </c>
    </row>
    <row r="599" spans="1:5" x14ac:dyDescent="0.2">
      <c r="A599" s="31">
        <v>44794</v>
      </c>
      <c r="B599" s="2">
        <v>1150</v>
      </c>
      <c r="C599" s="2">
        <v>271</v>
      </c>
      <c r="D599" s="3">
        <v>4440.8100000000004</v>
      </c>
      <c r="E599" s="7" t="s">
        <v>12</v>
      </c>
    </row>
    <row r="600" spans="1:5" x14ac:dyDescent="0.2">
      <c r="A600" s="31">
        <v>44795</v>
      </c>
      <c r="B600" s="2">
        <v>1165</v>
      </c>
      <c r="C600" s="2">
        <v>278</v>
      </c>
      <c r="D600" s="3">
        <v>2925.04</v>
      </c>
      <c r="E600" s="7" t="s">
        <v>12</v>
      </c>
    </row>
    <row r="601" spans="1:5" x14ac:dyDescent="0.2">
      <c r="A601" s="31">
        <v>44796</v>
      </c>
      <c r="B601" s="2">
        <v>1136</v>
      </c>
      <c r="C601" s="2">
        <v>270</v>
      </c>
      <c r="D601" s="3">
        <v>4526.63</v>
      </c>
      <c r="E601" s="7" t="s">
        <v>12</v>
      </c>
    </row>
    <row r="602" spans="1:5" x14ac:dyDescent="0.2">
      <c r="A602" s="31">
        <v>44797</v>
      </c>
      <c r="B602" s="2">
        <v>1125</v>
      </c>
      <c r="C602" s="2">
        <v>252</v>
      </c>
      <c r="D602" s="3">
        <v>4263.33</v>
      </c>
      <c r="E602" s="7" t="s">
        <v>12</v>
      </c>
    </row>
    <row r="603" spans="1:5" x14ac:dyDescent="0.2">
      <c r="A603" s="31">
        <v>44798</v>
      </c>
      <c r="B603" s="2">
        <v>1183</v>
      </c>
      <c r="C603" s="2">
        <v>296</v>
      </c>
      <c r="D603" s="3">
        <v>4758.32</v>
      </c>
      <c r="E603" s="7" t="s">
        <v>12</v>
      </c>
    </row>
    <row r="604" spans="1:5" x14ac:dyDescent="0.2">
      <c r="A604" s="31">
        <v>44799</v>
      </c>
      <c r="B604" s="2">
        <v>1132</v>
      </c>
      <c r="C604" s="2">
        <v>259</v>
      </c>
      <c r="D604" s="3">
        <v>3975.13</v>
      </c>
      <c r="E604" s="7" t="s">
        <v>12</v>
      </c>
    </row>
    <row r="605" spans="1:5" x14ac:dyDescent="0.2">
      <c r="A605" s="31">
        <v>44800</v>
      </c>
      <c r="B605" s="2">
        <v>1167</v>
      </c>
      <c r="C605" s="2">
        <v>264</v>
      </c>
      <c r="D605" s="3">
        <v>4726.91</v>
      </c>
      <c r="E605" s="7" t="s">
        <v>12</v>
      </c>
    </row>
    <row r="606" spans="1:5" x14ac:dyDescent="0.2">
      <c r="A606" s="31">
        <v>44801</v>
      </c>
      <c r="B606" s="2">
        <v>1178</v>
      </c>
      <c r="C606" s="2">
        <v>259</v>
      </c>
      <c r="D606" s="3">
        <v>3621.9</v>
      </c>
      <c r="E606" s="7" t="s">
        <v>12</v>
      </c>
    </row>
    <row r="607" spans="1:5" x14ac:dyDescent="0.2">
      <c r="A607" s="31">
        <v>44802</v>
      </c>
      <c r="B607" s="2">
        <v>1163</v>
      </c>
      <c r="C607" s="2">
        <v>251</v>
      </c>
      <c r="D607" s="3">
        <v>4803.2299999999996</v>
      </c>
      <c r="E607" s="7" t="s">
        <v>12</v>
      </c>
    </row>
    <row r="608" spans="1:5" x14ac:dyDescent="0.2">
      <c r="A608" s="31">
        <v>44803</v>
      </c>
      <c r="B608" s="2">
        <v>1138</v>
      </c>
      <c r="C608" s="2">
        <v>252</v>
      </c>
      <c r="D608" s="3">
        <v>4009.64</v>
      </c>
      <c r="E608" s="7" t="s">
        <v>12</v>
      </c>
    </row>
    <row r="609" spans="1:5" x14ac:dyDescent="0.2">
      <c r="A609" s="31">
        <v>44804</v>
      </c>
      <c r="B609" s="2">
        <v>1159</v>
      </c>
      <c r="C609" s="2">
        <v>270</v>
      </c>
      <c r="D609" s="3">
        <v>4706.96</v>
      </c>
      <c r="E609" s="7" t="s">
        <v>12</v>
      </c>
    </row>
    <row r="610" spans="1:5" x14ac:dyDescent="0.2">
      <c r="A610" s="31">
        <v>44805</v>
      </c>
      <c r="B610" s="2">
        <v>1106</v>
      </c>
      <c r="C610" s="2">
        <v>226</v>
      </c>
      <c r="D610" s="3">
        <v>4224.01</v>
      </c>
      <c r="E610" s="7" t="s">
        <v>12</v>
      </c>
    </row>
    <row r="611" spans="1:5" x14ac:dyDescent="0.2">
      <c r="A611" s="31">
        <v>44806</v>
      </c>
      <c r="B611" s="2">
        <v>1139</v>
      </c>
      <c r="C611" s="2">
        <v>276</v>
      </c>
      <c r="D611" s="3">
        <v>3591.29</v>
      </c>
      <c r="E611" s="7" t="s">
        <v>12</v>
      </c>
    </row>
    <row r="612" spans="1:5" x14ac:dyDescent="0.2">
      <c r="A612" s="31">
        <v>44807</v>
      </c>
      <c r="B612" s="2">
        <v>1217</v>
      </c>
      <c r="C612" s="2">
        <v>241</v>
      </c>
      <c r="D612" s="3">
        <v>4108.55</v>
      </c>
      <c r="E612" s="7" t="s">
        <v>12</v>
      </c>
    </row>
    <row r="613" spans="1:5" x14ac:dyDescent="0.2">
      <c r="A613" s="31">
        <v>44808</v>
      </c>
      <c r="B613" s="2">
        <v>1069</v>
      </c>
      <c r="C613" s="2">
        <v>247</v>
      </c>
      <c r="D613" s="3">
        <v>4254.72</v>
      </c>
      <c r="E613" s="7" t="s">
        <v>12</v>
      </c>
    </row>
    <row r="614" spans="1:5" x14ac:dyDescent="0.2">
      <c r="A614" s="31">
        <v>44809</v>
      </c>
      <c r="B614" s="2">
        <v>1128</v>
      </c>
      <c r="C614" s="2">
        <v>244</v>
      </c>
      <c r="D614" s="3">
        <v>3398.36</v>
      </c>
      <c r="E614" s="7" t="s">
        <v>12</v>
      </c>
    </row>
    <row r="615" spans="1:5" x14ac:dyDescent="0.2">
      <c r="A615" s="31">
        <v>44810</v>
      </c>
      <c r="B615" s="2">
        <v>1125</v>
      </c>
      <c r="C615" s="2">
        <v>234</v>
      </c>
      <c r="D615" s="3">
        <v>4549.97</v>
      </c>
      <c r="E615" s="7" t="s">
        <v>12</v>
      </c>
    </row>
    <row r="616" spans="1:5" x14ac:dyDescent="0.2">
      <c r="A616" s="31">
        <v>44811</v>
      </c>
      <c r="B616" s="2">
        <v>1132</v>
      </c>
      <c r="C616" s="2">
        <v>286</v>
      </c>
      <c r="D616" s="3">
        <v>4444.1000000000004</v>
      </c>
      <c r="E616" s="7" t="s">
        <v>12</v>
      </c>
    </row>
    <row r="617" spans="1:5" x14ac:dyDescent="0.2">
      <c r="A617" s="31">
        <v>44812</v>
      </c>
      <c r="B617" s="2">
        <v>1157</v>
      </c>
      <c r="C617" s="2">
        <v>255</v>
      </c>
      <c r="D617" s="3">
        <v>4800.13</v>
      </c>
      <c r="E617" s="7" t="s">
        <v>12</v>
      </c>
    </row>
    <row r="618" spans="1:5" x14ac:dyDescent="0.2">
      <c r="A618" s="31">
        <v>44813</v>
      </c>
      <c r="B618" s="2">
        <v>1100</v>
      </c>
      <c r="C618" s="2">
        <v>233</v>
      </c>
      <c r="D618" s="3">
        <v>3822.26</v>
      </c>
      <c r="E618" s="7" t="s">
        <v>12</v>
      </c>
    </row>
    <row r="619" spans="1:5" x14ac:dyDescent="0.2">
      <c r="A619" s="31">
        <v>44814</v>
      </c>
      <c r="B619" s="2">
        <v>1127</v>
      </c>
      <c r="C619" s="2">
        <v>236</v>
      </c>
      <c r="D619" s="3">
        <v>3284.05</v>
      </c>
      <c r="E619" s="7" t="s">
        <v>12</v>
      </c>
    </row>
    <row r="620" spans="1:5" x14ac:dyDescent="0.2">
      <c r="A620" s="31">
        <v>44815</v>
      </c>
      <c r="B620" s="2">
        <v>1130</v>
      </c>
      <c r="C620" s="2">
        <v>236</v>
      </c>
      <c r="D620" s="3">
        <v>4019.86</v>
      </c>
      <c r="E620" s="7" t="s">
        <v>12</v>
      </c>
    </row>
    <row r="621" spans="1:5" x14ac:dyDescent="0.2">
      <c r="A621" s="31">
        <v>44816</v>
      </c>
      <c r="B621" s="2">
        <v>1086</v>
      </c>
      <c r="C621" s="2">
        <v>239</v>
      </c>
      <c r="D621" s="3">
        <v>3745.49</v>
      </c>
      <c r="E621" s="7" t="s">
        <v>12</v>
      </c>
    </row>
    <row r="622" spans="1:5" x14ac:dyDescent="0.2">
      <c r="A622" s="31">
        <v>44817</v>
      </c>
      <c r="B622" s="2">
        <v>1135</v>
      </c>
      <c r="C622" s="2">
        <v>256</v>
      </c>
      <c r="D622" s="3">
        <v>4453.3599999999997</v>
      </c>
      <c r="E622" s="7" t="s">
        <v>12</v>
      </c>
    </row>
    <row r="623" spans="1:5" x14ac:dyDescent="0.2">
      <c r="A623" s="31">
        <v>44818</v>
      </c>
      <c r="B623" s="2">
        <v>1151</v>
      </c>
      <c r="C623" s="2">
        <v>270</v>
      </c>
      <c r="D623" s="3">
        <v>5368.81</v>
      </c>
      <c r="E623" s="7" t="s">
        <v>12</v>
      </c>
    </row>
    <row r="624" spans="1:5" x14ac:dyDescent="0.2">
      <c r="A624" s="31">
        <v>44819</v>
      </c>
      <c r="B624" s="2">
        <v>1113</v>
      </c>
      <c r="C624" s="2">
        <v>284</v>
      </c>
      <c r="D624" s="3">
        <v>4397.3599999999997</v>
      </c>
      <c r="E624" s="7" t="s">
        <v>12</v>
      </c>
    </row>
    <row r="625" spans="1:5" x14ac:dyDescent="0.2">
      <c r="A625" s="31">
        <v>44820</v>
      </c>
      <c r="B625" s="2">
        <v>1149</v>
      </c>
      <c r="C625" s="2">
        <v>247</v>
      </c>
      <c r="D625" s="3">
        <v>3773.66</v>
      </c>
      <c r="E625" s="7" t="s">
        <v>12</v>
      </c>
    </row>
    <row r="626" spans="1:5" x14ac:dyDescent="0.2">
      <c r="A626" s="31">
        <v>44821</v>
      </c>
      <c r="B626" s="2">
        <v>1159</v>
      </c>
      <c r="C626" s="2">
        <v>279</v>
      </c>
      <c r="D626" s="3">
        <v>4845.76</v>
      </c>
      <c r="E626" s="7" t="s">
        <v>12</v>
      </c>
    </row>
    <row r="627" spans="1:5" x14ac:dyDescent="0.2">
      <c r="A627" s="31">
        <v>44822</v>
      </c>
      <c r="B627" s="2">
        <v>1165</v>
      </c>
      <c r="C627" s="2">
        <v>278</v>
      </c>
      <c r="D627" s="3">
        <v>3516.99</v>
      </c>
      <c r="E627" s="7" t="s">
        <v>12</v>
      </c>
    </row>
    <row r="628" spans="1:5" x14ac:dyDescent="0.2">
      <c r="A628" s="31">
        <v>44823</v>
      </c>
      <c r="B628" s="2">
        <v>1157</v>
      </c>
      <c r="C628" s="2">
        <v>275</v>
      </c>
      <c r="D628" s="3">
        <v>4168.9799999999996</v>
      </c>
      <c r="E628" s="7" t="s">
        <v>12</v>
      </c>
    </row>
    <row r="629" spans="1:5" x14ac:dyDescent="0.2">
      <c r="A629" s="31">
        <v>44824</v>
      </c>
      <c r="B629" s="2">
        <v>1149</v>
      </c>
      <c r="C629" s="2">
        <v>272</v>
      </c>
      <c r="D629" s="3">
        <v>4055.42</v>
      </c>
      <c r="E629" s="7" t="s">
        <v>12</v>
      </c>
    </row>
    <row r="630" spans="1:5" x14ac:dyDescent="0.2">
      <c r="A630" s="31">
        <v>44825</v>
      </c>
      <c r="B630" s="2">
        <v>1147</v>
      </c>
      <c r="C630" s="2">
        <v>260</v>
      </c>
      <c r="D630" s="3">
        <v>3224.93</v>
      </c>
      <c r="E630" s="7" t="s">
        <v>12</v>
      </c>
    </row>
    <row r="631" spans="1:5" x14ac:dyDescent="0.2">
      <c r="A631" s="31">
        <v>44826</v>
      </c>
      <c r="B631" s="2">
        <v>1119</v>
      </c>
      <c r="C631" s="2">
        <v>265</v>
      </c>
      <c r="D631" s="3">
        <v>3922.09</v>
      </c>
      <c r="E631" s="7" t="s">
        <v>12</v>
      </c>
    </row>
    <row r="632" spans="1:5" x14ac:dyDescent="0.2">
      <c r="A632" s="31">
        <v>44827</v>
      </c>
      <c r="B632" s="2">
        <v>1155</v>
      </c>
      <c r="C632" s="2">
        <v>289</v>
      </c>
      <c r="D632" s="3">
        <v>4057.52</v>
      </c>
      <c r="E632" s="7" t="s">
        <v>12</v>
      </c>
    </row>
    <row r="633" spans="1:5" x14ac:dyDescent="0.2">
      <c r="A633" s="31">
        <v>44828</v>
      </c>
      <c r="B633" s="2">
        <v>1121</v>
      </c>
      <c r="C633" s="2">
        <v>268</v>
      </c>
      <c r="D633" s="3">
        <v>5184.33</v>
      </c>
      <c r="E633" s="7" t="s">
        <v>12</v>
      </c>
    </row>
    <row r="634" spans="1:5" x14ac:dyDescent="0.2">
      <c r="A634" s="31">
        <v>44829</v>
      </c>
      <c r="B634" s="2">
        <v>1161</v>
      </c>
      <c r="C634" s="2">
        <v>273</v>
      </c>
      <c r="D634" s="3">
        <v>4917.67</v>
      </c>
      <c r="E634" s="7" t="s">
        <v>12</v>
      </c>
    </row>
    <row r="635" spans="1:5" x14ac:dyDescent="0.2">
      <c r="A635" s="31">
        <v>44830</v>
      </c>
      <c r="B635" s="2">
        <v>1134</v>
      </c>
      <c r="C635" s="2">
        <v>266</v>
      </c>
      <c r="D635" s="3">
        <v>4820</v>
      </c>
      <c r="E635" s="7" t="s">
        <v>12</v>
      </c>
    </row>
    <row r="636" spans="1:5" x14ac:dyDescent="0.2">
      <c r="A636" s="31">
        <v>44831</v>
      </c>
      <c r="B636" s="2">
        <v>1101</v>
      </c>
      <c r="C636" s="2">
        <v>252</v>
      </c>
      <c r="D636" s="3">
        <v>4236.6499999999996</v>
      </c>
      <c r="E636" s="7" t="s">
        <v>12</v>
      </c>
    </row>
    <row r="637" spans="1:5" x14ac:dyDescent="0.2">
      <c r="A637" s="31">
        <v>44832</v>
      </c>
      <c r="B637" s="2">
        <v>1154</v>
      </c>
      <c r="C637" s="2">
        <v>267</v>
      </c>
      <c r="D637" s="3">
        <v>3685.11</v>
      </c>
      <c r="E637" s="7" t="s">
        <v>12</v>
      </c>
    </row>
    <row r="638" spans="1:5" x14ac:dyDescent="0.2">
      <c r="A638" s="31">
        <v>44833</v>
      </c>
      <c r="B638" s="2">
        <v>1161</v>
      </c>
      <c r="C638" s="2">
        <v>272</v>
      </c>
      <c r="D638" s="3">
        <v>4442.66</v>
      </c>
      <c r="E638" s="7" t="s">
        <v>12</v>
      </c>
    </row>
    <row r="639" spans="1:5" x14ac:dyDescent="0.2">
      <c r="A639" s="31">
        <v>44834</v>
      </c>
      <c r="B639" s="2">
        <v>1136</v>
      </c>
      <c r="C639" s="2">
        <v>271</v>
      </c>
      <c r="D639" s="3">
        <v>4575.43</v>
      </c>
      <c r="E639" s="7" t="s">
        <v>12</v>
      </c>
    </row>
    <row r="640" spans="1:5" x14ac:dyDescent="0.2">
      <c r="A640" s="31">
        <v>44835</v>
      </c>
      <c r="B640" s="2">
        <v>1188</v>
      </c>
      <c r="C640" s="2">
        <v>279</v>
      </c>
      <c r="D640" s="3">
        <v>3602.21</v>
      </c>
      <c r="E640" s="7" t="s">
        <v>12</v>
      </c>
    </row>
    <row r="641" spans="1:5" x14ac:dyDescent="0.2">
      <c r="A641" s="31">
        <v>44836</v>
      </c>
      <c r="B641" s="2">
        <v>1187</v>
      </c>
      <c r="C641" s="2">
        <v>238</v>
      </c>
      <c r="D641" s="3">
        <v>4193.37</v>
      </c>
      <c r="E641" s="7" t="s">
        <v>12</v>
      </c>
    </row>
    <row r="642" spans="1:5" x14ac:dyDescent="0.2">
      <c r="A642" s="31">
        <v>44837</v>
      </c>
      <c r="B642" s="2">
        <v>1153</v>
      </c>
      <c r="C642" s="2">
        <v>254</v>
      </c>
      <c r="D642" s="3">
        <v>3365.24</v>
      </c>
      <c r="E642" s="7" t="s">
        <v>12</v>
      </c>
    </row>
    <row r="643" spans="1:5" x14ac:dyDescent="0.2">
      <c r="A643" s="31">
        <v>44838</v>
      </c>
      <c r="B643" s="2">
        <v>1109</v>
      </c>
      <c r="C643" s="2">
        <v>251</v>
      </c>
      <c r="D643" s="3">
        <v>2934.83</v>
      </c>
      <c r="E643" s="7" t="s">
        <v>12</v>
      </c>
    </row>
    <row r="644" spans="1:5" x14ac:dyDescent="0.2">
      <c r="A644" s="31">
        <v>44839</v>
      </c>
      <c r="B644" s="2">
        <v>1142</v>
      </c>
      <c r="C644" s="2">
        <v>282</v>
      </c>
      <c r="D644" s="3">
        <v>4733.6000000000004</v>
      </c>
      <c r="E644" s="7" t="s">
        <v>12</v>
      </c>
    </row>
    <row r="645" spans="1:5" x14ac:dyDescent="0.2">
      <c r="A645" s="31">
        <v>44840</v>
      </c>
      <c r="B645" s="2">
        <v>1158</v>
      </c>
      <c r="C645" s="2">
        <v>261</v>
      </c>
      <c r="D645" s="3">
        <v>4446.8100000000004</v>
      </c>
      <c r="E645" s="7" t="s">
        <v>12</v>
      </c>
    </row>
    <row r="646" spans="1:5" x14ac:dyDescent="0.2">
      <c r="A646" s="31">
        <v>44841</v>
      </c>
      <c r="B646" s="2">
        <v>1202</v>
      </c>
      <c r="C646" s="2">
        <v>274</v>
      </c>
      <c r="D646" s="3">
        <v>4083.7</v>
      </c>
      <c r="E646" s="7" t="s">
        <v>12</v>
      </c>
    </row>
    <row r="647" spans="1:5" x14ac:dyDescent="0.2">
      <c r="A647" s="31">
        <v>44842</v>
      </c>
      <c r="B647" s="2">
        <v>1111</v>
      </c>
      <c r="C647" s="2">
        <v>259</v>
      </c>
      <c r="D647" s="3">
        <v>4710.79</v>
      </c>
      <c r="E647" s="7" t="s">
        <v>12</v>
      </c>
    </row>
    <row r="648" spans="1:5" x14ac:dyDescent="0.2">
      <c r="A648" s="31">
        <v>44843</v>
      </c>
      <c r="B648" s="2">
        <v>1133</v>
      </c>
      <c r="C648" s="2">
        <v>262</v>
      </c>
      <c r="D648" s="3">
        <v>4253.09</v>
      </c>
      <c r="E648" s="7" t="s">
        <v>12</v>
      </c>
    </row>
    <row r="649" spans="1:5" x14ac:dyDescent="0.2">
      <c r="A649" s="31">
        <v>44844</v>
      </c>
      <c r="B649" s="2">
        <v>1151</v>
      </c>
      <c r="C649" s="2">
        <v>261</v>
      </c>
      <c r="D649" s="3">
        <v>3711.03</v>
      </c>
      <c r="E649" s="7" t="s">
        <v>12</v>
      </c>
    </row>
    <row r="650" spans="1:5" x14ac:dyDescent="0.2">
      <c r="A650" s="31">
        <v>44845</v>
      </c>
      <c r="B650" s="2">
        <v>1172</v>
      </c>
      <c r="C650" s="2">
        <v>271</v>
      </c>
      <c r="D650" s="3">
        <v>4778.9799999999996</v>
      </c>
      <c r="E650" s="7" t="s">
        <v>12</v>
      </c>
    </row>
    <row r="651" spans="1:5" x14ac:dyDescent="0.2">
      <c r="A651" s="31">
        <v>44846</v>
      </c>
      <c r="B651" s="2">
        <v>1194</v>
      </c>
      <c r="C651" s="2">
        <v>269</v>
      </c>
      <c r="D651" s="3">
        <v>4852.78</v>
      </c>
      <c r="E651" s="7" t="s">
        <v>12</v>
      </c>
    </row>
    <row r="652" spans="1:5" x14ac:dyDescent="0.2">
      <c r="A652" s="31">
        <v>44847</v>
      </c>
      <c r="B652" s="2">
        <v>1161</v>
      </c>
      <c r="C652" s="2">
        <v>250</v>
      </c>
      <c r="D652" s="3">
        <v>4361.22</v>
      </c>
      <c r="E652" s="7" t="s">
        <v>12</v>
      </c>
    </row>
    <row r="653" spans="1:5" x14ac:dyDescent="0.2">
      <c r="A653" s="31">
        <v>44848</v>
      </c>
      <c r="B653" s="2">
        <v>1216</v>
      </c>
      <c r="C653" s="2">
        <v>277</v>
      </c>
      <c r="D653" s="3">
        <v>3596.26</v>
      </c>
      <c r="E653" s="7" t="s">
        <v>12</v>
      </c>
    </row>
    <row r="654" spans="1:5" x14ac:dyDescent="0.2">
      <c r="A654" s="31">
        <v>44849</v>
      </c>
      <c r="B654" s="2">
        <v>1154</v>
      </c>
      <c r="C654" s="2">
        <v>256</v>
      </c>
      <c r="D654" s="3">
        <v>4259.95</v>
      </c>
      <c r="E654" s="7" t="s">
        <v>12</v>
      </c>
    </row>
    <row r="655" spans="1:5" x14ac:dyDescent="0.2">
      <c r="A655" s="31">
        <v>44850</v>
      </c>
      <c r="B655" s="2">
        <v>1155</v>
      </c>
      <c r="C655" s="2">
        <v>245</v>
      </c>
      <c r="D655" s="3">
        <v>3900.24</v>
      </c>
      <c r="E655" s="7" t="s">
        <v>12</v>
      </c>
    </row>
    <row r="656" spans="1:5" x14ac:dyDescent="0.2">
      <c r="A656" s="31">
        <v>44851</v>
      </c>
      <c r="B656" s="2">
        <v>1153</v>
      </c>
      <c r="C656" s="2">
        <v>243</v>
      </c>
      <c r="D656" s="3">
        <v>4246.78</v>
      </c>
      <c r="E656" s="7" t="s">
        <v>12</v>
      </c>
    </row>
    <row r="657" spans="1:5" x14ac:dyDescent="0.2">
      <c r="A657" s="31">
        <v>44852</v>
      </c>
      <c r="B657" s="2">
        <v>1160</v>
      </c>
      <c r="C657" s="2">
        <v>256</v>
      </c>
      <c r="D657" s="3">
        <v>4214.07</v>
      </c>
      <c r="E657" s="7" t="s">
        <v>12</v>
      </c>
    </row>
    <row r="658" spans="1:5" x14ac:dyDescent="0.2">
      <c r="A658" s="31">
        <v>44853</v>
      </c>
      <c r="B658" s="2">
        <v>1111</v>
      </c>
      <c r="C658" s="2">
        <v>249</v>
      </c>
      <c r="D658" s="3">
        <v>3353.9</v>
      </c>
      <c r="E658" s="7" t="s">
        <v>12</v>
      </c>
    </row>
    <row r="659" spans="1:5" x14ac:dyDescent="0.2">
      <c r="A659" s="31">
        <v>44854</v>
      </c>
      <c r="B659" s="2">
        <v>1161</v>
      </c>
      <c r="C659" s="2">
        <v>264</v>
      </c>
      <c r="D659" s="3">
        <v>4302.0200000000004</v>
      </c>
      <c r="E659" s="7" t="s">
        <v>12</v>
      </c>
    </row>
    <row r="660" spans="1:5" x14ac:dyDescent="0.2">
      <c r="A660" s="31">
        <v>44855</v>
      </c>
      <c r="B660" s="2">
        <v>1150</v>
      </c>
      <c r="C660" s="2">
        <v>266</v>
      </c>
      <c r="D660" s="3">
        <v>3964.78</v>
      </c>
      <c r="E660" s="7" t="s">
        <v>12</v>
      </c>
    </row>
    <row r="661" spans="1:5" x14ac:dyDescent="0.2">
      <c r="A661" s="31">
        <v>44856</v>
      </c>
      <c r="B661" s="2">
        <v>1146</v>
      </c>
      <c r="C661" s="2">
        <v>281</v>
      </c>
      <c r="D661" s="3">
        <v>5033.16</v>
      </c>
      <c r="E661" s="7" t="s">
        <v>12</v>
      </c>
    </row>
    <row r="662" spans="1:5" x14ac:dyDescent="0.2">
      <c r="A662" s="31">
        <v>44857</v>
      </c>
      <c r="B662" s="2">
        <v>1155</v>
      </c>
      <c r="C662" s="2">
        <v>265</v>
      </c>
      <c r="D662" s="3">
        <v>4042.96</v>
      </c>
      <c r="E662" s="7" t="s">
        <v>12</v>
      </c>
    </row>
    <row r="663" spans="1:5" x14ac:dyDescent="0.2">
      <c r="A663" s="31">
        <v>44858</v>
      </c>
      <c r="B663" s="2">
        <v>1059</v>
      </c>
      <c r="C663" s="2">
        <v>278</v>
      </c>
      <c r="D663" s="3">
        <v>3963.88</v>
      </c>
      <c r="E663" s="7" t="s">
        <v>12</v>
      </c>
    </row>
    <row r="664" spans="1:5" x14ac:dyDescent="0.2">
      <c r="A664" s="31">
        <v>44859</v>
      </c>
      <c r="B664" s="2">
        <v>1122</v>
      </c>
      <c r="C664" s="2">
        <v>243</v>
      </c>
      <c r="D664" s="3">
        <v>3441.84</v>
      </c>
      <c r="E664" s="7" t="s">
        <v>12</v>
      </c>
    </row>
    <row r="665" spans="1:5" x14ac:dyDescent="0.2">
      <c r="A665" s="31">
        <v>44860</v>
      </c>
      <c r="B665" s="2">
        <v>1145</v>
      </c>
      <c r="C665" s="2">
        <v>228</v>
      </c>
      <c r="D665" s="3">
        <v>3369.04</v>
      </c>
      <c r="E665" s="7" t="s">
        <v>12</v>
      </c>
    </row>
    <row r="666" spans="1:5" x14ac:dyDescent="0.2">
      <c r="A666" s="31">
        <v>44861</v>
      </c>
      <c r="B666" s="2">
        <v>1111</v>
      </c>
      <c r="C666" s="2">
        <v>261</v>
      </c>
      <c r="D666" s="3">
        <v>4038.55</v>
      </c>
      <c r="E666" s="7" t="s">
        <v>12</v>
      </c>
    </row>
    <row r="667" spans="1:5" x14ac:dyDescent="0.2">
      <c r="A667" s="31">
        <v>44862</v>
      </c>
      <c r="B667" s="2">
        <v>1185</v>
      </c>
      <c r="C667" s="2">
        <v>280</v>
      </c>
      <c r="D667" s="3">
        <v>4060.67</v>
      </c>
      <c r="E667" s="7" t="s">
        <v>12</v>
      </c>
    </row>
    <row r="668" spans="1:5" x14ac:dyDescent="0.2">
      <c r="A668" s="31">
        <v>44863</v>
      </c>
      <c r="B668" s="2">
        <v>1150</v>
      </c>
      <c r="C668" s="2">
        <v>275</v>
      </c>
      <c r="D668" s="3">
        <v>4926.6499999999996</v>
      </c>
      <c r="E668" s="7" t="s">
        <v>12</v>
      </c>
    </row>
    <row r="669" spans="1:5" x14ac:dyDescent="0.2">
      <c r="A669" s="31">
        <v>44864</v>
      </c>
      <c r="B669" s="2">
        <v>1136</v>
      </c>
      <c r="C669" s="2">
        <v>271</v>
      </c>
      <c r="D669" s="3">
        <v>3741.35</v>
      </c>
      <c r="E669" s="7" t="s">
        <v>12</v>
      </c>
    </row>
    <row r="670" spans="1:5" x14ac:dyDescent="0.2">
      <c r="A670" s="31">
        <v>44865</v>
      </c>
      <c r="B670" s="2">
        <v>1164</v>
      </c>
      <c r="C670" s="2">
        <v>257</v>
      </c>
      <c r="D670" s="3">
        <v>4925.21</v>
      </c>
      <c r="E670" s="7" t="s">
        <v>12</v>
      </c>
    </row>
    <row r="671" spans="1:5" x14ac:dyDescent="0.2">
      <c r="A671" s="31">
        <v>44866</v>
      </c>
      <c r="B671" s="2">
        <v>1132</v>
      </c>
      <c r="C671" s="2">
        <v>252</v>
      </c>
      <c r="D671" s="3">
        <v>3374.49</v>
      </c>
      <c r="E671" s="7" t="s">
        <v>12</v>
      </c>
    </row>
    <row r="672" spans="1:5" x14ac:dyDescent="0.2">
      <c r="A672" s="31">
        <v>44867</v>
      </c>
      <c r="B672" s="2">
        <v>1125</v>
      </c>
      <c r="C672" s="2">
        <v>276</v>
      </c>
      <c r="D672" s="3">
        <v>5453.69</v>
      </c>
      <c r="E672" s="7" t="s">
        <v>12</v>
      </c>
    </row>
    <row r="673" spans="1:5" x14ac:dyDescent="0.2">
      <c r="A673" s="31">
        <v>44868</v>
      </c>
      <c r="B673" s="2">
        <v>1140</v>
      </c>
      <c r="C673" s="2">
        <v>280</v>
      </c>
      <c r="D673" s="3">
        <v>4276.3999999999996</v>
      </c>
      <c r="E673" s="7" t="s">
        <v>12</v>
      </c>
    </row>
    <row r="674" spans="1:5" x14ac:dyDescent="0.2">
      <c r="A674" s="31">
        <v>44869</v>
      </c>
      <c r="B674" s="2">
        <v>1102</v>
      </c>
      <c r="C674" s="2">
        <v>261</v>
      </c>
      <c r="D674" s="3">
        <v>4364.1499999999996</v>
      </c>
      <c r="E674" s="7" t="s">
        <v>12</v>
      </c>
    </row>
    <row r="675" spans="1:5" x14ac:dyDescent="0.2">
      <c r="A675" s="31">
        <v>44870</v>
      </c>
      <c r="B675" s="2">
        <v>1185</v>
      </c>
      <c r="C675" s="2">
        <v>288</v>
      </c>
      <c r="D675" s="3">
        <v>4894.7299999999996</v>
      </c>
      <c r="E675" s="7" t="s">
        <v>12</v>
      </c>
    </row>
    <row r="676" spans="1:5" x14ac:dyDescent="0.2">
      <c r="A676" s="31">
        <v>44871</v>
      </c>
      <c r="B676" s="2">
        <v>1137</v>
      </c>
      <c r="C676" s="2">
        <v>283</v>
      </c>
      <c r="D676" s="3">
        <v>3279.8</v>
      </c>
      <c r="E676" s="7" t="s">
        <v>12</v>
      </c>
    </row>
    <row r="677" spans="1:5" x14ac:dyDescent="0.2">
      <c r="A677" s="31">
        <v>44872</v>
      </c>
      <c r="B677" s="2">
        <v>1227</v>
      </c>
      <c r="C677" s="2">
        <v>306</v>
      </c>
      <c r="D677" s="3">
        <v>5084.67</v>
      </c>
      <c r="E677" s="7" t="s">
        <v>12</v>
      </c>
    </row>
    <row r="678" spans="1:5" x14ac:dyDescent="0.2">
      <c r="A678" s="31">
        <v>44873</v>
      </c>
      <c r="B678" s="2">
        <v>1106</v>
      </c>
      <c r="C678" s="2">
        <v>278</v>
      </c>
      <c r="D678" s="3">
        <v>4860.45</v>
      </c>
      <c r="E678" s="7" t="s">
        <v>12</v>
      </c>
    </row>
    <row r="679" spans="1:5" x14ac:dyDescent="0.2">
      <c r="A679" s="31">
        <v>44874</v>
      </c>
      <c r="B679" s="2">
        <v>1209</v>
      </c>
      <c r="C679" s="2">
        <v>281</v>
      </c>
      <c r="D679" s="3">
        <v>4527.8900000000003</v>
      </c>
      <c r="E679" s="7" t="s">
        <v>12</v>
      </c>
    </row>
    <row r="680" spans="1:5" x14ac:dyDescent="0.2">
      <c r="A680" s="31">
        <v>44875</v>
      </c>
      <c r="B680" s="2">
        <v>1181</v>
      </c>
      <c r="C680" s="2">
        <v>293</v>
      </c>
      <c r="D680" s="3">
        <v>5547.53</v>
      </c>
      <c r="E680" s="7" t="s">
        <v>12</v>
      </c>
    </row>
    <row r="681" spans="1:5" x14ac:dyDescent="0.2">
      <c r="A681" s="31">
        <v>44876</v>
      </c>
      <c r="B681" s="2">
        <v>1204</v>
      </c>
      <c r="C681" s="2">
        <v>255</v>
      </c>
      <c r="D681" s="3">
        <v>3345.1</v>
      </c>
      <c r="E681" s="7" t="s">
        <v>12</v>
      </c>
    </row>
    <row r="682" spans="1:5" x14ac:dyDescent="0.2">
      <c r="A682" s="31">
        <v>44877</v>
      </c>
      <c r="B682" s="2">
        <v>1188</v>
      </c>
      <c r="C682" s="2">
        <v>294</v>
      </c>
      <c r="D682" s="3">
        <v>4720.92</v>
      </c>
      <c r="E682" s="7" t="s">
        <v>12</v>
      </c>
    </row>
    <row r="683" spans="1:5" x14ac:dyDescent="0.2">
      <c r="A683" s="31">
        <v>44878</v>
      </c>
      <c r="B683" s="2">
        <v>1150</v>
      </c>
      <c r="C683" s="2">
        <v>262</v>
      </c>
      <c r="D683" s="3">
        <v>4136.41</v>
      </c>
      <c r="E683" s="7" t="s">
        <v>12</v>
      </c>
    </row>
    <row r="684" spans="1:5" x14ac:dyDescent="0.2">
      <c r="A684" s="31">
        <v>44879</v>
      </c>
      <c r="B684" s="2">
        <v>1124</v>
      </c>
      <c r="C684" s="2">
        <v>259</v>
      </c>
      <c r="D684" s="3">
        <v>3440.47</v>
      </c>
      <c r="E684" s="7" t="s">
        <v>12</v>
      </c>
    </row>
    <row r="685" spans="1:5" x14ac:dyDescent="0.2">
      <c r="A685" s="31">
        <v>44880</v>
      </c>
      <c r="B685" s="2">
        <v>1171</v>
      </c>
      <c r="C685" s="2">
        <v>285</v>
      </c>
      <c r="D685" s="3">
        <v>4495.21</v>
      </c>
      <c r="E685" s="7" t="s">
        <v>12</v>
      </c>
    </row>
    <row r="686" spans="1:5" x14ac:dyDescent="0.2">
      <c r="A686" s="31">
        <v>44881</v>
      </c>
      <c r="B686" s="2">
        <v>1134</v>
      </c>
      <c r="C686" s="2">
        <v>266</v>
      </c>
      <c r="D686" s="3">
        <v>4933.08</v>
      </c>
      <c r="E686" s="7" t="s">
        <v>12</v>
      </c>
    </row>
    <row r="687" spans="1:5" x14ac:dyDescent="0.2">
      <c r="A687" s="31">
        <v>44882</v>
      </c>
      <c r="B687" s="2">
        <v>1144</v>
      </c>
      <c r="C687" s="2">
        <v>272</v>
      </c>
      <c r="D687" s="3">
        <v>3511.55</v>
      </c>
      <c r="E687" s="7" t="s">
        <v>12</v>
      </c>
    </row>
    <row r="688" spans="1:5" x14ac:dyDescent="0.2">
      <c r="A688" s="31">
        <v>44883</v>
      </c>
      <c r="B688" s="2">
        <v>1120</v>
      </c>
      <c r="C688" s="2">
        <v>235</v>
      </c>
      <c r="D688" s="3">
        <v>3559.4</v>
      </c>
      <c r="E688" s="7" t="s">
        <v>12</v>
      </c>
    </row>
    <row r="689" spans="1:5" x14ac:dyDescent="0.2">
      <c r="A689" s="31">
        <v>44884</v>
      </c>
      <c r="B689" s="2">
        <v>1093</v>
      </c>
      <c r="C689" s="2">
        <v>253</v>
      </c>
      <c r="D689" s="3">
        <v>4084.56</v>
      </c>
      <c r="E689" s="7" t="s">
        <v>12</v>
      </c>
    </row>
    <row r="690" spans="1:5" x14ac:dyDescent="0.2">
      <c r="A690" s="31">
        <v>44885</v>
      </c>
      <c r="B690" s="2">
        <v>1150</v>
      </c>
      <c r="C690" s="2">
        <v>295</v>
      </c>
      <c r="D690" s="3">
        <v>5165.43</v>
      </c>
      <c r="E690" s="7" t="s">
        <v>12</v>
      </c>
    </row>
    <row r="691" spans="1:5" x14ac:dyDescent="0.2">
      <c r="A691" s="31">
        <v>44886</v>
      </c>
      <c r="B691" s="2">
        <v>1129</v>
      </c>
      <c r="C691" s="2">
        <v>246</v>
      </c>
      <c r="D691" s="3">
        <v>3303.49</v>
      </c>
      <c r="E691" s="7" t="s">
        <v>12</v>
      </c>
    </row>
    <row r="692" spans="1:5" x14ac:dyDescent="0.2">
      <c r="A692" s="31">
        <v>44887</v>
      </c>
      <c r="B692" s="2">
        <v>1179</v>
      </c>
      <c r="C692" s="2">
        <v>307</v>
      </c>
      <c r="D692" s="3">
        <v>5221.62</v>
      </c>
      <c r="E692" s="7" t="s">
        <v>12</v>
      </c>
    </row>
    <row r="693" spans="1:5" x14ac:dyDescent="0.2">
      <c r="A693" s="31">
        <v>44888</v>
      </c>
      <c r="B693" s="2">
        <v>1104</v>
      </c>
      <c r="C693" s="2">
        <v>271</v>
      </c>
      <c r="D693" s="3">
        <v>4515.66</v>
      </c>
      <c r="E693" s="7" t="s">
        <v>12</v>
      </c>
    </row>
    <row r="694" spans="1:5" x14ac:dyDescent="0.2">
      <c r="A694" s="31">
        <v>44889</v>
      </c>
      <c r="B694" s="2">
        <v>1153</v>
      </c>
      <c r="C694" s="2">
        <v>243</v>
      </c>
      <c r="D694" s="3">
        <v>3488.6</v>
      </c>
      <c r="E694" s="7" t="s">
        <v>12</v>
      </c>
    </row>
    <row r="695" spans="1:5" x14ac:dyDescent="0.2">
      <c r="A695" s="31">
        <v>44890</v>
      </c>
      <c r="B695" s="2">
        <v>1242</v>
      </c>
      <c r="C695" s="2">
        <v>290</v>
      </c>
      <c r="D695" s="3">
        <v>4369.3900000000003</v>
      </c>
      <c r="E695" s="7" t="s">
        <v>12</v>
      </c>
    </row>
    <row r="696" spans="1:5" x14ac:dyDescent="0.2">
      <c r="A696" s="31">
        <v>44891</v>
      </c>
      <c r="B696" s="2">
        <v>1185</v>
      </c>
      <c r="C696" s="2">
        <v>285</v>
      </c>
      <c r="D696" s="3">
        <v>4399.74</v>
      </c>
      <c r="E696" s="7" t="s">
        <v>12</v>
      </c>
    </row>
    <row r="697" spans="1:5" x14ac:dyDescent="0.2">
      <c r="A697" s="31">
        <v>44892</v>
      </c>
      <c r="B697" s="2">
        <v>1152</v>
      </c>
      <c r="C697" s="2">
        <v>282</v>
      </c>
      <c r="D697" s="3">
        <v>4251.8500000000004</v>
      </c>
      <c r="E697" s="7" t="s">
        <v>12</v>
      </c>
    </row>
    <row r="698" spans="1:5" x14ac:dyDescent="0.2">
      <c r="A698" s="31">
        <v>44893</v>
      </c>
      <c r="B698" s="2">
        <v>1157</v>
      </c>
      <c r="C698" s="2">
        <v>263</v>
      </c>
      <c r="D698" s="3">
        <v>4731.88</v>
      </c>
      <c r="E698" s="7" t="s">
        <v>12</v>
      </c>
    </row>
    <row r="699" spans="1:5" x14ac:dyDescent="0.2">
      <c r="A699" s="31">
        <v>44894</v>
      </c>
      <c r="B699" s="2">
        <v>1114</v>
      </c>
      <c r="C699" s="2">
        <v>241</v>
      </c>
      <c r="D699" s="3">
        <v>3623.2</v>
      </c>
      <c r="E699" s="7" t="s">
        <v>12</v>
      </c>
    </row>
    <row r="700" spans="1:5" x14ac:dyDescent="0.2">
      <c r="A700" s="31">
        <v>44895</v>
      </c>
      <c r="B700" s="2">
        <v>1194</v>
      </c>
      <c r="C700" s="2">
        <v>253</v>
      </c>
      <c r="D700" s="3">
        <v>3587.29</v>
      </c>
      <c r="E700" s="7" t="s">
        <v>12</v>
      </c>
    </row>
    <row r="701" spans="1:5" x14ac:dyDescent="0.2">
      <c r="A701" s="31">
        <v>44896</v>
      </c>
      <c r="B701" s="2">
        <v>1118</v>
      </c>
      <c r="C701" s="2">
        <v>246</v>
      </c>
      <c r="D701" s="3">
        <v>5165.2299999999996</v>
      </c>
      <c r="E701" s="7" t="s">
        <v>12</v>
      </c>
    </row>
    <row r="702" spans="1:5" x14ac:dyDescent="0.2">
      <c r="A702" s="31">
        <v>44897</v>
      </c>
      <c r="B702" s="2">
        <v>1133</v>
      </c>
      <c r="C702" s="2">
        <v>253</v>
      </c>
      <c r="D702" s="3">
        <v>4646.04</v>
      </c>
      <c r="E702" s="7" t="s">
        <v>12</v>
      </c>
    </row>
    <row r="703" spans="1:5" x14ac:dyDescent="0.2">
      <c r="A703" s="31">
        <v>44898</v>
      </c>
      <c r="B703" s="2">
        <v>1161</v>
      </c>
      <c r="C703" s="2">
        <v>266</v>
      </c>
      <c r="D703" s="3">
        <v>4118.72</v>
      </c>
      <c r="E703" s="7" t="s">
        <v>12</v>
      </c>
    </row>
    <row r="704" spans="1:5" x14ac:dyDescent="0.2">
      <c r="A704" s="31">
        <v>44899</v>
      </c>
      <c r="B704" s="2">
        <v>1161</v>
      </c>
      <c r="C704" s="2">
        <v>278</v>
      </c>
      <c r="D704" s="3">
        <v>5240.09</v>
      </c>
      <c r="E704" s="7" t="s">
        <v>12</v>
      </c>
    </row>
    <row r="705" spans="1:5" x14ac:dyDescent="0.2">
      <c r="A705" s="31">
        <v>44900</v>
      </c>
      <c r="B705" s="2">
        <v>1140</v>
      </c>
      <c r="C705" s="2">
        <v>249</v>
      </c>
      <c r="D705" s="3">
        <v>4153</v>
      </c>
      <c r="E705" s="7" t="s">
        <v>12</v>
      </c>
    </row>
    <row r="706" spans="1:5" x14ac:dyDescent="0.2">
      <c r="A706" s="31">
        <v>44901</v>
      </c>
      <c r="B706" s="2">
        <v>1089</v>
      </c>
      <c r="C706" s="2">
        <v>279</v>
      </c>
      <c r="D706" s="3">
        <v>4440.93</v>
      </c>
      <c r="E706" s="7" t="s">
        <v>12</v>
      </c>
    </row>
    <row r="707" spans="1:5" x14ac:dyDescent="0.2">
      <c r="A707" s="31">
        <v>44902</v>
      </c>
      <c r="B707" s="2">
        <v>1171</v>
      </c>
      <c r="C707" s="2">
        <v>265</v>
      </c>
      <c r="D707" s="3">
        <v>4674.76</v>
      </c>
      <c r="E707" s="7" t="s">
        <v>12</v>
      </c>
    </row>
    <row r="708" spans="1:5" x14ac:dyDescent="0.2">
      <c r="A708" s="31">
        <v>44903</v>
      </c>
      <c r="B708" s="2">
        <v>1140</v>
      </c>
      <c r="C708" s="2">
        <v>276</v>
      </c>
      <c r="D708" s="3">
        <v>4318.0200000000004</v>
      </c>
      <c r="E708" s="7" t="s">
        <v>12</v>
      </c>
    </row>
    <row r="709" spans="1:5" x14ac:dyDescent="0.2">
      <c r="A709" s="31">
        <v>44904</v>
      </c>
      <c r="B709" s="2">
        <v>1175</v>
      </c>
      <c r="C709" s="2">
        <v>236</v>
      </c>
      <c r="D709" s="3">
        <v>4300.91</v>
      </c>
      <c r="E709" s="7" t="s">
        <v>12</v>
      </c>
    </row>
    <row r="710" spans="1:5" x14ac:dyDescent="0.2">
      <c r="A710" s="31">
        <v>44905</v>
      </c>
      <c r="B710" s="2">
        <v>1184</v>
      </c>
      <c r="C710" s="2">
        <v>274</v>
      </c>
      <c r="D710" s="3">
        <v>3660.15</v>
      </c>
      <c r="E710" s="7" t="s">
        <v>12</v>
      </c>
    </row>
    <row r="711" spans="1:5" x14ac:dyDescent="0.2">
      <c r="A711" s="31">
        <v>44906</v>
      </c>
      <c r="B711" s="2">
        <v>1128</v>
      </c>
      <c r="C711" s="2">
        <v>257</v>
      </c>
      <c r="D711" s="3">
        <v>3593.96</v>
      </c>
      <c r="E711" s="7" t="s">
        <v>12</v>
      </c>
    </row>
    <row r="712" spans="1:5" x14ac:dyDescent="0.2">
      <c r="A712" s="31">
        <v>44907</v>
      </c>
      <c r="B712" s="2">
        <v>1145</v>
      </c>
      <c r="C712" s="2">
        <v>286</v>
      </c>
      <c r="D712" s="3">
        <v>4635.22</v>
      </c>
      <c r="E712" s="7" t="s">
        <v>12</v>
      </c>
    </row>
    <row r="713" spans="1:5" x14ac:dyDescent="0.2">
      <c r="A713" s="31">
        <v>44908</v>
      </c>
      <c r="B713" s="2">
        <v>1113</v>
      </c>
      <c r="C713" s="2">
        <v>269</v>
      </c>
      <c r="D713" s="3">
        <v>5018.55</v>
      </c>
      <c r="E713" s="7" t="s">
        <v>12</v>
      </c>
    </row>
    <row r="714" spans="1:5" x14ac:dyDescent="0.2">
      <c r="A714" s="31">
        <v>44909</v>
      </c>
      <c r="B714" s="2">
        <v>1160</v>
      </c>
      <c r="C714" s="2">
        <v>279</v>
      </c>
      <c r="D714" s="3">
        <v>4568.79</v>
      </c>
      <c r="E714" s="7" t="s">
        <v>12</v>
      </c>
    </row>
    <row r="715" spans="1:5" x14ac:dyDescent="0.2">
      <c r="A715" s="31">
        <v>44910</v>
      </c>
      <c r="B715" s="2">
        <v>1151</v>
      </c>
      <c r="C715" s="2">
        <v>256</v>
      </c>
      <c r="D715" s="3">
        <v>3980.67</v>
      </c>
      <c r="E715" s="7" t="s">
        <v>12</v>
      </c>
    </row>
    <row r="716" spans="1:5" x14ac:dyDescent="0.2">
      <c r="A716" s="31">
        <v>44911</v>
      </c>
      <c r="B716" s="2">
        <v>1177</v>
      </c>
      <c r="C716" s="2">
        <v>288</v>
      </c>
      <c r="D716" s="3">
        <v>5446.33</v>
      </c>
      <c r="E716" s="7" t="s">
        <v>12</v>
      </c>
    </row>
    <row r="717" spans="1:5" x14ac:dyDescent="0.2">
      <c r="A717" s="31">
        <v>44912</v>
      </c>
      <c r="B717" s="2">
        <v>1118</v>
      </c>
      <c r="C717" s="2">
        <v>236</v>
      </c>
      <c r="D717" s="3">
        <v>3590.22</v>
      </c>
      <c r="E717" s="7" t="s">
        <v>12</v>
      </c>
    </row>
    <row r="718" spans="1:5" x14ac:dyDescent="0.2">
      <c r="A718" s="31">
        <v>44913</v>
      </c>
      <c r="B718" s="2">
        <v>1126</v>
      </c>
      <c r="C718" s="2">
        <v>275</v>
      </c>
      <c r="D718" s="3">
        <v>5388.17</v>
      </c>
      <c r="E718" s="7" t="s">
        <v>12</v>
      </c>
    </row>
    <row r="719" spans="1:5" x14ac:dyDescent="0.2">
      <c r="A719" s="31">
        <v>44914</v>
      </c>
      <c r="B719" s="2">
        <v>1167</v>
      </c>
      <c r="C719" s="2">
        <v>285</v>
      </c>
      <c r="D719" s="3">
        <v>4363.6499999999996</v>
      </c>
      <c r="E719" s="7" t="s">
        <v>12</v>
      </c>
    </row>
    <row r="720" spans="1:5" x14ac:dyDescent="0.2">
      <c r="A720" s="31">
        <v>44915</v>
      </c>
      <c r="B720" s="2">
        <v>1144</v>
      </c>
      <c r="C720" s="2">
        <v>275</v>
      </c>
      <c r="D720" s="3">
        <v>4053.36</v>
      </c>
      <c r="E720" s="7" t="s">
        <v>12</v>
      </c>
    </row>
    <row r="721" spans="1:5" x14ac:dyDescent="0.2">
      <c r="A721" s="31">
        <v>44916</v>
      </c>
      <c r="B721" s="2">
        <v>1094</v>
      </c>
      <c r="C721" s="2">
        <v>244</v>
      </c>
      <c r="D721" s="3">
        <v>4246.8999999999996</v>
      </c>
      <c r="E721" s="7" t="s">
        <v>12</v>
      </c>
    </row>
    <row r="722" spans="1:5" x14ac:dyDescent="0.2">
      <c r="A722" s="31">
        <v>44917</v>
      </c>
      <c r="B722" s="2">
        <v>1184</v>
      </c>
      <c r="C722" s="2">
        <v>266</v>
      </c>
      <c r="D722" s="3">
        <v>3963.51</v>
      </c>
      <c r="E722" s="7" t="s">
        <v>12</v>
      </c>
    </row>
    <row r="723" spans="1:5" x14ac:dyDescent="0.2">
      <c r="A723" s="31">
        <v>44918</v>
      </c>
      <c r="B723" s="2">
        <v>1207</v>
      </c>
      <c r="C723" s="2">
        <v>266</v>
      </c>
      <c r="D723" s="3">
        <v>3882.05</v>
      </c>
      <c r="E723" s="7" t="s">
        <v>12</v>
      </c>
    </row>
    <row r="724" spans="1:5" x14ac:dyDescent="0.2">
      <c r="A724" s="31">
        <v>44919</v>
      </c>
      <c r="B724" s="2">
        <v>1145</v>
      </c>
      <c r="C724" s="2">
        <v>258</v>
      </c>
      <c r="D724" s="3">
        <v>4052.22</v>
      </c>
      <c r="E724" s="7" t="s">
        <v>12</v>
      </c>
    </row>
    <row r="725" spans="1:5" x14ac:dyDescent="0.2">
      <c r="A725" s="31">
        <v>44920</v>
      </c>
      <c r="B725" s="2">
        <v>1204</v>
      </c>
      <c r="C725" s="2">
        <v>279</v>
      </c>
      <c r="D725" s="3">
        <v>5261.25</v>
      </c>
      <c r="E725" s="7" t="s">
        <v>12</v>
      </c>
    </row>
    <row r="726" spans="1:5" x14ac:dyDescent="0.2">
      <c r="A726" s="31">
        <v>44921</v>
      </c>
      <c r="B726" s="2">
        <v>1158</v>
      </c>
      <c r="C726" s="2">
        <v>269</v>
      </c>
      <c r="D726" s="3">
        <v>4260.3900000000003</v>
      </c>
      <c r="E726" s="7" t="s">
        <v>12</v>
      </c>
    </row>
    <row r="727" spans="1:5" x14ac:dyDescent="0.2">
      <c r="A727" s="31">
        <v>44922</v>
      </c>
      <c r="B727" s="2">
        <v>1141</v>
      </c>
      <c r="C727" s="2">
        <v>248</v>
      </c>
      <c r="D727" s="3">
        <v>4852.83</v>
      </c>
      <c r="E727" s="7" t="s">
        <v>12</v>
      </c>
    </row>
    <row r="728" spans="1:5" x14ac:dyDescent="0.2">
      <c r="A728" s="31">
        <v>44923</v>
      </c>
      <c r="B728" s="2">
        <v>1149</v>
      </c>
      <c r="C728" s="2">
        <v>275</v>
      </c>
      <c r="D728" s="3">
        <v>4582.5600000000004</v>
      </c>
      <c r="E728" s="7" t="s">
        <v>12</v>
      </c>
    </row>
    <row r="729" spans="1:5" x14ac:dyDescent="0.2">
      <c r="A729" s="31">
        <v>44924</v>
      </c>
      <c r="B729" s="2">
        <v>1135</v>
      </c>
      <c r="C729" s="2">
        <v>251</v>
      </c>
      <c r="D729" s="3">
        <v>4276.1499999999996</v>
      </c>
      <c r="E729" s="7" t="s">
        <v>12</v>
      </c>
    </row>
    <row r="730" spans="1:5" x14ac:dyDescent="0.2">
      <c r="A730" s="31">
        <v>44925</v>
      </c>
      <c r="B730" s="2">
        <v>1151</v>
      </c>
      <c r="C730" s="2">
        <v>275</v>
      </c>
      <c r="D730" s="3">
        <v>4670.6099999999997</v>
      </c>
      <c r="E730" s="7" t="s">
        <v>12</v>
      </c>
    </row>
    <row r="731" spans="1:5" x14ac:dyDescent="0.2">
      <c r="A731" s="31">
        <v>44926</v>
      </c>
      <c r="B731" s="2">
        <v>1152</v>
      </c>
      <c r="C731" s="2">
        <v>263</v>
      </c>
      <c r="D731" s="3">
        <v>4425.5600000000004</v>
      </c>
      <c r="E731" s="7" t="s">
        <v>12</v>
      </c>
    </row>
    <row r="732" spans="1:5" x14ac:dyDescent="0.2">
      <c r="A732" s="31">
        <v>44927</v>
      </c>
      <c r="B732" s="2">
        <v>1164</v>
      </c>
      <c r="C732" s="2">
        <v>259</v>
      </c>
      <c r="D732" s="3">
        <v>4569.83</v>
      </c>
      <c r="E732" s="7" t="s">
        <v>12</v>
      </c>
    </row>
    <row r="733" spans="1:5" x14ac:dyDescent="0.2">
      <c r="A733" s="31">
        <v>44928</v>
      </c>
      <c r="B733" s="2">
        <v>1127</v>
      </c>
      <c r="C733" s="2">
        <v>252</v>
      </c>
      <c r="D733" s="3">
        <v>4036.43</v>
      </c>
      <c r="E733" s="7" t="s">
        <v>12</v>
      </c>
    </row>
    <row r="734" spans="1:5" x14ac:dyDescent="0.2">
      <c r="A734" s="31">
        <v>44929</v>
      </c>
      <c r="B734" s="2">
        <v>1182</v>
      </c>
      <c r="C734" s="2">
        <v>281</v>
      </c>
      <c r="D734" s="3">
        <v>4154.72</v>
      </c>
      <c r="E734" s="7" t="s">
        <v>12</v>
      </c>
    </row>
    <row r="735" spans="1:5" x14ac:dyDescent="0.2">
      <c r="A735" s="31">
        <v>44930</v>
      </c>
      <c r="B735" s="2">
        <v>1144</v>
      </c>
      <c r="C735" s="2">
        <v>248</v>
      </c>
      <c r="D735" s="3">
        <v>4797.74</v>
      </c>
      <c r="E735" s="7" t="s">
        <v>12</v>
      </c>
    </row>
    <row r="736" spans="1:5" x14ac:dyDescent="0.2">
      <c r="A736" s="31">
        <v>44931</v>
      </c>
      <c r="B736" s="2">
        <v>1153</v>
      </c>
      <c r="C736" s="2">
        <v>247</v>
      </c>
      <c r="D736" s="3">
        <v>2911.2</v>
      </c>
      <c r="E736" s="7" t="s">
        <v>12</v>
      </c>
    </row>
    <row r="737" spans="1:5" x14ac:dyDescent="0.2">
      <c r="A737" s="31">
        <v>44932</v>
      </c>
      <c r="B737" s="2">
        <v>1171</v>
      </c>
      <c r="C737" s="2">
        <v>257</v>
      </c>
      <c r="D737" s="3">
        <v>5054.62</v>
      </c>
      <c r="E737" s="7" t="s">
        <v>12</v>
      </c>
    </row>
    <row r="738" spans="1:5" x14ac:dyDescent="0.2">
      <c r="A738" s="31">
        <v>44933</v>
      </c>
      <c r="B738" s="2">
        <v>1109</v>
      </c>
      <c r="C738" s="2">
        <v>273</v>
      </c>
      <c r="D738" s="3">
        <v>4130.07</v>
      </c>
      <c r="E738" s="7" t="s">
        <v>12</v>
      </c>
    </row>
    <row r="739" spans="1:5" x14ac:dyDescent="0.2">
      <c r="A739" s="31">
        <v>44934</v>
      </c>
      <c r="B739" s="2">
        <v>1121</v>
      </c>
      <c r="C739" s="2">
        <v>258</v>
      </c>
      <c r="D739" s="3">
        <v>3994.87</v>
      </c>
      <c r="E739" s="7" t="s">
        <v>12</v>
      </c>
    </row>
    <row r="740" spans="1:5" x14ac:dyDescent="0.2">
      <c r="A740" s="31">
        <v>44935</v>
      </c>
      <c r="B740" s="2">
        <v>1147</v>
      </c>
      <c r="C740" s="2">
        <v>235</v>
      </c>
      <c r="D740" s="3">
        <v>3983.83</v>
      </c>
      <c r="E740" s="7" t="s">
        <v>12</v>
      </c>
    </row>
    <row r="741" spans="1:5" x14ac:dyDescent="0.2">
      <c r="A741" s="31">
        <v>44936</v>
      </c>
      <c r="B741" s="2">
        <v>1086</v>
      </c>
      <c r="C741" s="2">
        <v>254</v>
      </c>
      <c r="D741" s="3">
        <v>4924.32</v>
      </c>
      <c r="E741" s="7" t="s">
        <v>12</v>
      </c>
    </row>
    <row r="742" spans="1:5" x14ac:dyDescent="0.2">
      <c r="A742" s="31">
        <v>44937</v>
      </c>
      <c r="B742" s="2">
        <v>1131</v>
      </c>
      <c r="C742" s="2">
        <v>259</v>
      </c>
      <c r="D742" s="3">
        <v>4677.88</v>
      </c>
      <c r="E742" s="7" t="s">
        <v>12</v>
      </c>
    </row>
    <row r="743" spans="1:5" x14ac:dyDescent="0.2">
      <c r="A743" s="31">
        <v>44938</v>
      </c>
      <c r="B743" s="2">
        <v>1114</v>
      </c>
      <c r="C743" s="2">
        <v>254</v>
      </c>
      <c r="D743" s="3">
        <v>3607.41</v>
      </c>
      <c r="E743" s="7" t="s">
        <v>12</v>
      </c>
    </row>
    <row r="744" spans="1:5" x14ac:dyDescent="0.2">
      <c r="A744" s="31">
        <v>44939</v>
      </c>
      <c r="B744" s="2">
        <v>1160</v>
      </c>
      <c r="C744" s="2">
        <v>284</v>
      </c>
      <c r="D744" s="3">
        <v>4081.15</v>
      </c>
      <c r="E744" s="7" t="s">
        <v>12</v>
      </c>
    </row>
    <row r="745" spans="1:5" x14ac:dyDescent="0.2">
      <c r="A745" s="31">
        <v>44940</v>
      </c>
      <c r="B745" s="2">
        <v>1124</v>
      </c>
      <c r="C745" s="2">
        <v>259</v>
      </c>
      <c r="D745" s="3">
        <v>4377.01</v>
      </c>
      <c r="E745" s="7" t="s">
        <v>12</v>
      </c>
    </row>
    <row r="746" spans="1:5" x14ac:dyDescent="0.2">
      <c r="A746" s="31">
        <v>44941</v>
      </c>
      <c r="B746" s="2">
        <v>1112</v>
      </c>
      <c r="C746" s="2">
        <v>267</v>
      </c>
      <c r="D746" s="3">
        <v>4301.37</v>
      </c>
      <c r="E746" s="7" t="s">
        <v>12</v>
      </c>
    </row>
    <row r="747" spans="1:5" x14ac:dyDescent="0.2">
      <c r="A747" s="31">
        <v>44942</v>
      </c>
      <c r="B747" s="2">
        <v>1109</v>
      </c>
      <c r="C747" s="2">
        <v>250</v>
      </c>
      <c r="D747" s="3">
        <v>4581.6899999999996</v>
      </c>
      <c r="E747" s="7" t="s">
        <v>12</v>
      </c>
    </row>
    <row r="748" spans="1:5" x14ac:dyDescent="0.2">
      <c r="A748" s="31">
        <v>44943</v>
      </c>
      <c r="B748" s="2">
        <v>1200</v>
      </c>
      <c r="C748" s="2">
        <v>262</v>
      </c>
      <c r="D748" s="3">
        <v>3861.44</v>
      </c>
      <c r="E748" s="7" t="s">
        <v>12</v>
      </c>
    </row>
    <row r="749" spans="1:5" x14ac:dyDescent="0.2">
      <c r="A749" s="31">
        <v>44944</v>
      </c>
      <c r="B749" s="2">
        <v>1177</v>
      </c>
      <c r="C749" s="2">
        <v>263</v>
      </c>
      <c r="D749" s="3">
        <v>3642.73</v>
      </c>
      <c r="E749" s="7" t="s">
        <v>12</v>
      </c>
    </row>
    <row r="750" spans="1:5" x14ac:dyDescent="0.2">
      <c r="A750" s="31">
        <v>44945</v>
      </c>
      <c r="B750" s="2">
        <v>1189</v>
      </c>
      <c r="C750" s="2">
        <v>281</v>
      </c>
      <c r="D750" s="3">
        <v>3764.78</v>
      </c>
      <c r="E750" s="7" t="s">
        <v>12</v>
      </c>
    </row>
    <row r="751" spans="1:5" x14ac:dyDescent="0.2">
      <c r="A751" s="31">
        <v>44946</v>
      </c>
      <c r="B751" s="2">
        <v>1165</v>
      </c>
      <c r="C751" s="2">
        <v>277</v>
      </c>
      <c r="D751" s="3">
        <v>4821.2</v>
      </c>
      <c r="E751" s="7" t="s">
        <v>12</v>
      </c>
    </row>
    <row r="752" spans="1:5" x14ac:dyDescent="0.2">
      <c r="A752" s="31">
        <v>44947</v>
      </c>
      <c r="B752" s="2">
        <v>1208</v>
      </c>
      <c r="C752" s="2">
        <v>278</v>
      </c>
      <c r="D752" s="3">
        <v>4502.0200000000004</v>
      </c>
      <c r="E752" s="7" t="s">
        <v>12</v>
      </c>
    </row>
    <row r="753" spans="1:5" x14ac:dyDescent="0.2">
      <c r="A753" s="31">
        <v>44948</v>
      </c>
      <c r="B753" s="2">
        <v>1144</v>
      </c>
      <c r="C753" s="2">
        <v>289</v>
      </c>
      <c r="D753" s="3">
        <v>4934.66</v>
      </c>
      <c r="E753" s="7" t="s">
        <v>12</v>
      </c>
    </row>
    <row r="754" spans="1:5" x14ac:dyDescent="0.2">
      <c r="A754" s="31">
        <v>44949</v>
      </c>
      <c r="B754" s="2">
        <v>1150</v>
      </c>
      <c r="C754" s="2">
        <v>278</v>
      </c>
      <c r="D754" s="3">
        <v>5095.22</v>
      </c>
      <c r="E754" s="7" t="s">
        <v>12</v>
      </c>
    </row>
    <row r="755" spans="1:5" x14ac:dyDescent="0.2">
      <c r="A755" s="31">
        <v>44950</v>
      </c>
      <c r="B755" s="2">
        <v>1138</v>
      </c>
      <c r="C755" s="2">
        <v>273</v>
      </c>
      <c r="D755" s="3">
        <v>4001.24</v>
      </c>
      <c r="E755" s="7" t="s">
        <v>12</v>
      </c>
    </row>
    <row r="756" spans="1:5" x14ac:dyDescent="0.2">
      <c r="A756" s="31">
        <v>44951</v>
      </c>
      <c r="B756" s="2">
        <v>1132</v>
      </c>
      <c r="C756" s="2">
        <v>237</v>
      </c>
      <c r="D756" s="3">
        <v>3542.02</v>
      </c>
      <c r="E756" s="7" t="s">
        <v>12</v>
      </c>
    </row>
    <row r="757" spans="1:5" x14ac:dyDescent="0.2">
      <c r="A757" s="31">
        <v>44952</v>
      </c>
      <c r="B757" s="2">
        <v>1155</v>
      </c>
      <c r="C757" s="2">
        <v>282</v>
      </c>
      <c r="D757" s="3">
        <v>5326.23</v>
      </c>
      <c r="E757" s="7" t="s">
        <v>12</v>
      </c>
    </row>
    <row r="758" spans="1:5" x14ac:dyDescent="0.2">
      <c r="A758" s="31">
        <v>44953</v>
      </c>
      <c r="B758" s="2">
        <v>1153</v>
      </c>
      <c r="C758" s="2">
        <v>268</v>
      </c>
      <c r="D758" s="3">
        <v>3416.74</v>
      </c>
      <c r="E758" s="7" t="s">
        <v>12</v>
      </c>
    </row>
    <row r="759" spans="1:5" x14ac:dyDescent="0.2">
      <c r="A759" s="31">
        <v>44954</v>
      </c>
      <c r="B759" s="2">
        <v>1113</v>
      </c>
      <c r="C759" s="2">
        <v>264</v>
      </c>
      <c r="D759" s="3">
        <v>3943.17</v>
      </c>
      <c r="E759" s="7" t="s">
        <v>12</v>
      </c>
    </row>
    <row r="760" spans="1:5" x14ac:dyDescent="0.2">
      <c r="A760" s="31">
        <v>44955</v>
      </c>
      <c r="B760" s="2">
        <v>1130</v>
      </c>
      <c r="C760" s="2">
        <v>254</v>
      </c>
      <c r="D760" s="3">
        <v>3666.44</v>
      </c>
      <c r="E760" s="7" t="s">
        <v>12</v>
      </c>
    </row>
    <row r="761" spans="1:5" x14ac:dyDescent="0.2">
      <c r="A761" s="31">
        <v>44956</v>
      </c>
      <c r="B761" s="2">
        <v>1164</v>
      </c>
      <c r="C761" s="2">
        <v>269</v>
      </c>
      <c r="D761" s="3">
        <v>3683.64</v>
      </c>
      <c r="E761" s="7" t="s">
        <v>12</v>
      </c>
    </row>
    <row r="762" spans="1:5" x14ac:dyDescent="0.2">
      <c r="A762" s="31">
        <v>44957</v>
      </c>
      <c r="B762" s="2">
        <v>1159</v>
      </c>
      <c r="C762" s="2">
        <v>288</v>
      </c>
      <c r="D762" s="3">
        <v>5003.6899999999996</v>
      </c>
      <c r="E762" s="7" t="s">
        <v>12</v>
      </c>
    </row>
    <row r="763" spans="1:5" x14ac:dyDescent="0.2">
      <c r="A763" s="31">
        <v>44958</v>
      </c>
      <c r="B763" s="2">
        <v>1133</v>
      </c>
      <c r="C763" s="2">
        <v>278</v>
      </c>
      <c r="D763" s="3">
        <v>3291.11</v>
      </c>
      <c r="E763" s="7" t="s">
        <v>12</v>
      </c>
    </row>
    <row r="764" spans="1:5" x14ac:dyDescent="0.2">
      <c r="A764" s="31">
        <v>44959</v>
      </c>
      <c r="B764" s="2">
        <v>1185</v>
      </c>
      <c r="C764" s="2">
        <v>277</v>
      </c>
      <c r="D764" s="3">
        <v>4345.3100000000004</v>
      </c>
      <c r="E764" s="7" t="s">
        <v>12</v>
      </c>
    </row>
    <row r="765" spans="1:5" x14ac:dyDescent="0.2">
      <c r="A765" s="31">
        <v>44960</v>
      </c>
      <c r="B765" s="2">
        <v>1173</v>
      </c>
      <c r="C765" s="2">
        <v>288</v>
      </c>
      <c r="D765" s="3">
        <v>5106.41</v>
      </c>
      <c r="E765" s="7" t="s">
        <v>12</v>
      </c>
    </row>
    <row r="766" spans="1:5" x14ac:dyDescent="0.2">
      <c r="A766" s="31">
        <v>44961</v>
      </c>
      <c r="B766" s="2">
        <v>1093</v>
      </c>
      <c r="C766" s="2">
        <v>259</v>
      </c>
      <c r="D766" s="3">
        <v>3415.13</v>
      </c>
      <c r="E766" s="7" t="s">
        <v>12</v>
      </c>
    </row>
    <row r="767" spans="1:5" x14ac:dyDescent="0.2">
      <c r="A767" s="31">
        <v>44962</v>
      </c>
      <c r="B767" s="2">
        <v>1148</v>
      </c>
      <c r="C767" s="2">
        <v>275</v>
      </c>
      <c r="D767" s="3">
        <v>4186.8</v>
      </c>
      <c r="E767" s="7" t="s">
        <v>12</v>
      </c>
    </row>
    <row r="768" spans="1:5" x14ac:dyDescent="0.2">
      <c r="A768" s="31">
        <v>44963</v>
      </c>
      <c r="B768" s="2">
        <v>1146</v>
      </c>
      <c r="C768" s="2">
        <v>244</v>
      </c>
      <c r="D768" s="3">
        <v>3692.51</v>
      </c>
      <c r="E768" s="7" t="s">
        <v>12</v>
      </c>
    </row>
    <row r="769" spans="1:5" x14ac:dyDescent="0.2">
      <c r="A769" s="31">
        <v>44964</v>
      </c>
      <c r="B769" s="2">
        <v>1140</v>
      </c>
      <c r="C769" s="2">
        <v>268</v>
      </c>
      <c r="D769" s="3">
        <v>4264.09</v>
      </c>
      <c r="E769" s="7" t="s">
        <v>12</v>
      </c>
    </row>
    <row r="770" spans="1:5" x14ac:dyDescent="0.2">
      <c r="A770" s="31">
        <v>44965</v>
      </c>
      <c r="B770" s="2">
        <v>1120</v>
      </c>
      <c r="C770" s="2">
        <v>254</v>
      </c>
      <c r="D770" s="3">
        <v>4326.2</v>
      </c>
      <c r="E770" s="7" t="s">
        <v>12</v>
      </c>
    </row>
    <row r="771" spans="1:5" x14ac:dyDescent="0.2">
      <c r="A771" s="31">
        <v>44966</v>
      </c>
      <c r="B771" s="2">
        <v>1142</v>
      </c>
      <c r="C771" s="2">
        <v>257</v>
      </c>
      <c r="D771" s="3">
        <v>4356.54</v>
      </c>
      <c r="E771" s="7" t="s">
        <v>12</v>
      </c>
    </row>
    <row r="772" spans="1:5" x14ac:dyDescent="0.2">
      <c r="A772" s="31">
        <v>44967</v>
      </c>
      <c r="B772" s="2">
        <v>1133</v>
      </c>
      <c r="C772" s="2">
        <v>270</v>
      </c>
      <c r="D772" s="3">
        <v>3201.46</v>
      </c>
      <c r="E772" s="7" t="s">
        <v>12</v>
      </c>
    </row>
    <row r="773" spans="1:5" x14ac:dyDescent="0.2">
      <c r="A773" s="31">
        <v>44968</v>
      </c>
      <c r="B773" s="2">
        <v>1149</v>
      </c>
      <c r="C773" s="2">
        <v>262</v>
      </c>
      <c r="D773" s="3">
        <v>4131.22</v>
      </c>
      <c r="E773" s="7" t="s">
        <v>12</v>
      </c>
    </row>
    <row r="774" spans="1:5" x14ac:dyDescent="0.2">
      <c r="A774" s="31">
        <v>44969</v>
      </c>
      <c r="B774" s="2">
        <v>1132</v>
      </c>
      <c r="C774" s="2">
        <v>258</v>
      </c>
      <c r="D774" s="3">
        <v>4313.6000000000004</v>
      </c>
      <c r="E774" s="7" t="s">
        <v>12</v>
      </c>
    </row>
    <row r="775" spans="1:5" x14ac:dyDescent="0.2">
      <c r="A775" s="31">
        <v>44970</v>
      </c>
      <c r="B775" s="2">
        <v>1154</v>
      </c>
      <c r="C775" s="2">
        <v>266</v>
      </c>
      <c r="D775" s="3">
        <v>4621.41</v>
      </c>
      <c r="E775" s="7" t="s">
        <v>12</v>
      </c>
    </row>
    <row r="776" spans="1:5" x14ac:dyDescent="0.2">
      <c r="A776" s="31">
        <v>44971</v>
      </c>
      <c r="B776" s="2">
        <v>1166</v>
      </c>
      <c r="C776" s="2">
        <v>258</v>
      </c>
      <c r="D776" s="3">
        <v>4639.45</v>
      </c>
      <c r="E776" s="7" t="s">
        <v>12</v>
      </c>
    </row>
    <row r="777" spans="1:5" x14ac:dyDescent="0.2">
      <c r="A777" s="31">
        <v>44972</v>
      </c>
      <c r="B777" s="2">
        <v>1179</v>
      </c>
      <c r="C777" s="2">
        <v>243</v>
      </c>
      <c r="D777" s="3">
        <v>3964.22</v>
      </c>
      <c r="E777" s="7" t="s">
        <v>12</v>
      </c>
    </row>
    <row r="778" spans="1:5" x14ac:dyDescent="0.2">
      <c r="A778" s="31">
        <v>44973</v>
      </c>
      <c r="B778" s="2">
        <v>1174</v>
      </c>
      <c r="C778" s="2">
        <v>274</v>
      </c>
      <c r="D778" s="3">
        <v>4692.96</v>
      </c>
      <c r="E778" s="7" t="s">
        <v>12</v>
      </c>
    </row>
    <row r="779" spans="1:5" x14ac:dyDescent="0.2">
      <c r="A779" s="31">
        <v>44974</v>
      </c>
      <c r="B779" s="2">
        <v>1113</v>
      </c>
      <c r="C779" s="2">
        <v>225</v>
      </c>
      <c r="D779" s="3">
        <v>3095.65</v>
      </c>
      <c r="E779" s="7" t="s">
        <v>12</v>
      </c>
    </row>
    <row r="780" spans="1:5" x14ac:dyDescent="0.2">
      <c r="A780" s="31">
        <v>44975</v>
      </c>
      <c r="B780" s="2">
        <v>1127</v>
      </c>
      <c r="C780" s="2">
        <v>247</v>
      </c>
      <c r="D780" s="3">
        <v>4089.11</v>
      </c>
      <c r="E780" s="7" t="s">
        <v>12</v>
      </c>
    </row>
    <row r="781" spans="1:5" x14ac:dyDescent="0.2">
      <c r="A781" s="31">
        <v>44976</v>
      </c>
      <c r="B781" s="2">
        <v>1156</v>
      </c>
      <c r="C781" s="2">
        <v>273</v>
      </c>
      <c r="D781" s="3">
        <v>4024.55</v>
      </c>
      <c r="E781" s="7" t="s">
        <v>12</v>
      </c>
    </row>
    <row r="782" spans="1:5" x14ac:dyDescent="0.2">
      <c r="A782" s="31">
        <v>44977</v>
      </c>
      <c r="B782" s="2">
        <v>1223</v>
      </c>
      <c r="C782" s="2">
        <v>293</v>
      </c>
      <c r="D782" s="3">
        <v>5754.39</v>
      </c>
      <c r="E782" s="7" t="s">
        <v>12</v>
      </c>
    </row>
    <row r="783" spans="1:5" x14ac:dyDescent="0.2">
      <c r="A783" s="31">
        <v>44978</v>
      </c>
      <c r="B783" s="2">
        <v>1204</v>
      </c>
      <c r="C783" s="2">
        <v>268</v>
      </c>
      <c r="D783" s="3">
        <v>5016.58</v>
      </c>
      <c r="E783" s="7" t="s">
        <v>12</v>
      </c>
    </row>
    <row r="784" spans="1:5" x14ac:dyDescent="0.2">
      <c r="A784" s="31">
        <v>44979</v>
      </c>
      <c r="B784" s="2">
        <v>1153</v>
      </c>
      <c r="C784" s="2">
        <v>257</v>
      </c>
      <c r="D784" s="3">
        <v>3683.18</v>
      </c>
      <c r="E784" s="7" t="s">
        <v>12</v>
      </c>
    </row>
    <row r="785" spans="1:5" x14ac:dyDescent="0.2">
      <c r="A785" s="31">
        <v>44980</v>
      </c>
      <c r="B785" s="2">
        <v>1174</v>
      </c>
      <c r="C785" s="2">
        <v>268</v>
      </c>
      <c r="D785" s="3">
        <v>4700.7</v>
      </c>
      <c r="E785" s="7" t="s">
        <v>12</v>
      </c>
    </row>
    <row r="786" spans="1:5" x14ac:dyDescent="0.2">
      <c r="A786" s="31">
        <v>44981</v>
      </c>
      <c r="B786" s="2">
        <v>1149</v>
      </c>
      <c r="C786" s="2">
        <v>272</v>
      </c>
      <c r="D786" s="3">
        <v>4921.72</v>
      </c>
      <c r="E786" s="7" t="s">
        <v>12</v>
      </c>
    </row>
    <row r="787" spans="1:5" x14ac:dyDescent="0.2">
      <c r="A787" s="31">
        <v>44982</v>
      </c>
      <c r="B787" s="2">
        <v>1178</v>
      </c>
      <c r="C787" s="2">
        <v>277</v>
      </c>
      <c r="D787" s="3">
        <v>3845.42</v>
      </c>
      <c r="E787" s="7" t="s">
        <v>12</v>
      </c>
    </row>
    <row r="788" spans="1:5" x14ac:dyDescent="0.2">
      <c r="A788" s="31">
        <v>44983</v>
      </c>
      <c r="B788" s="2">
        <v>1184</v>
      </c>
      <c r="C788" s="2">
        <v>277</v>
      </c>
      <c r="D788" s="3">
        <v>5227.75</v>
      </c>
      <c r="E788" s="7" t="s">
        <v>12</v>
      </c>
    </row>
    <row r="789" spans="1:5" x14ac:dyDescent="0.2">
      <c r="A789" s="31">
        <v>44984</v>
      </c>
      <c r="B789" s="2">
        <v>1172</v>
      </c>
      <c r="C789" s="2">
        <v>266</v>
      </c>
      <c r="D789" s="3">
        <v>5074.8500000000004</v>
      </c>
      <c r="E789" s="7" t="s">
        <v>12</v>
      </c>
    </row>
    <row r="790" spans="1:5" x14ac:dyDescent="0.2">
      <c r="A790" s="31">
        <v>44985</v>
      </c>
      <c r="B790" s="2">
        <v>1161</v>
      </c>
      <c r="C790" s="2">
        <v>278</v>
      </c>
      <c r="D790" s="3">
        <v>4841.42</v>
      </c>
      <c r="E790" s="7" t="s">
        <v>12</v>
      </c>
    </row>
    <row r="791" spans="1:5" x14ac:dyDescent="0.2">
      <c r="A791" s="31">
        <v>44986</v>
      </c>
      <c r="B791" s="2">
        <v>1221</v>
      </c>
      <c r="C791" s="2">
        <v>278</v>
      </c>
      <c r="D791" s="3">
        <v>4615.58</v>
      </c>
      <c r="E791" s="7" t="s">
        <v>12</v>
      </c>
    </row>
    <row r="792" spans="1:5" x14ac:dyDescent="0.2">
      <c r="A792" s="31">
        <v>44987</v>
      </c>
      <c r="B792" s="2">
        <v>1112</v>
      </c>
      <c r="C792" s="2">
        <v>257</v>
      </c>
      <c r="D792" s="3">
        <v>3644.42</v>
      </c>
      <c r="E792" s="7" t="s">
        <v>12</v>
      </c>
    </row>
    <row r="793" spans="1:5" x14ac:dyDescent="0.2">
      <c r="A793" s="31">
        <v>44988</v>
      </c>
      <c r="B793" s="2">
        <v>1165</v>
      </c>
      <c r="C793" s="2">
        <v>252</v>
      </c>
      <c r="D793" s="3">
        <v>4626.1499999999996</v>
      </c>
      <c r="E793" s="7" t="s">
        <v>12</v>
      </c>
    </row>
    <row r="794" spans="1:5" x14ac:dyDescent="0.2">
      <c r="A794" s="31">
        <v>44989</v>
      </c>
      <c r="B794" s="2">
        <v>1134</v>
      </c>
      <c r="C794" s="2">
        <v>260</v>
      </c>
      <c r="D794" s="3">
        <v>4505.1000000000004</v>
      </c>
      <c r="E794" s="7" t="s">
        <v>12</v>
      </c>
    </row>
    <row r="795" spans="1:5" x14ac:dyDescent="0.2">
      <c r="A795" s="31">
        <v>44990</v>
      </c>
      <c r="B795" s="2">
        <v>1167</v>
      </c>
      <c r="C795" s="2">
        <v>242</v>
      </c>
      <c r="D795" s="3">
        <v>2947.95</v>
      </c>
      <c r="E795" s="7" t="s">
        <v>12</v>
      </c>
    </row>
    <row r="796" spans="1:5" x14ac:dyDescent="0.2">
      <c r="A796" s="31">
        <v>44991</v>
      </c>
      <c r="B796" s="2">
        <v>1091</v>
      </c>
      <c r="C796" s="2">
        <v>260</v>
      </c>
      <c r="D796" s="3">
        <v>4323.3500000000004</v>
      </c>
      <c r="E796" s="7" t="s">
        <v>12</v>
      </c>
    </row>
    <row r="797" spans="1:5" x14ac:dyDescent="0.2">
      <c r="A797" s="31">
        <v>44992</v>
      </c>
      <c r="B797" s="2">
        <v>1128</v>
      </c>
      <c r="C797" s="2">
        <v>259</v>
      </c>
      <c r="D797" s="3">
        <v>3965.24</v>
      </c>
      <c r="E797" s="7" t="s">
        <v>12</v>
      </c>
    </row>
    <row r="798" spans="1:5" x14ac:dyDescent="0.2">
      <c r="A798" s="31">
        <v>44993</v>
      </c>
      <c r="B798" s="2">
        <v>1170</v>
      </c>
      <c r="C798" s="2">
        <v>286</v>
      </c>
      <c r="D798" s="3">
        <v>4470.7</v>
      </c>
      <c r="E798" s="7" t="s">
        <v>12</v>
      </c>
    </row>
    <row r="799" spans="1:5" x14ac:dyDescent="0.2">
      <c r="A799" s="31">
        <v>44994</v>
      </c>
      <c r="B799" s="2">
        <v>1146</v>
      </c>
      <c r="C799" s="2">
        <v>253</v>
      </c>
      <c r="D799" s="3">
        <v>4250.3999999999996</v>
      </c>
      <c r="E799" s="7" t="s">
        <v>12</v>
      </c>
    </row>
    <row r="800" spans="1:5" x14ac:dyDescent="0.2">
      <c r="A800" s="31">
        <v>44995</v>
      </c>
      <c r="B800" s="2">
        <v>1169</v>
      </c>
      <c r="C800" s="2">
        <v>285</v>
      </c>
      <c r="D800" s="3">
        <v>4554.03</v>
      </c>
      <c r="E800" s="7" t="s">
        <v>12</v>
      </c>
    </row>
    <row r="801" spans="1:5" x14ac:dyDescent="0.2">
      <c r="A801" s="31">
        <v>44996</v>
      </c>
      <c r="B801" s="2">
        <v>1111</v>
      </c>
      <c r="C801" s="2">
        <v>248</v>
      </c>
      <c r="D801" s="3">
        <v>3262.25</v>
      </c>
      <c r="E801" s="7" t="s">
        <v>12</v>
      </c>
    </row>
    <row r="802" spans="1:5" x14ac:dyDescent="0.2">
      <c r="A802" s="31">
        <v>44997</v>
      </c>
      <c r="B802" s="2">
        <v>1210</v>
      </c>
      <c r="C802" s="2">
        <v>292</v>
      </c>
      <c r="D802" s="3">
        <v>6302.65</v>
      </c>
      <c r="E802" s="7" t="s">
        <v>12</v>
      </c>
    </row>
    <row r="803" spans="1:5" x14ac:dyDescent="0.2">
      <c r="A803" s="31">
        <v>44998</v>
      </c>
      <c r="B803" s="2">
        <v>1186</v>
      </c>
      <c r="C803" s="2">
        <v>253</v>
      </c>
      <c r="D803" s="3">
        <v>3919.24</v>
      </c>
      <c r="E803" s="7" t="s">
        <v>12</v>
      </c>
    </row>
    <row r="804" spans="1:5" x14ac:dyDescent="0.2">
      <c r="A804" s="31">
        <v>44999</v>
      </c>
      <c r="B804" s="2">
        <v>1148</v>
      </c>
      <c r="C804" s="2">
        <v>294</v>
      </c>
      <c r="D804" s="3">
        <v>3911.38</v>
      </c>
      <c r="E804" s="7" t="s">
        <v>12</v>
      </c>
    </row>
    <row r="805" spans="1:5" x14ac:dyDescent="0.2">
      <c r="A805" s="31">
        <v>45000</v>
      </c>
      <c r="B805" s="2">
        <v>1192</v>
      </c>
      <c r="C805" s="2">
        <v>266</v>
      </c>
      <c r="D805" s="3">
        <v>4060.63</v>
      </c>
      <c r="E805" s="7" t="s">
        <v>12</v>
      </c>
    </row>
    <row r="806" spans="1:5" x14ac:dyDescent="0.2">
      <c r="A806" s="31">
        <v>45001</v>
      </c>
      <c r="B806" s="2">
        <v>1211</v>
      </c>
      <c r="C806" s="2">
        <v>290</v>
      </c>
      <c r="D806" s="3">
        <v>5643.59</v>
      </c>
      <c r="E806" s="7" t="s">
        <v>12</v>
      </c>
    </row>
    <row r="807" spans="1:5" x14ac:dyDescent="0.2">
      <c r="A807" s="31">
        <v>45002</v>
      </c>
      <c r="B807" s="2">
        <v>1102</v>
      </c>
      <c r="C807" s="2">
        <v>257</v>
      </c>
      <c r="D807" s="3">
        <v>3951.6</v>
      </c>
      <c r="E807" s="7" t="s">
        <v>12</v>
      </c>
    </row>
    <row r="808" spans="1:5" x14ac:dyDescent="0.2">
      <c r="A808" s="31">
        <v>45003</v>
      </c>
      <c r="B808" s="2">
        <v>1150</v>
      </c>
      <c r="C808" s="2">
        <v>274</v>
      </c>
      <c r="D808" s="3">
        <v>3959.74</v>
      </c>
      <c r="E808" s="7" t="s">
        <v>12</v>
      </c>
    </row>
    <row r="809" spans="1:5" x14ac:dyDescent="0.2">
      <c r="A809" s="31">
        <v>45004</v>
      </c>
      <c r="B809" s="2">
        <v>1155</v>
      </c>
      <c r="C809" s="2">
        <v>268</v>
      </c>
      <c r="D809" s="3">
        <v>4353.3100000000004</v>
      </c>
      <c r="E809" s="7" t="s">
        <v>12</v>
      </c>
    </row>
    <row r="810" spans="1:5" x14ac:dyDescent="0.2">
      <c r="A810" s="31">
        <v>45005</v>
      </c>
      <c r="B810" s="2">
        <v>1090</v>
      </c>
      <c r="C810" s="2">
        <v>270</v>
      </c>
      <c r="D810" s="3">
        <v>5618.61</v>
      </c>
      <c r="E810" s="7" t="s">
        <v>12</v>
      </c>
    </row>
    <row r="811" spans="1:5" x14ac:dyDescent="0.2">
      <c r="A811" s="31">
        <v>45006</v>
      </c>
      <c r="B811" s="2">
        <v>1218</v>
      </c>
      <c r="C811" s="2">
        <v>270</v>
      </c>
      <c r="D811" s="3">
        <v>3463.64</v>
      </c>
      <c r="E811" s="7" t="s">
        <v>12</v>
      </c>
    </row>
    <row r="812" spans="1:5" x14ac:dyDescent="0.2">
      <c r="A812" s="31">
        <v>45007</v>
      </c>
      <c r="B812" s="2">
        <v>1142</v>
      </c>
      <c r="C812" s="2">
        <v>267</v>
      </c>
      <c r="D812" s="3">
        <v>4056.6</v>
      </c>
      <c r="E812" s="7" t="s">
        <v>12</v>
      </c>
    </row>
    <row r="813" spans="1:5" x14ac:dyDescent="0.2">
      <c r="A813" s="31">
        <v>45008</v>
      </c>
      <c r="B813" s="2">
        <v>1109</v>
      </c>
      <c r="C813" s="2">
        <v>249</v>
      </c>
      <c r="D813" s="3">
        <v>3829.15</v>
      </c>
      <c r="E813" s="7" t="s">
        <v>12</v>
      </c>
    </row>
    <row r="814" spans="1:5" x14ac:dyDescent="0.2">
      <c r="A814" s="31">
        <v>45009</v>
      </c>
      <c r="B814" s="2">
        <v>1100</v>
      </c>
      <c r="C814" s="2">
        <v>261</v>
      </c>
      <c r="D814" s="3">
        <v>4421.6099999999997</v>
      </c>
      <c r="E814" s="7" t="s">
        <v>12</v>
      </c>
    </row>
    <row r="815" spans="1:5" x14ac:dyDescent="0.2">
      <c r="A815" s="31">
        <v>45010</v>
      </c>
      <c r="B815" s="2">
        <v>1150</v>
      </c>
      <c r="C815" s="2">
        <v>278</v>
      </c>
      <c r="D815" s="3">
        <v>4594.95</v>
      </c>
      <c r="E815" s="7" t="s">
        <v>12</v>
      </c>
    </row>
    <row r="816" spans="1:5" x14ac:dyDescent="0.2">
      <c r="A816" s="31">
        <v>45011</v>
      </c>
      <c r="B816" s="2">
        <v>1074</v>
      </c>
      <c r="C816" s="2">
        <v>244</v>
      </c>
      <c r="D816" s="3">
        <v>4329.92</v>
      </c>
      <c r="E816" s="7" t="s">
        <v>12</v>
      </c>
    </row>
    <row r="817" spans="1:5" x14ac:dyDescent="0.2">
      <c r="A817" s="31">
        <v>45012</v>
      </c>
      <c r="B817" s="2">
        <v>1136</v>
      </c>
      <c r="C817" s="2">
        <v>279</v>
      </c>
      <c r="D817" s="3">
        <v>3780.45</v>
      </c>
      <c r="E817" s="7" t="s">
        <v>12</v>
      </c>
    </row>
    <row r="818" spans="1:5" x14ac:dyDescent="0.2">
      <c r="A818" s="31">
        <v>45013</v>
      </c>
      <c r="B818" s="2">
        <v>1123</v>
      </c>
      <c r="C818" s="2">
        <v>238</v>
      </c>
      <c r="D818" s="3">
        <v>3793.35</v>
      </c>
      <c r="E818" s="7" t="s">
        <v>12</v>
      </c>
    </row>
    <row r="819" spans="1:5" x14ac:dyDescent="0.2">
      <c r="A819" s="31">
        <v>45014</v>
      </c>
      <c r="B819" s="2">
        <v>1170</v>
      </c>
      <c r="C819" s="2">
        <v>292</v>
      </c>
      <c r="D819" s="3">
        <v>4191.45</v>
      </c>
      <c r="E819" s="7" t="s">
        <v>12</v>
      </c>
    </row>
    <row r="820" spans="1:5" x14ac:dyDescent="0.2">
      <c r="A820" s="31">
        <v>45015</v>
      </c>
      <c r="B820" s="2">
        <v>1139</v>
      </c>
      <c r="C820" s="2">
        <v>269</v>
      </c>
      <c r="D820" s="3">
        <v>4249.13</v>
      </c>
      <c r="E820" s="7" t="s">
        <v>12</v>
      </c>
    </row>
    <row r="821" spans="1:5" x14ac:dyDescent="0.2">
      <c r="A821" s="31">
        <v>45016</v>
      </c>
      <c r="B821" s="2">
        <v>1100</v>
      </c>
      <c r="C821" s="2">
        <v>260</v>
      </c>
      <c r="D821" s="3">
        <v>3718.47</v>
      </c>
      <c r="E821" s="7" t="s">
        <v>12</v>
      </c>
    </row>
    <row r="822" spans="1:5" x14ac:dyDescent="0.2">
      <c r="A822" s="31">
        <v>45017</v>
      </c>
      <c r="B822" s="2">
        <v>1132</v>
      </c>
      <c r="C822" s="2">
        <v>257</v>
      </c>
      <c r="D822" s="3">
        <v>2216.1799999999998</v>
      </c>
      <c r="E822" s="7" t="s">
        <v>12</v>
      </c>
    </row>
    <row r="823" spans="1:5" x14ac:dyDescent="0.2">
      <c r="A823" s="31">
        <v>45018</v>
      </c>
      <c r="B823" s="2">
        <v>1124</v>
      </c>
      <c r="C823" s="2">
        <v>264</v>
      </c>
      <c r="D823" s="3">
        <v>3957.55</v>
      </c>
      <c r="E823" s="7" t="s">
        <v>12</v>
      </c>
    </row>
    <row r="824" spans="1:5" x14ac:dyDescent="0.2">
      <c r="A824" s="31">
        <v>45019</v>
      </c>
      <c r="B824" s="2">
        <v>1126</v>
      </c>
      <c r="C824" s="2">
        <v>251</v>
      </c>
      <c r="D824" s="3">
        <v>4214.2700000000004</v>
      </c>
      <c r="E824" s="7" t="s">
        <v>12</v>
      </c>
    </row>
    <row r="825" spans="1:5" x14ac:dyDescent="0.2">
      <c r="A825" s="31">
        <v>45020</v>
      </c>
      <c r="B825" s="2">
        <v>1140</v>
      </c>
      <c r="C825" s="2">
        <v>274</v>
      </c>
      <c r="D825" s="3">
        <v>4185.83</v>
      </c>
      <c r="E825" s="7" t="s">
        <v>12</v>
      </c>
    </row>
    <row r="826" spans="1:5" x14ac:dyDescent="0.2">
      <c r="A826" s="31">
        <v>45021</v>
      </c>
      <c r="B826" s="2">
        <v>1128</v>
      </c>
      <c r="C826" s="2">
        <v>252</v>
      </c>
      <c r="D826" s="3">
        <v>5062.42</v>
      </c>
      <c r="E826" s="7" t="s">
        <v>12</v>
      </c>
    </row>
    <row r="827" spans="1:5" x14ac:dyDescent="0.2">
      <c r="A827" s="31">
        <v>45022</v>
      </c>
      <c r="B827" s="2">
        <v>1153</v>
      </c>
      <c r="C827" s="2">
        <v>263</v>
      </c>
      <c r="D827" s="3">
        <v>3766.41</v>
      </c>
      <c r="E827" s="7" t="s">
        <v>12</v>
      </c>
    </row>
    <row r="828" spans="1:5" x14ac:dyDescent="0.2">
      <c r="A828" s="31">
        <v>45023</v>
      </c>
      <c r="B828" s="2">
        <v>1135</v>
      </c>
      <c r="C828" s="2">
        <v>245</v>
      </c>
      <c r="D828" s="3">
        <v>3899.78</v>
      </c>
      <c r="E828" s="7" t="s">
        <v>12</v>
      </c>
    </row>
    <row r="829" spans="1:5" x14ac:dyDescent="0.2">
      <c r="A829" s="31">
        <v>45024</v>
      </c>
      <c r="B829" s="2">
        <v>1113</v>
      </c>
      <c r="C829" s="2">
        <v>252</v>
      </c>
      <c r="D829" s="3">
        <v>3590.59</v>
      </c>
      <c r="E829" s="7" t="s">
        <v>12</v>
      </c>
    </row>
    <row r="830" spans="1:5" x14ac:dyDescent="0.2">
      <c r="A830" s="31">
        <v>45025</v>
      </c>
      <c r="B830" s="2">
        <v>1116</v>
      </c>
      <c r="C830" s="2">
        <v>241</v>
      </c>
      <c r="D830" s="3">
        <v>4117.74</v>
      </c>
      <c r="E830" s="7" t="s">
        <v>12</v>
      </c>
    </row>
    <row r="831" spans="1:5" x14ac:dyDescent="0.2">
      <c r="A831" s="31">
        <v>45026</v>
      </c>
      <c r="B831" s="2">
        <v>1190</v>
      </c>
      <c r="C831" s="2">
        <v>265</v>
      </c>
      <c r="D831" s="3">
        <v>3493.27</v>
      </c>
      <c r="E831" s="7" t="s">
        <v>12</v>
      </c>
    </row>
    <row r="832" spans="1:5" x14ac:dyDescent="0.2">
      <c r="A832" s="31">
        <v>45027</v>
      </c>
      <c r="B832" s="2">
        <v>1149</v>
      </c>
      <c r="C832" s="2">
        <v>266</v>
      </c>
      <c r="D832" s="3">
        <v>4096.5600000000004</v>
      </c>
      <c r="E832" s="7" t="s">
        <v>12</v>
      </c>
    </row>
    <row r="833" spans="1:5" x14ac:dyDescent="0.2">
      <c r="A833" s="31">
        <v>45028</v>
      </c>
      <c r="B833" s="2">
        <v>1163</v>
      </c>
      <c r="C833" s="2">
        <v>262</v>
      </c>
      <c r="D833" s="3">
        <v>4366.6099999999997</v>
      </c>
      <c r="E833" s="7" t="s">
        <v>12</v>
      </c>
    </row>
    <row r="834" spans="1:5" x14ac:dyDescent="0.2">
      <c r="A834" s="31">
        <v>45029</v>
      </c>
      <c r="B834" s="2">
        <v>1137</v>
      </c>
      <c r="C834" s="2">
        <v>263</v>
      </c>
      <c r="D834" s="3">
        <v>3455.11</v>
      </c>
      <c r="E834" s="7" t="s">
        <v>12</v>
      </c>
    </row>
    <row r="835" spans="1:5" x14ac:dyDescent="0.2">
      <c r="A835" s="31">
        <v>45030</v>
      </c>
      <c r="B835" s="2">
        <v>1151</v>
      </c>
      <c r="C835" s="2">
        <v>291</v>
      </c>
      <c r="D835" s="3">
        <v>3683.03</v>
      </c>
      <c r="E835" s="7" t="s">
        <v>12</v>
      </c>
    </row>
    <row r="836" spans="1:5" x14ac:dyDescent="0.2">
      <c r="A836" s="31">
        <v>45031</v>
      </c>
      <c r="B836" s="2">
        <v>1174</v>
      </c>
      <c r="C836" s="2">
        <v>303</v>
      </c>
      <c r="D836" s="3">
        <v>5025.7700000000004</v>
      </c>
      <c r="E836" s="7" t="s">
        <v>12</v>
      </c>
    </row>
    <row r="837" spans="1:5" x14ac:dyDescent="0.2">
      <c r="A837" s="31">
        <v>45032</v>
      </c>
      <c r="B837" s="2">
        <v>1159</v>
      </c>
      <c r="C837" s="2">
        <v>272</v>
      </c>
      <c r="D837" s="3">
        <v>4420.3</v>
      </c>
      <c r="E837" s="7" t="s">
        <v>12</v>
      </c>
    </row>
    <row r="838" spans="1:5" x14ac:dyDescent="0.2">
      <c r="A838" s="31">
        <v>45033</v>
      </c>
      <c r="B838" s="2">
        <v>1148</v>
      </c>
      <c r="C838" s="2">
        <v>257</v>
      </c>
      <c r="D838" s="3">
        <v>4096.4399999999996</v>
      </c>
      <c r="E838" s="7" t="s">
        <v>12</v>
      </c>
    </row>
    <row r="839" spans="1:5" x14ac:dyDescent="0.2">
      <c r="A839" s="31">
        <v>45034</v>
      </c>
      <c r="B839" s="2">
        <v>1129</v>
      </c>
      <c r="C839" s="2">
        <v>253</v>
      </c>
      <c r="D839" s="3">
        <v>4352.8500000000004</v>
      </c>
      <c r="E839" s="7" t="s">
        <v>12</v>
      </c>
    </row>
    <row r="840" spans="1:5" x14ac:dyDescent="0.2">
      <c r="A840" s="31">
        <v>45035</v>
      </c>
      <c r="B840" s="2">
        <v>1078</v>
      </c>
      <c r="C840" s="2">
        <v>236</v>
      </c>
      <c r="D840" s="3">
        <v>3804.17</v>
      </c>
      <c r="E840" s="7" t="s">
        <v>12</v>
      </c>
    </row>
    <row r="841" spans="1:5" x14ac:dyDescent="0.2">
      <c r="A841" s="31">
        <v>45036</v>
      </c>
      <c r="B841" s="2">
        <v>1205</v>
      </c>
      <c r="C841" s="2">
        <v>275</v>
      </c>
      <c r="D841" s="3">
        <v>4224.1000000000004</v>
      </c>
      <c r="E841" s="7" t="s">
        <v>12</v>
      </c>
    </row>
    <row r="842" spans="1:5" x14ac:dyDescent="0.2">
      <c r="A842" s="31">
        <v>45037</v>
      </c>
      <c r="B842" s="2">
        <v>1172</v>
      </c>
      <c r="C842" s="2">
        <v>271</v>
      </c>
      <c r="D842" s="3">
        <v>4035.03</v>
      </c>
      <c r="E842" s="7" t="s">
        <v>12</v>
      </c>
    </row>
    <row r="843" spans="1:5" x14ac:dyDescent="0.2">
      <c r="A843" s="31">
        <v>45038</v>
      </c>
      <c r="B843" s="2">
        <v>1115</v>
      </c>
      <c r="C843" s="2">
        <v>241</v>
      </c>
      <c r="D843" s="3">
        <v>3928.98</v>
      </c>
      <c r="E843" s="7" t="s">
        <v>12</v>
      </c>
    </row>
    <row r="844" spans="1:5" x14ac:dyDescent="0.2">
      <c r="A844" s="31">
        <v>45039</v>
      </c>
      <c r="B844" s="2">
        <v>1187</v>
      </c>
      <c r="C844" s="2">
        <v>263</v>
      </c>
      <c r="D844" s="3">
        <v>4821.1000000000004</v>
      </c>
      <c r="E844" s="7" t="s">
        <v>12</v>
      </c>
    </row>
    <row r="845" spans="1:5" x14ac:dyDescent="0.2">
      <c r="A845" s="31">
        <v>45040</v>
      </c>
      <c r="B845" s="2">
        <v>1098</v>
      </c>
      <c r="C845" s="2">
        <v>245</v>
      </c>
      <c r="D845" s="3">
        <v>3787.57</v>
      </c>
      <c r="E845" s="7" t="s">
        <v>12</v>
      </c>
    </row>
    <row r="846" spans="1:5" x14ac:dyDescent="0.2">
      <c r="A846" s="31">
        <v>45041</v>
      </c>
      <c r="B846" s="2">
        <v>1160</v>
      </c>
      <c r="C846" s="2">
        <v>287</v>
      </c>
      <c r="D846" s="3">
        <v>4365.1099999999997</v>
      </c>
      <c r="E846" s="7" t="s">
        <v>12</v>
      </c>
    </row>
    <row r="847" spans="1:5" x14ac:dyDescent="0.2">
      <c r="A847" s="31">
        <v>45042</v>
      </c>
      <c r="B847" s="2">
        <v>1147</v>
      </c>
      <c r="C847" s="2">
        <v>246</v>
      </c>
      <c r="D847" s="3">
        <v>3775.29</v>
      </c>
      <c r="E847" s="7" t="s">
        <v>12</v>
      </c>
    </row>
    <row r="848" spans="1:5" x14ac:dyDescent="0.2">
      <c r="A848" s="31">
        <v>45043</v>
      </c>
      <c r="B848" s="2">
        <v>1151</v>
      </c>
      <c r="C848" s="2">
        <v>273</v>
      </c>
      <c r="D848" s="3">
        <v>4665.34</v>
      </c>
      <c r="E848" s="7" t="s">
        <v>12</v>
      </c>
    </row>
    <row r="849" spans="1:5" x14ac:dyDescent="0.2">
      <c r="A849" s="31">
        <v>45044</v>
      </c>
      <c r="B849" s="2">
        <v>1148</v>
      </c>
      <c r="C849" s="2">
        <v>269</v>
      </c>
      <c r="D849" s="3">
        <v>5327.58</v>
      </c>
      <c r="E849" s="7" t="s">
        <v>12</v>
      </c>
    </row>
    <row r="850" spans="1:5" x14ac:dyDescent="0.2">
      <c r="A850" s="31">
        <v>45045</v>
      </c>
      <c r="B850" s="2">
        <v>1149</v>
      </c>
      <c r="C850" s="2">
        <v>262</v>
      </c>
      <c r="D850" s="3">
        <v>4066.89</v>
      </c>
      <c r="E850" s="7" t="s">
        <v>12</v>
      </c>
    </row>
    <row r="851" spans="1:5" x14ac:dyDescent="0.2">
      <c r="A851" s="31">
        <v>45046</v>
      </c>
      <c r="B851" s="2">
        <v>1145</v>
      </c>
      <c r="C851" s="2">
        <v>260</v>
      </c>
      <c r="D851" s="3">
        <v>3633.42</v>
      </c>
      <c r="E851" s="7" t="s">
        <v>12</v>
      </c>
    </row>
    <row r="852" spans="1:5" x14ac:dyDescent="0.2">
      <c r="A852" s="31">
        <v>45047</v>
      </c>
      <c r="B852" s="2">
        <v>1114</v>
      </c>
      <c r="C852" s="2">
        <v>252</v>
      </c>
      <c r="D852" s="3">
        <v>3464.91</v>
      </c>
      <c r="E852" s="7" t="s">
        <v>12</v>
      </c>
    </row>
    <row r="853" spans="1:5" x14ac:dyDescent="0.2">
      <c r="A853" s="31">
        <v>45048</v>
      </c>
      <c r="B853" s="2">
        <v>1099</v>
      </c>
      <c r="C853" s="2">
        <v>260</v>
      </c>
      <c r="D853" s="3">
        <v>4161.16</v>
      </c>
      <c r="E853" s="7" t="s">
        <v>12</v>
      </c>
    </row>
    <row r="854" spans="1:5" x14ac:dyDescent="0.2">
      <c r="A854" s="31">
        <v>45049</v>
      </c>
      <c r="B854" s="2">
        <v>1196</v>
      </c>
      <c r="C854" s="2">
        <v>294</v>
      </c>
      <c r="D854" s="3">
        <v>5392.61</v>
      </c>
      <c r="E854" s="7" t="s">
        <v>12</v>
      </c>
    </row>
    <row r="855" spans="1:5" x14ac:dyDescent="0.2">
      <c r="A855" s="31">
        <v>45050</v>
      </c>
      <c r="B855" s="2">
        <v>1178</v>
      </c>
      <c r="C855" s="2">
        <v>281</v>
      </c>
      <c r="D855" s="3">
        <v>3661.65</v>
      </c>
      <c r="E855" s="7" t="s">
        <v>12</v>
      </c>
    </row>
    <row r="856" spans="1:5" x14ac:dyDescent="0.2">
      <c r="A856" s="31">
        <v>45051</v>
      </c>
      <c r="B856" s="2">
        <v>1145</v>
      </c>
      <c r="C856" s="2">
        <v>276</v>
      </c>
      <c r="D856" s="3">
        <v>5751.17</v>
      </c>
      <c r="E856" s="7" t="s">
        <v>12</v>
      </c>
    </row>
    <row r="857" spans="1:5" x14ac:dyDescent="0.2">
      <c r="A857" s="31">
        <v>45052</v>
      </c>
      <c r="B857" s="2">
        <v>1168</v>
      </c>
      <c r="C857" s="2">
        <v>264</v>
      </c>
      <c r="D857" s="3">
        <v>3726.94</v>
      </c>
      <c r="E857" s="7" t="s">
        <v>12</v>
      </c>
    </row>
    <row r="858" spans="1:5" x14ac:dyDescent="0.2">
      <c r="A858" s="31">
        <v>45053</v>
      </c>
      <c r="B858" s="2">
        <v>1158</v>
      </c>
      <c r="C858" s="2">
        <v>239</v>
      </c>
      <c r="D858" s="3">
        <v>3159.69</v>
      </c>
      <c r="E858" s="7" t="s">
        <v>12</v>
      </c>
    </row>
    <row r="859" spans="1:5" x14ac:dyDescent="0.2">
      <c r="A859" s="31">
        <v>45054</v>
      </c>
      <c r="B859" s="2">
        <v>1137</v>
      </c>
      <c r="C859" s="2">
        <v>268</v>
      </c>
      <c r="D859" s="3">
        <v>4041.28</v>
      </c>
      <c r="E859" s="7" t="s">
        <v>12</v>
      </c>
    </row>
    <row r="860" spans="1:5" x14ac:dyDescent="0.2">
      <c r="A860" s="31">
        <v>45055</v>
      </c>
      <c r="B860" s="2">
        <v>1170</v>
      </c>
      <c r="C860" s="2">
        <v>266</v>
      </c>
      <c r="D860" s="3">
        <v>4426.7299999999996</v>
      </c>
      <c r="E860" s="7" t="s">
        <v>12</v>
      </c>
    </row>
    <row r="861" spans="1:5" x14ac:dyDescent="0.2">
      <c r="A861" s="31">
        <v>45056</v>
      </c>
      <c r="B861" s="2">
        <v>1097</v>
      </c>
      <c r="C861" s="2">
        <v>239</v>
      </c>
      <c r="D861" s="3">
        <v>4727.08</v>
      </c>
      <c r="E861" s="7" t="s">
        <v>12</v>
      </c>
    </row>
    <row r="862" spans="1:5" x14ac:dyDescent="0.2">
      <c r="A862" s="31">
        <v>45057</v>
      </c>
      <c r="B862" s="2">
        <v>1088</v>
      </c>
      <c r="C862" s="2">
        <v>248</v>
      </c>
      <c r="D862" s="3">
        <v>4255.96</v>
      </c>
      <c r="E862" s="7" t="s">
        <v>12</v>
      </c>
    </row>
    <row r="863" spans="1:5" x14ac:dyDescent="0.2">
      <c r="A863" s="31">
        <v>45058</v>
      </c>
      <c r="B863" s="2">
        <v>1156</v>
      </c>
      <c r="C863" s="2">
        <v>254</v>
      </c>
      <c r="D863" s="3">
        <v>3639.76</v>
      </c>
      <c r="E863" s="7" t="s">
        <v>12</v>
      </c>
    </row>
    <row r="864" spans="1:5" x14ac:dyDescent="0.2">
      <c r="A864" s="31">
        <v>45059</v>
      </c>
      <c r="B864" s="2">
        <v>1192</v>
      </c>
      <c r="C864" s="2">
        <v>294</v>
      </c>
      <c r="D864" s="3">
        <v>5584.83</v>
      </c>
      <c r="E864" s="7" t="s">
        <v>12</v>
      </c>
    </row>
    <row r="865" spans="1:5" x14ac:dyDescent="0.2">
      <c r="A865" s="31">
        <v>45060</v>
      </c>
      <c r="B865" s="2">
        <v>1147</v>
      </c>
      <c r="C865" s="2">
        <v>289</v>
      </c>
      <c r="D865" s="3">
        <v>5189.2</v>
      </c>
      <c r="E865" s="7" t="s">
        <v>12</v>
      </c>
    </row>
    <row r="866" spans="1:5" x14ac:dyDescent="0.2">
      <c r="A866" s="31">
        <v>45061</v>
      </c>
      <c r="B866" s="2">
        <v>1151</v>
      </c>
      <c r="C866" s="2">
        <v>270</v>
      </c>
      <c r="D866" s="3">
        <v>4352.3500000000004</v>
      </c>
      <c r="E866" s="7" t="s">
        <v>12</v>
      </c>
    </row>
    <row r="867" spans="1:5" x14ac:dyDescent="0.2">
      <c r="A867" s="31">
        <v>45062</v>
      </c>
      <c r="B867" s="2">
        <v>1139</v>
      </c>
      <c r="C867" s="2">
        <v>275</v>
      </c>
      <c r="D867" s="3">
        <v>5491.96</v>
      </c>
      <c r="E867" s="7" t="s">
        <v>12</v>
      </c>
    </row>
    <row r="868" spans="1:5" x14ac:dyDescent="0.2">
      <c r="A868" s="31">
        <v>45063</v>
      </c>
      <c r="B868" s="2">
        <v>1172</v>
      </c>
      <c r="C868" s="2">
        <v>271</v>
      </c>
      <c r="D868" s="3">
        <v>4848.6899999999996</v>
      </c>
      <c r="E868" s="7" t="s">
        <v>12</v>
      </c>
    </row>
    <row r="869" spans="1:5" x14ac:dyDescent="0.2">
      <c r="A869" s="31">
        <v>45064</v>
      </c>
      <c r="B869" s="2">
        <v>1181</v>
      </c>
      <c r="C869" s="2">
        <v>254</v>
      </c>
      <c r="D869" s="3">
        <v>3815.51</v>
      </c>
      <c r="E869" s="7" t="s">
        <v>12</v>
      </c>
    </row>
    <row r="870" spans="1:5" x14ac:dyDescent="0.2">
      <c r="A870" s="31">
        <v>45065</v>
      </c>
      <c r="B870" s="2">
        <v>1168</v>
      </c>
      <c r="C870" s="2">
        <v>307</v>
      </c>
      <c r="D870" s="3">
        <v>4967.45</v>
      </c>
      <c r="E870" s="7" t="s">
        <v>12</v>
      </c>
    </row>
    <row r="871" spans="1:5" x14ac:dyDescent="0.2">
      <c r="A871" s="31">
        <v>45066</v>
      </c>
      <c r="B871" s="2">
        <v>1192</v>
      </c>
      <c r="C871" s="2">
        <v>270</v>
      </c>
      <c r="D871" s="3">
        <v>4403.18</v>
      </c>
      <c r="E871" s="7" t="s">
        <v>12</v>
      </c>
    </row>
    <row r="872" spans="1:5" x14ac:dyDescent="0.2">
      <c r="A872" s="31">
        <v>45067</v>
      </c>
      <c r="B872" s="2">
        <v>1112</v>
      </c>
      <c r="C872" s="2">
        <v>237</v>
      </c>
      <c r="D872" s="3">
        <v>3665.38</v>
      </c>
      <c r="E872" s="7" t="s">
        <v>12</v>
      </c>
    </row>
    <row r="873" spans="1:5" x14ac:dyDescent="0.2">
      <c r="A873" s="31">
        <v>45068</v>
      </c>
      <c r="B873" s="2">
        <v>1167</v>
      </c>
      <c r="C873" s="2">
        <v>274</v>
      </c>
      <c r="D873" s="3">
        <v>5021.09</v>
      </c>
      <c r="E873" s="7" t="s">
        <v>12</v>
      </c>
    </row>
    <row r="874" spans="1:5" x14ac:dyDescent="0.2">
      <c r="A874" s="31">
        <v>45069</v>
      </c>
      <c r="B874" s="2">
        <v>1209</v>
      </c>
      <c r="C874" s="2">
        <v>281</v>
      </c>
      <c r="D874" s="3">
        <v>3382.77</v>
      </c>
      <c r="E874" s="7" t="s">
        <v>12</v>
      </c>
    </row>
    <row r="875" spans="1:5" x14ac:dyDescent="0.2">
      <c r="A875" s="31">
        <v>45070</v>
      </c>
      <c r="B875" s="2">
        <v>1162</v>
      </c>
      <c r="C875" s="2">
        <v>289</v>
      </c>
      <c r="D875" s="3">
        <v>4531.67</v>
      </c>
      <c r="E875" s="7" t="s">
        <v>12</v>
      </c>
    </row>
    <row r="876" spans="1:5" x14ac:dyDescent="0.2">
      <c r="A876" s="31">
        <v>45071</v>
      </c>
      <c r="B876" s="2">
        <v>1205</v>
      </c>
      <c r="C876" s="2">
        <v>254</v>
      </c>
      <c r="D876" s="3">
        <v>4513.71</v>
      </c>
      <c r="E876" s="7" t="s">
        <v>12</v>
      </c>
    </row>
    <row r="877" spans="1:5" x14ac:dyDescent="0.2">
      <c r="A877" s="31">
        <v>45072</v>
      </c>
      <c r="B877" s="2">
        <v>1230</v>
      </c>
      <c r="C877" s="2">
        <v>265</v>
      </c>
      <c r="D877" s="3">
        <v>4550.0600000000004</v>
      </c>
      <c r="E877" s="7" t="s">
        <v>12</v>
      </c>
    </row>
    <row r="878" spans="1:5" x14ac:dyDescent="0.2">
      <c r="A878" s="31">
        <v>45073</v>
      </c>
      <c r="B878" s="2">
        <v>1232</v>
      </c>
      <c r="C878" s="2">
        <v>285</v>
      </c>
      <c r="D878" s="3">
        <v>4757.3999999999996</v>
      </c>
      <c r="E878" s="7" t="s">
        <v>12</v>
      </c>
    </row>
    <row r="879" spans="1:5" x14ac:dyDescent="0.2">
      <c r="A879" s="31">
        <v>45074</v>
      </c>
      <c r="B879" s="2">
        <v>1095</v>
      </c>
      <c r="C879" s="2">
        <v>237</v>
      </c>
      <c r="D879" s="3">
        <v>4581.04</v>
      </c>
      <c r="E879" s="7" t="s">
        <v>12</v>
      </c>
    </row>
    <row r="880" spans="1:5" x14ac:dyDescent="0.2">
      <c r="A880" s="31">
        <v>45075</v>
      </c>
      <c r="B880" s="2">
        <v>1108</v>
      </c>
      <c r="C880" s="2">
        <v>250</v>
      </c>
      <c r="D880" s="3">
        <v>3482.02</v>
      </c>
      <c r="E880" s="7" t="s">
        <v>12</v>
      </c>
    </row>
    <row r="881" spans="1:5" x14ac:dyDescent="0.2">
      <c r="A881" s="31">
        <v>45076</v>
      </c>
      <c r="B881" s="2">
        <v>1180</v>
      </c>
      <c r="C881" s="2">
        <v>257</v>
      </c>
      <c r="D881" s="3">
        <v>4053.61</v>
      </c>
      <c r="E881" s="7" t="s">
        <v>12</v>
      </c>
    </row>
    <row r="882" spans="1:5" x14ac:dyDescent="0.2">
      <c r="A882" s="31">
        <v>45077</v>
      </c>
      <c r="B882" s="2">
        <v>1160</v>
      </c>
      <c r="C882" s="2">
        <v>257</v>
      </c>
      <c r="D882" s="3">
        <v>4688.29</v>
      </c>
      <c r="E882" s="7" t="s">
        <v>12</v>
      </c>
    </row>
    <row r="883" spans="1:5" x14ac:dyDescent="0.2">
      <c r="A883" s="31">
        <v>45078</v>
      </c>
      <c r="B883" s="2">
        <v>1181</v>
      </c>
      <c r="C883" s="2">
        <v>257</v>
      </c>
      <c r="D883" s="3">
        <v>4436.96</v>
      </c>
      <c r="E883" s="7" t="s">
        <v>12</v>
      </c>
    </row>
    <row r="884" spans="1:5" x14ac:dyDescent="0.2">
      <c r="A884" s="31">
        <v>45079</v>
      </c>
      <c r="B884" s="2">
        <v>1164</v>
      </c>
      <c r="C884" s="2">
        <v>249</v>
      </c>
      <c r="D884" s="3">
        <v>4481.1099999999997</v>
      </c>
      <c r="E884" s="7" t="s">
        <v>12</v>
      </c>
    </row>
    <row r="885" spans="1:5" x14ac:dyDescent="0.2">
      <c r="A885" s="31">
        <v>45080</v>
      </c>
      <c r="B885" s="2">
        <v>1111</v>
      </c>
      <c r="C885" s="2">
        <v>297</v>
      </c>
      <c r="D885" s="3">
        <v>4275.92</v>
      </c>
      <c r="E885" s="7" t="s">
        <v>12</v>
      </c>
    </row>
    <row r="886" spans="1:5" x14ac:dyDescent="0.2">
      <c r="A886" s="31">
        <v>45081</v>
      </c>
      <c r="B886" s="2">
        <v>1123</v>
      </c>
      <c r="C886" s="2">
        <v>229</v>
      </c>
      <c r="D886" s="3">
        <v>3957.83</v>
      </c>
      <c r="E886" s="7" t="s">
        <v>12</v>
      </c>
    </row>
    <row r="887" spans="1:5" x14ac:dyDescent="0.2">
      <c r="A887" s="31">
        <v>45082</v>
      </c>
      <c r="B887" s="2">
        <v>1160</v>
      </c>
      <c r="C887" s="2">
        <v>258</v>
      </c>
      <c r="D887" s="3">
        <v>3440.34</v>
      </c>
      <c r="E887" s="7" t="s">
        <v>12</v>
      </c>
    </row>
    <row r="888" spans="1:5" x14ac:dyDescent="0.2">
      <c r="A888" s="31">
        <v>45083</v>
      </c>
      <c r="B888" s="2">
        <v>1204</v>
      </c>
      <c r="C888" s="2">
        <v>275</v>
      </c>
      <c r="D888" s="3">
        <v>5602.15</v>
      </c>
      <c r="E888" s="7" t="s">
        <v>12</v>
      </c>
    </row>
    <row r="889" spans="1:5" x14ac:dyDescent="0.2">
      <c r="A889" s="31">
        <v>45084</v>
      </c>
      <c r="B889" s="2">
        <v>1187</v>
      </c>
      <c r="C889" s="2">
        <v>277</v>
      </c>
      <c r="D889" s="3">
        <v>3897.45</v>
      </c>
      <c r="E889" s="7" t="s">
        <v>12</v>
      </c>
    </row>
    <row r="890" spans="1:5" x14ac:dyDescent="0.2">
      <c r="A890" s="31">
        <v>45085</v>
      </c>
      <c r="B890" s="2">
        <v>1112</v>
      </c>
      <c r="C890" s="2">
        <v>263</v>
      </c>
      <c r="D890" s="3">
        <v>4563.84</v>
      </c>
      <c r="E890" s="7" t="s">
        <v>12</v>
      </c>
    </row>
    <row r="891" spans="1:5" x14ac:dyDescent="0.2">
      <c r="A891" s="31">
        <v>45086</v>
      </c>
      <c r="B891" s="2">
        <v>1172</v>
      </c>
      <c r="C891" s="2">
        <v>280</v>
      </c>
      <c r="D891" s="3">
        <v>4630.53</v>
      </c>
      <c r="E891" s="7" t="s">
        <v>12</v>
      </c>
    </row>
    <row r="892" spans="1:5" x14ac:dyDescent="0.2">
      <c r="A892" s="31">
        <v>45087</v>
      </c>
      <c r="B892" s="2">
        <v>1162</v>
      </c>
      <c r="C892" s="2">
        <v>277</v>
      </c>
      <c r="D892" s="3">
        <v>4871.16</v>
      </c>
      <c r="E892" s="7" t="s">
        <v>12</v>
      </c>
    </row>
    <row r="893" spans="1:5" x14ac:dyDescent="0.2">
      <c r="A893" s="31">
        <v>45088</v>
      </c>
      <c r="B893" s="2">
        <v>1130</v>
      </c>
      <c r="C893" s="2">
        <v>261</v>
      </c>
      <c r="D893" s="3">
        <v>4583.9399999999996</v>
      </c>
      <c r="E893" s="7" t="s">
        <v>12</v>
      </c>
    </row>
    <row r="894" spans="1:5" x14ac:dyDescent="0.2">
      <c r="A894" s="31">
        <v>45089</v>
      </c>
      <c r="B894" s="2">
        <v>1104</v>
      </c>
      <c r="C894" s="2">
        <v>256</v>
      </c>
      <c r="D894" s="3">
        <v>4579.53</v>
      </c>
      <c r="E894" s="7" t="s">
        <v>12</v>
      </c>
    </row>
    <row r="895" spans="1:5" x14ac:dyDescent="0.2">
      <c r="A895" s="31">
        <v>45090</v>
      </c>
      <c r="B895" s="2">
        <v>1153</v>
      </c>
      <c r="C895" s="2">
        <v>282</v>
      </c>
      <c r="D895" s="3">
        <v>5091.5</v>
      </c>
      <c r="E895" s="7" t="s">
        <v>12</v>
      </c>
    </row>
    <row r="896" spans="1:5" x14ac:dyDescent="0.2">
      <c r="A896" s="31">
        <v>45091</v>
      </c>
      <c r="B896" s="2">
        <v>1230</v>
      </c>
      <c r="C896" s="2">
        <v>297</v>
      </c>
      <c r="D896" s="3">
        <v>5226.07</v>
      </c>
      <c r="E896" s="7" t="s">
        <v>12</v>
      </c>
    </row>
    <row r="897" spans="1:5" x14ac:dyDescent="0.2">
      <c r="A897" s="31">
        <v>45092</v>
      </c>
      <c r="B897" s="2">
        <v>1174</v>
      </c>
      <c r="C897" s="2">
        <v>293</v>
      </c>
      <c r="D897" s="3">
        <v>4189.33</v>
      </c>
      <c r="E897" s="7" t="s">
        <v>12</v>
      </c>
    </row>
    <row r="898" spans="1:5" x14ac:dyDescent="0.2">
      <c r="A898" s="31">
        <v>45093</v>
      </c>
      <c r="B898" s="2">
        <v>1176</v>
      </c>
      <c r="C898" s="2">
        <v>250</v>
      </c>
      <c r="D898" s="3">
        <v>4820.71</v>
      </c>
      <c r="E898" s="7" t="s">
        <v>12</v>
      </c>
    </row>
    <row r="899" spans="1:5" x14ac:dyDescent="0.2">
      <c r="A899" s="31">
        <v>45094</v>
      </c>
      <c r="B899" s="2">
        <v>1212</v>
      </c>
      <c r="C899" s="2">
        <v>281</v>
      </c>
      <c r="D899" s="3">
        <v>5138.59</v>
      </c>
      <c r="E899" s="7" t="s">
        <v>12</v>
      </c>
    </row>
    <row r="900" spans="1:5" x14ac:dyDescent="0.2">
      <c r="A900" s="31">
        <v>45095</v>
      </c>
      <c r="B900" s="2">
        <v>1141</v>
      </c>
      <c r="C900" s="2">
        <v>267</v>
      </c>
      <c r="D900" s="3">
        <v>4180.55</v>
      </c>
      <c r="E900" s="7" t="s">
        <v>12</v>
      </c>
    </row>
    <row r="901" spans="1:5" x14ac:dyDescent="0.2">
      <c r="A901" s="31">
        <v>45096</v>
      </c>
      <c r="B901" s="2">
        <v>1179</v>
      </c>
      <c r="C901" s="2">
        <v>281</v>
      </c>
      <c r="D901" s="3">
        <v>4673.63</v>
      </c>
      <c r="E901" s="7" t="s">
        <v>12</v>
      </c>
    </row>
    <row r="902" spans="1:5" x14ac:dyDescent="0.2">
      <c r="A902" s="31">
        <v>45097</v>
      </c>
      <c r="B902" s="2">
        <v>1117</v>
      </c>
      <c r="C902" s="2">
        <v>268</v>
      </c>
      <c r="D902" s="3">
        <v>3810.73</v>
      </c>
      <c r="E902" s="7" t="s">
        <v>12</v>
      </c>
    </row>
    <row r="903" spans="1:5" x14ac:dyDescent="0.2">
      <c r="A903" s="31">
        <v>45098</v>
      </c>
      <c r="B903" s="2">
        <v>1139</v>
      </c>
      <c r="C903" s="2">
        <v>234</v>
      </c>
      <c r="D903" s="3">
        <v>3315.43</v>
      </c>
      <c r="E903" s="7" t="s">
        <v>12</v>
      </c>
    </row>
    <row r="904" spans="1:5" x14ac:dyDescent="0.2">
      <c r="A904" s="31">
        <v>45099</v>
      </c>
      <c r="B904" s="2">
        <v>1188</v>
      </c>
      <c r="C904" s="2">
        <v>267</v>
      </c>
      <c r="D904" s="3">
        <v>4395.2</v>
      </c>
      <c r="E904" s="7" t="s">
        <v>12</v>
      </c>
    </row>
    <row r="905" spans="1:5" x14ac:dyDescent="0.2">
      <c r="A905" s="31">
        <v>45100</v>
      </c>
      <c r="B905" s="2">
        <v>1145</v>
      </c>
      <c r="C905" s="2">
        <v>255</v>
      </c>
      <c r="D905" s="3">
        <v>4020.24</v>
      </c>
      <c r="E905" s="7" t="s">
        <v>12</v>
      </c>
    </row>
    <row r="906" spans="1:5" x14ac:dyDescent="0.2">
      <c r="A906" s="31">
        <v>45101</v>
      </c>
      <c r="B906" s="2">
        <v>1138</v>
      </c>
      <c r="C906" s="2">
        <v>264</v>
      </c>
      <c r="D906" s="3">
        <v>4839.12</v>
      </c>
      <c r="E906" s="7" t="s">
        <v>12</v>
      </c>
    </row>
    <row r="907" spans="1:5" x14ac:dyDescent="0.2">
      <c r="A907" s="31">
        <v>45102</v>
      </c>
      <c r="B907" s="2">
        <v>1159</v>
      </c>
      <c r="C907" s="2">
        <v>259</v>
      </c>
      <c r="D907" s="3">
        <v>4665.32</v>
      </c>
      <c r="E907" s="7" t="s">
        <v>12</v>
      </c>
    </row>
    <row r="908" spans="1:5" x14ac:dyDescent="0.2">
      <c r="A908" s="31">
        <v>45103</v>
      </c>
      <c r="B908" s="2">
        <v>1195</v>
      </c>
      <c r="C908" s="2">
        <v>275</v>
      </c>
      <c r="D908" s="3">
        <v>4119.46</v>
      </c>
      <c r="E908" s="7" t="s">
        <v>12</v>
      </c>
    </row>
    <row r="909" spans="1:5" x14ac:dyDescent="0.2">
      <c r="A909" s="31">
        <v>45104</v>
      </c>
      <c r="B909" s="2">
        <v>1146</v>
      </c>
      <c r="C909" s="2">
        <v>265</v>
      </c>
      <c r="D909" s="3">
        <v>3957.51</v>
      </c>
      <c r="E909" s="7" t="s">
        <v>12</v>
      </c>
    </row>
    <row r="910" spans="1:5" x14ac:dyDescent="0.2">
      <c r="A910" s="31">
        <v>45105</v>
      </c>
      <c r="B910" s="2">
        <v>1115</v>
      </c>
      <c r="C910" s="2">
        <v>236</v>
      </c>
      <c r="D910" s="3">
        <v>4436.53</v>
      </c>
      <c r="E910" s="7" t="s">
        <v>12</v>
      </c>
    </row>
    <row r="911" spans="1:5" x14ac:dyDescent="0.2">
      <c r="A911" s="31">
        <v>45106</v>
      </c>
      <c r="B911" s="2">
        <v>1155</v>
      </c>
      <c r="C911" s="2">
        <v>236</v>
      </c>
      <c r="D911" s="3">
        <v>3932.88</v>
      </c>
      <c r="E911" s="7" t="s">
        <v>12</v>
      </c>
    </row>
    <row r="912" spans="1:5" x14ac:dyDescent="0.2">
      <c r="A912" s="31">
        <v>45107</v>
      </c>
      <c r="B912" s="2">
        <v>1151</v>
      </c>
      <c r="C912" s="2">
        <v>267</v>
      </c>
      <c r="D912" s="3">
        <v>4662.97</v>
      </c>
      <c r="E912" s="7" t="s">
        <v>12</v>
      </c>
    </row>
    <row r="913" spans="1:5" x14ac:dyDescent="0.2">
      <c r="A913" s="31">
        <v>45108</v>
      </c>
      <c r="B913" s="2">
        <v>1137</v>
      </c>
      <c r="C913" s="2">
        <v>265</v>
      </c>
      <c r="D913" s="3">
        <v>4982.8</v>
      </c>
      <c r="E913" s="7" t="s">
        <v>12</v>
      </c>
    </row>
    <row r="914" spans="1:5" x14ac:dyDescent="0.2">
      <c r="A914" s="31">
        <v>45109</v>
      </c>
      <c r="B914" s="2">
        <v>1196</v>
      </c>
      <c r="C914" s="2">
        <v>294</v>
      </c>
      <c r="D914" s="3">
        <v>3911.55</v>
      </c>
      <c r="E914" s="7" t="s">
        <v>12</v>
      </c>
    </row>
    <row r="915" spans="1:5" x14ac:dyDescent="0.2">
      <c r="A915" s="31">
        <v>45110</v>
      </c>
      <c r="B915" s="2">
        <v>1115</v>
      </c>
      <c r="C915" s="2">
        <v>251</v>
      </c>
      <c r="D915" s="3">
        <v>3521.71</v>
      </c>
      <c r="E915" s="7" t="s">
        <v>12</v>
      </c>
    </row>
    <row r="916" spans="1:5" x14ac:dyDescent="0.2">
      <c r="A916" s="31">
        <v>45111</v>
      </c>
      <c r="B916" s="2">
        <v>1158</v>
      </c>
      <c r="C916" s="2">
        <v>270</v>
      </c>
      <c r="D916" s="3">
        <v>4972.87</v>
      </c>
      <c r="E916" s="7" t="s">
        <v>12</v>
      </c>
    </row>
    <row r="917" spans="1:5" x14ac:dyDescent="0.2">
      <c r="A917" s="31">
        <v>45112</v>
      </c>
      <c r="B917" s="2">
        <v>1181</v>
      </c>
      <c r="C917" s="2">
        <v>256</v>
      </c>
      <c r="D917" s="3">
        <v>3666.85</v>
      </c>
      <c r="E917" s="7" t="s">
        <v>12</v>
      </c>
    </row>
    <row r="918" spans="1:5" x14ac:dyDescent="0.2">
      <c r="A918" s="31">
        <v>45113</v>
      </c>
      <c r="B918" s="2">
        <v>1185</v>
      </c>
      <c r="C918" s="2">
        <v>270</v>
      </c>
      <c r="D918" s="3">
        <v>4929.58</v>
      </c>
      <c r="E918" s="7" t="s">
        <v>12</v>
      </c>
    </row>
    <row r="919" spans="1:5" x14ac:dyDescent="0.2">
      <c r="A919" s="31">
        <v>45114</v>
      </c>
      <c r="B919" s="2">
        <v>1129</v>
      </c>
      <c r="C919" s="2">
        <v>265</v>
      </c>
      <c r="D919" s="3">
        <v>4003.75</v>
      </c>
      <c r="E919" s="7" t="s">
        <v>12</v>
      </c>
    </row>
    <row r="920" spans="1:5" x14ac:dyDescent="0.2">
      <c r="A920" s="31">
        <v>45115</v>
      </c>
      <c r="B920" s="2">
        <v>1231</v>
      </c>
      <c r="C920" s="2">
        <v>258</v>
      </c>
      <c r="D920" s="3">
        <v>4123.2700000000004</v>
      </c>
      <c r="E920" s="7" t="s">
        <v>12</v>
      </c>
    </row>
    <row r="921" spans="1:5" x14ac:dyDescent="0.2">
      <c r="A921" s="31">
        <v>45116</v>
      </c>
      <c r="B921" s="2">
        <v>1151</v>
      </c>
      <c r="C921" s="2">
        <v>264</v>
      </c>
      <c r="D921" s="3">
        <v>3832.05</v>
      </c>
      <c r="E921" s="7" t="s">
        <v>12</v>
      </c>
    </row>
    <row r="922" spans="1:5" x14ac:dyDescent="0.2">
      <c r="A922" s="31">
        <v>45117</v>
      </c>
      <c r="B922" s="2">
        <v>1106</v>
      </c>
      <c r="C922" s="2">
        <v>254</v>
      </c>
      <c r="D922" s="3">
        <v>4424.4799999999996</v>
      </c>
      <c r="E922" s="7" t="s">
        <v>12</v>
      </c>
    </row>
    <row r="923" spans="1:5" x14ac:dyDescent="0.2">
      <c r="A923" s="31">
        <v>45118</v>
      </c>
      <c r="B923" s="2">
        <v>1128</v>
      </c>
      <c r="C923" s="2">
        <v>242</v>
      </c>
      <c r="D923" s="3">
        <v>4127.3</v>
      </c>
      <c r="E923" s="7" t="s">
        <v>12</v>
      </c>
    </row>
    <row r="924" spans="1:5" x14ac:dyDescent="0.2">
      <c r="A924" s="31">
        <v>45119</v>
      </c>
      <c r="B924" s="2">
        <v>1085</v>
      </c>
      <c r="C924" s="2">
        <v>265</v>
      </c>
      <c r="D924" s="3">
        <v>4468.4399999999996</v>
      </c>
      <c r="E924" s="7" t="s">
        <v>12</v>
      </c>
    </row>
    <row r="925" spans="1:5" x14ac:dyDescent="0.2">
      <c r="A925" s="31">
        <v>45120</v>
      </c>
      <c r="B925" s="2">
        <v>1139</v>
      </c>
      <c r="C925" s="2">
        <v>264</v>
      </c>
      <c r="D925" s="3">
        <v>4113.45</v>
      </c>
      <c r="E925" s="7" t="s">
        <v>12</v>
      </c>
    </row>
    <row r="926" spans="1:5" x14ac:dyDescent="0.2">
      <c r="A926" s="31">
        <v>45121</v>
      </c>
      <c r="B926" s="2">
        <v>1161</v>
      </c>
      <c r="C926" s="2">
        <v>264</v>
      </c>
      <c r="D926" s="3">
        <v>4777.41</v>
      </c>
      <c r="E926" s="7" t="s">
        <v>12</v>
      </c>
    </row>
    <row r="927" spans="1:5" x14ac:dyDescent="0.2">
      <c r="A927" s="31">
        <v>45122</v>
      </c>
      <c r="B927" s="2">
        <v>1161</v>
      </c>
      <c r="C927" s="2">
        <v>275</v>
      </c>
      <c r="D927" s="3">
        <v>5025.78</v>
      </c>
      <c r="E927" s="7" t="s">
        <v>12</v>
      </c>
    </row>
    <row r="928" spans="1:5" x14ac:dyDescent="0.2">
      <c r="A928" s="31">
        <v>45123</v>
      </c>
      <c r="B928" s="2">
        <v>1192</v>
      </c>
      <c r="C928" s="2">
        <v>264</v>
      </c>
      <c r="D928" s="3">
        <v>4135.92</v>
      </c>
      <c r="E928" s="7" t="s">
        <v>12</v>
      </c>
    </row>
    <row r="929" spans="1:5" x14ac:dyDescent="0.2">
      <c r="A929" s="31">
        <v>45124</v>
      </c>
      <c r="B929" s="2">
        <v>1187</v>
      </c>
      <c r="C929" s="2">
        <v>273</v>
      </c>
      <c r="D929" s="3">
        <v>4746.28</v>
      </c>
      <c r="E929" s="7" t="s">
        <v>12</v>
      </c>
    </row>
    <row r="930" spans="1:5" x14ac:dyDescent="0.2">
      <c r="A930" s="31">
        <v>45125</v>
      </c>
      <c r="B930" s="2">
        <v>1203</v>
      </c>
      <c r="C930" s="2">
        <v>277</v>
      </c>
      <c r="D930" s="3">
        <v>4272.1499999999996</v>
      </c>
      <c r="E930" s="7" t="s">
        <v>12</v>
      </c>
    </row>
    <row r="931" spans="1:5" x14ac:dyDescent="0.2">
      <c r="A931" s="31">
        <v>45126</v>
      </c>
      <c r="B931" s="2">
        <v>1113</v>
      </c>
      <c r="C931" s="2">
        <v>263</v>
      </c>
      <c r="D931" s="3">
        <v>3610.66</v>
      </c>
      <c r="E931" s="7" t="s">
        <v>12</v>
      </c>
    </row>
    <row r="932" spans="1:5" x14ac:dyDescent="0.2">
      <c r="A932" s="31">
        <v>45127</v>
      </c>
      <c r="B932" s="2">
        <v>1131</v>
      </c>
      <c r="C932" s="2">
        <v>271</v>
      </c>
      <c r="D932" s="3">
        <v>4436.1899999999996</v>
      </c>
      <c r="E932" s="7" t="s">
        <v>12</v>
      </c>
    </row>
    <row r="933" spans="1:5" x14ac:dyDescent="0.2">
      <c r="A933" s="31">
        <v>45128</v>
      </c>
      <c r="B933" s="2">
        <v>1139</v>
      </c>
      <c r="C933" s="2">
        <v>254</v>
      </c>
      <c r="D933" s="3">
        <v>4349.2299999999996</v>
      </c>
      <c r="E933" s="7" t="s">
        <v>12</v>
      </c>
    </row>
    <row r="934" spans="1:5" x14ac:dyDescent="0.2">
      <c r="A934" s="31">
        <v>45129</v>
      </c>
      <c r="B934" s="2">
        <v>1169</v>
      </c>
      <c r="C934" s="2">
        <v>276</v>
      </c>
      <c r="D934" s="3">
        <v>3643.56</v>
      </c>
      <c r="E934" s="7" t="s">
        <v>12</v>
      </c>
    </row>
    <row r="935" spans="1:5" x14ac:dyDescent="0.2">
      <c r="A935" s="31">
        <v>45130</v>
      </c>
      <c r="B935" s="2">
        <v>1211</v>
      </c>
      <c r="C935" s="2">
        <v>273</v>
      </c>
      <c r="D935" s="3">
        <v>4860.54</v>
      </c>
      <c r="E935" s="7" t="s">
        <v>12</v>
      </c>
    </row>
    <row r="936" spans="1:5" x14ac:dyDescent="0.2">
      <c r="A936" s="31">
        <v>45131</v>
      </c>
      <c r="B936" s="2">
        <v>1167</v>
      </c>
      <c r="C936" s="2">
        <v>271</v>
      </c>
      <c r="D936" s="3">
        <v>4513.33</v>
      </c>
      <c r="E936" s="7" t="s">
        <v>12</v>
      </c>
    </row>
    <row r="937" spans="1:5" x14ac:dyDescent="0.2">
      <c r="A937" s="31">
        <v>45132</v>
      </c>
      <c r="B937" s="2">
        <v>1146</v>
      </c>
      <c r="C937" s="2">
        <v>256</v>
      </c>
      <c r="D937" s="3">
        <v>4559.7299999999996</v>
      </c>
      <c r="E937" s="7" t="s">
        <v>12</v>
      </c>
    </row>
    <row r="938" spans="1:5" x14ac:dyDescent="0.2">
      <c r="A938" s="31">
        <v>45133</v>
      </c>
      <c r="B938" s="2">
        <v>1161</v>
      </c>
      <c r="C938" s="2">
        <v>272</v>
      </c>
      <c r="D938" s="3">
        <v>4032.27</v>
      </c>
      <c r="E938" s="7" t="s">
        <v>12</v>
      </c>
    </row>
    <row r="939" spans="1:5" x14ac:dyDescent="0.2">
      <c r="A939" s="31">
        <v>45134</v>
      </c>
      <c r="B939" s="2">
        <v>1141</v>
      </c>
      <c r="C939" s="2">
        <v>259</v>
      </c>
      <c r="D939" s="3">
        <v>3909.51</v>
      </c>
      <c r="E939" s="7" t="s">
        <v>12</v>
      </c>
    </row>
    <row r="940" spans="1:5" x14ac:dyDescent="0.2">
      <c r="A940" s="31">
        <v>45135</v>
      </c>
      <c r="B940" s="2">
        <v>1176</v>
      </c>
      <c r="C940" s="2">
        <v>269</v>
      </c>
      <c r="D940" s="3">
        <v>3873.28</v>
      </c>
      <c r="E940" s="7" t="s">
        <v>12</v>
      </c>
    </row>
    <row r="941" spans="1:5" x14ac:dyDescent="0.2">
      <c r="A941" s="31">
        <v>45136</v>
      </c>
      <c r="B941" s="2">
        <v>1137</v>
      </c>
      <c r="C941" s="2">
        <v>259</v>
      </c>
      <c r="D941" s="3">
        <v>4023.2</v>
      </c>
      <c r="E941" s="7" t="s">
        <v>12</v>
      </c>
    </row>
    <row r="942" spans="1:5" x14ac:dyDescent="0.2">
      <c r="A942" s="31">
        <v>45137</v>
      </c>
      <c r="B942" s="2">
        <v>1172</v>
      </c>
      <c r="C942" s="2">
        <v>270</v>
      </c>
      <c r="D942" s="3">
        <v>3519.51</v>
      </c>
      <c r="E942" s="7" t="s">
        <v>12</v>
      </c>
    </row>
    <row r="943" spans="1:5" x14ac:dyDescent="0.2">
      <c r="A943" s="31">
        <v>45138</v>
      </c>
      <c r="B943" s="2">
        <v>1127</v>
      </c>
      <c r="C943" s="2">
        <v>254</v>
      </c>
      <c r="D943" s="3">
        <v>4338.62</v>
      </c>
      <c r="E943" s="7" t="s">
        <v>12</v>
      </c>
    </row>
    <row r="944" spans="1:5" x14ac:dyDescent="0.2">
      <c r="A944" s="31">
        <v>45139</v>
      </c>
      <c r="B944" s="2">
        <v>1157</v>
      </c>
      <c r="C944" s="2">
        <v>234</v>
      </c>
      <c r="D944" s="3">
        <v>4014.93</v>
      </c>
      <c r="E944" s="7" t="s">
        <v>12</v>
      </c>
    </row>
    <row r="945" spans="1:5" x14ac:dyDescent="0.2">
      <c r="A945" s="31">
        <v>45140</v>
      </c>
      <c r="B945" s="2">
        <v>1188</v>
      </c>
      <c r="C945" s="2">
        <v>268</v>
      </c>
      <c r="D945" s="3">
        <v>3549.77</v>
      </c>
      <c r="E945" s="7" t="s">
        <v>12</v>
      </c>
    </row>
    <row r="946" spans="1:5" x14ac:dyDescent="0.2">
      <c r="A946" s="31">
        <v>45141</v>
      </c>
      <c r="B946" s="2">
        <v>1131</v>
      </c>
      <c r="C946" s="2">
        <v>248</v>
      </c>
      <c r="D946" s="3">
        <v>4079.73</v>
      </c>
      <c r="E946" s="7" t="s">
        <v>12</v>
      </c>
    </row>
    <row r="947" spans="1:5" x14ac:dyDescent="0.2">
      <c r="A947" s="31">
        <v>45142</v>
      </c>
      <c r="B947" s="2">
        <v>1187</v>
      </c>
      <c r="C947" s="2">
        <v>232</v>
      </c>
      <c r="D947" s="3">
        <v>2869.54</v>
      </c>
      <c r="E947" s="7" t="s">
        <v>12</v>
      </c>
    </row>
    <row r="948" spans="1:5" x14ac:dyDescent="0.2">
      <c r="A948" s="31">
        <v>45143</v>
      </c>
      <c r="B948" s="2">
        <v>1133</v>
      </c>
      <c r="C948" s="2">
        <v>257</v>
      </c>
      <c r="D948" s="3">
        <v>4438.4399999999996</v>
      </c>
      <c r="E948" s="7" t="s">
        <v>12</v>
      </c>
    </row>
    <row r="949" spans="1:5" x14ac:dyDescent="0.2">
      <c r="A949" s="31">
        <v>45144</v>
      </c>
      <c r="B949" s="2">
        <v>1160</v>
      </c>
      <c r="C949" s="2">
        <v>293</v>
      </c>
      <c r="D949" s="3">
        <v>5089.7700000000004</v>
      </c>
      <c r="E949" s="7" t="s">
        <v>12</v>
      </c>
    </row>
    <row r="950" spans="1:5" x14ac:dyDescent="0.2">
      <c r="A950" s="31">
        <v>45145</v>
      </c>
      <c r="B950" s="2">
        <v>1160</v>
      </c>
      <c r="C950" s="2">
        <v>259</v>
      </c>
      <c r="D950" s="3">
        <v>3436.31</v>
      </c>
      <c r="E950" s="7" t="s">
        <v>12</v>
      </c>
    </row>
    <row r="951" spans="1:5" x14ac:dyDescent="0.2">
      <c r="A951" s="31">
        <v>45146</v>
      </c>
      <c r="B951" s="2">
        <v>1121</v>
      </c>
      <c r="C951" s="2">
        <v>263</v>
      </c>
      <c r="D951" s="3">
        <v>4197.9399999999996</v>
      </c>
      <c r="E951" s="7" t="s">
        <v>12</v>
      </c>
    </row>
    <row r="952" spans="1:5" x14ac:dyDescent="0.2">
      <c r="A952" s="31">
        <v>45147</v>
      </c>
      <c r="B952" s="2">
        <v>1108</v>
      </c>
      <c r="C952" s="2">
        <v>229</v>
      </c>
      <c r="D952" s="3">
        <v>3532.5</v>
      </c>
      <c r="E952" s="7" t="s">
        <v>12</v>
      </c>
    </row>
    <row r="953" spans="1:5" x14ac:dyDescent="0.2">
      <c r="A953" s="31">
        <v>45148</v>
      </c>
      <c r="B953" s="2">
        <v>1085</v>
      </c>
      <c r="C953" s="2">
        <v>255</v>
      </c>
      <c r="D953" s="3">
        <v>3059.11</v>
      </c>
      <c r="E953" s="7" t="s">
        <v>12</v>
      </c>
    </row>
    <row r="954" spans="1:5" x14ac:dyDescent="0.2">
      <c r="A954" s="31">
        <v>45149</v>
      </c>
      <c r="B954" s="2">
        <v>1101</v>
      </c>
      <c r="C954" s="2">
        <v>247</v>
      </c>
      <c r="D954" s="3">
        <v>4580.32</v>
      </c>
      <c r="E954" s="7" t="s">
        <v>12</v>
      </c>
    </row>
    <row r="955" spans="1:5" x14ac:dyDescent="0.2">
      <c r="A955" s="31">
        <v>45150</v>
      </c>
      <c r="B955" s="2">
        <v>1113</v>
      </c>
      <c r="C955" s="2">
        <v>243</v>
      </c>
      <c r="D955" s="3">
        <v>3726.14</v>
      </c>
      <c r="E955" s="7" t="s">
        <v>12</v>
      </c>
    </row>
    <row r="956" spans="1:5" x14ac:dyDescent="0.2">
      <c r="A956" s="31">
        <v>45151</v>
      </c>
      <c r="B956" s="2">
        <v>1201</v>
      </c>
      <c r="C956" s="2">
        <v>263</v>
      </c>
      <c r="D956" s="3">
        <v>4433.6400000000003</v>
      </c>
      <c r="E956" s="7" t="s">
        <v>12</v>
      </c>
    </row>
    <row r="957" spans="1:5" x14ac:dyDescent="0.2">
      <c r="A957" s="31">
        <v>45152</v>
      </c>
      <c r="B957" s="2">
        <v>1173</v>
      </c>
      <c r="C957" s="2">
        <v>245</v>
      </c>
      <c r="D957" s="3">
        <v>4922.37</v>
      </c>
      <c r="E957" s="7" t="s">
        <v>12</v>
      </c>
    </row>
    <row r="958" spans="1:5" x14ac:dyDescent="0.2">
      <c r="A958" s="31">
        <v>45153</v>
      </c>
      <c r="B958" s="2">
        <v>1108</v>
      </c>
      <c r="C958" s="2">
        <v>250</v>
      </c>
      <c r="D958" s="3">
        <v>4080.13</v>
      </c>
      <c r="E958" s="7" t="s">
        <v>12</v>
      </c>
    </row>
    <row r="959" spans="1:5" x14ac:dyDescent="0.2">
      <c r="A959" s="31">
        <v>45154</v>
      </c>
      <c r="B959" s="2">
        <v>1224</v>
      </c>
      <c r="C959" s="2">
        <v>280</v>
      </c>
      <c r="D959" s="3">
        <v>4637.9399999999996</v>
      </c>
      <c r="E959" s="7" t="s">
        <v>12</v>
      </c>
    </row>
    <row r="960" spans="1:5" x14ac:dyDescent="0.2">
      <c r="A960" s="31">
        <v>45155</v>
      </c>
      <c r="B960" s="2">
        <v>1166</v>
      </c>
      <c r="C960" s="2">
        <v>281</v>
      </c>
      <c r="D960" s="3">
        <v>4426.37</v>
      </c>
      <c r="E960" s="7" t="s">
        <v>12</v>
      </c>
    </row>
    <row r="961" spans="1:5" x14ac:dyDescent="0.2">
      <c r="A961" s="31">
        <v>45156</v>
      </c>
      <c r="B961" s="2">
        <v>1101</v>
      </c>
      <c r="C961" s="2">
        <v>246</v>
      </c>
      <c r="D961" s="3">
        <v>4022.97</v>
      </c>
      <c r="E961" s="7" t="s">
        <v>12</v>
      </c>
    </row>
    <row r="962" spans="1:5" x14ac:dyDescent="0.2">
      <c r="A962" s="31">
        <v>45157</v>
      </c>
      <c r="B962" s="2">
        <v>1160</v>
      </c>
      <c r="C962" s="2">
        <v>275</v>
      </c>
      <c r="D962" s="3">
        <v>4315.71</v>
      </c>
      <c r="E962" s="7" t="s">
        <v>12</v>
      </c>
    </row>
    <row r="963" spans="1:5" x14ac:dyDescent="0.2">
      <c r="A963" s="31">
        <v>45158</v>
      </c>
      <c r="B963" s="2">
        <v>1198</v>
      </c>
      <c r="C963" s="2">
        <v>266</v>
      </c>
      <c r="D963" s="3">
        <v>4354.33</v>
      </c>
      <c r="E963" s="7" t="s">
        <v>12</v>
      </c>
    </row>
    <row r="964" spans="1:5" x14ac:dyDescent="0.2">
      <c r="A964" s="31">
        <v>45159</v>
      </c>
      <c r="B964" s="2">
        <v>1139</v>
      </c>
      <c r="C964" s="2">
        <v>251</v>
      </c>
      <c r="D964" s="3">
        <v>3836.58</v>
      </c>
      <c r="E964" s="7" t="s">
        <v>12</v>
      </c>
    </row>
    <row r="965" spans="1:5" x14ac:dyDescent="0.2">
      <c r="A965" s="31">
        <v>45160</v>
      </c>
      <c r="B965" s="2">
        <v>1182</v>
      </c>
      <c r="C965" s="2">
        <v>250</v>
      </c>
      <c r="D965" s="3">
        <v>3227.47</v>
      </c>
      <c r="E965" s="7" t="s">
        <v>12</v>
      </c>
    </row>
    <row r="966" spans="1:5" x14ac:dyDescent="0.2">
      <c r="A966" s="31">
        <v>45161</v>
      </c>
      <c r="B966" s="2">
        <v>1123</v>
      </c>
      <c r="C966" s="2">
        <v>249</v>
      </c>
      <c r="D966" s="3">
        <v>4645.67</v>
      </c>
      <c r="E966" s="7" t="s">
        <v>12</v>
      </c>
    </row>
    <row r="967" spans="1:5" x14ac:dyDescent="0.2">
      <c r="A967" s="31">
        <v>45162</v>
      </c>
      <c r="B967" s="2">
        <v>1207</v>
      </c>
      <c r="C967" s="2">
        <v>266</v>
      </c>
      <c r="D967" s="3">
        <v>4984.3599999999997</v>
      </c>
      <c r="E967" s="7" t="s">
        <v>12</v>
      </c>
    </row>
    <row r="968" spans="1:5" x14ac:dyDescent="0.2">
      <c r="A968" s="31">
        <v>45163</v>
      </c>
      <c r="B968" s="2">
        <v>1128</v>
      </c>
      <c r="C968" s="2">
        <v>238</v>
      </c>
      <c r="D968" s="3">
        <v>4232.5200000000004</v>
      </c>
      <c r="E968" s="7" t="s">
        <v>12</v>
      </c>
    </row>
    <row r="969" spans="1:5" x14ac:dyDescent="0.2">
      <c r="A969" s="31">
        <v>45164</v>
      </c>
      <c r="B969" s="2">
        <v>1196</v>
      </c>
      <c r="C969" s="2">
        <v>267</v>
      </c>
      <c r="D969" s="3">
        <v>3654.85</v>
      </c>
      <c r="E969" s="7" t="s">
        <v>12</v>
      </c>
    </row>
    <row r="970" spans="1:5" x14ac:dyDescent="0.2">
      <c r="A970" s="31">
        <v>45165</v>
      </c>
      <c r="B970" s="2">
        <v>1211</v>
      </c>
      <c r="C970" s="2">
        <v>270</v>
      </c>
      <c r="D970" s="3">
        <v>3923.24</v>
      </c>
      <c r="E970" s="7" t="s">
        <v>12</v>
      </c>
    </row>
    <row r="971" spans="1:5" x14ac:dyDescent="0.2">
      <c r="A971" s="31">
        <v>45166</v>
      </c>
      <c r="B971" s="2">
        <v>1099</v>
      </c>
      <c r="C971" s="2">
        <v>240</v>
      </c>
      <c r="D971" s="3">
        <v>4354.41</v>
      </c>
      <c r="E971" s="7" t="s">
        <v>12</v>
      </c>
    </row>
    <row r="972" spans="1:5" x14ac:dyDescent="0.2">
      <c r="A972" s="31">
        <v>45167</v>
      </c>
      <c r="B972" s="2">
        <v>1150</v>
      </c>
      <c r="C972" s="2">
        <v>261</v>
      </c>
      <c r="D972" s="3">
        <v>4879.1000000000004</v>
      </c>
      <c r="E972" s="7" t="s">
        <v>12</v>
      </c>
    </row>
    <row r="973" spans="1:5" x14ac:dyDescent="0.2">
      <c r="A973" s="31">
        <v>45168</v>
      </c>
      <c r="B973" s="2">
        <v>1114</v>
      </c>
      <c r="C973" s="2">
        <v>246</v>
      </c>
      <c r="D973" s="3">
        <v>4377.22</v>
      </c>
      <c r="E973" s="7" t="s">
        <v>12</v>
      </c>
    </row>
    <row r="974" spans="1:5" x14ac:dyDescent="0.2">
      <c r="A974" s="31">
        <v>45169</v>
      </c>
      <c r="B974" s="2">
        <v>1167</v>
      </c>
      <c r="C974" s="2">
        <v>254</v>
      </c>
      <c r="D974" s="3">
        <v>4649.05</v>
      </c>
      <c r="E974" s="7" t="s">
        <v>12</v>
      </c>
    </row>
    <row r="975" spans="1:5" x14ac:dyDescent="0.2">
      <c r="A975" s="31">
        <v>45170</v>
      </c>
      <c r="B975" s="2">
        <v>1161</v>
      </c>
      <c r="C975" s="2">
        <v>257</v>
      </c>
      <c r="D975" s="3">
        <v>4406.75</v>
      </c>
      <c r="E975" s="7" t="s">
        <v>12</v>
      </c>
    </row>
    <row r="976" spans="1:5" x14ac:dyDescent="0.2">
      <c r="A976" s="31">
        <v>45171</v>
      </c>
      <c r="B976" s="2">
        <v>1134</v>
      </c>
      <c r="C976" s="2">
        <v>255</v>
      </c>
      <c r="D976" s="3">
        <v>3491.14</v>
      </c>
      <c r="E976" s="7" t="s">
        <v>12</v>
      </c>
    </row>
    <row r="977" spans="1:5" x14ac:dyDescent="0.2">
      <c r="A977" s="31">
        <v>45172</v>
      </c>
      <c r="B977" s="2">
        <v>1076</v>
      </c>
      <c r="C977" s="2">
        <v>232</v>
      </c>
      <c r="D977" s="3">
        <v>4636.33</v>
      </c>
      <c r="E977" s="7" t="s">
        <v>12</v>
      </c>
    </row>
    <row r="978" spans="1:5" x14ac:dyDescent="0.2">
      <c r="A978" s="31">
        <v>45173</v>
      </c>
      <c r="B978" s="2">
        <v>1197</v>
      </c>
      <c r="C978" s="2">
        <v>280</v>
      </c>
      <c r="D978" s="3">
        <v>4567.09</v>
      </c>
      <c r="E978" s="7" t="s">
        <v>12</v>
      </c>
    </row>
    <row r="979" spans="1:5" x14ac:dyDescent="0.2">
      <c r="A979" s="31">
        <v>45174</v>
      </c>
      <c r="B979" s="2">
        <v>1171</v>
      </c>
      <c r="C979" s="2">
        <v>246</v>
      </c>
      <c r="D979" s="3">
        <v>3767.15</v>
      </c>
      <c r="E979" s="7" t="s">
        <v>12</v>
      </c>
    </row>
    <row r="980" spans="1:5" x14ac:dyDescent="0.2">
      <c r="A980" s="31">
        <v>45175</v>
      </c>
      <c r="B980" s="2">
        <v>1260</v>
      </c>
      <c r="C980" s="2">
        <v>313</v>
      </c>
      <c r="D980" s="3">
        <v>5346.05</v>
      </c>
      <c r="E980" s="7" t="s">
        <v>12</v>
      </c>
    </row>
    <row r="981" spans="1:5" x14ac:dyDescent="0.2">
      <c r="A981" s="31">
        <v>45176</v>
      </c>
      <c r="B981" s="2">
        <v>1187</v>
      </c>
      <c r="C981" s="2">
        <v>280</v>
      </c>
      <c r="D981" s="3">
        <v>4888.37</v>
      </c>
      <c r="E981" s="7" t="s">
        <v>12</v>
      </c>
    </row>
    <row r="982" spans="1:5" x14ac:dyDescent="0.2">
      <c r="A982" s="31">
        <v>45177</v>
      </c>
      <c r="B982" s="2">
        <v>1184</v>
      </c>
      <c r="C982" s="2">
        <v>282</v>
      </c>
      <c r="D982" s="3">
        <v>4052.68</v>
      </c>
      <c r="E982" s="7" t="s">
        <v>12</v>
      </c>
    </row>
    <row r="983" spans="1:5" x14ac:dyDescent="0.2">
      <c r="A983" s="31">
        <v>45178</v>
      </c>
      <c r="B983" s="2">
        <v>1194</v>
      </c>
      <c r="C983" s="2">
        <v>277</v>
      </c>
      <c r="D983" s="3">
        <v>4137.6000000000004</v>
      </c>
      <c r="E983" s="7" t="s">
        <v>12</v>
      </c>
    </row>
    <row r="984" spans="1:5" x14ac:dyDescent="0.2">
      <c r="A984" s="31">
        <v>45179</v>
      </c>
      <c r="B984" s="2">
        <v>1180</v>
      </c>
      <c r="C984" s="2">
        <v>273</v>
      </c>
      <c r="D984" s="3">
        <v>4105.9399999999996</v>
      </c>
      <c r="E984" s="7" t="s">
        <v>12</v>
      </c>
    </row>
    <row r="985" spans="1:5" x14ac:dyDescent="0.2">
      <c r="A985" s="31">
        <v>45180</v>
      </c>
      <c r="B985" s="2">
        <v>1164</v>
      </c>
      <c r="C985" s="2">
        <v>283</v>
      </c>
      <c r="D985" s="3">
        <v>4852.75</v>
      </c>
      <c r="E985" s="7" t="s">
        <v>12</v>
      </c>
    </row>
    <row r="986" spans="1:5" x14ac:dyDescent="0.2">
      <c r="A986" s="31">
        <v>45181</v>
      </c>
      <c r="B986" s="2">
        <v>1195</v>
      </c>
      <c r="C986" s="2">
        <v>294</v>
      </c>
      <c r="D986" s="3">
        <v>4116.63</v>
      </c>
      <c r="E986" s="7" t="s">
        <v>12</v>
      </c>
    </row>
    <row r="987" spans="1:5" x14ac:dyDescent="0.2">
      <c r="A987" s="31">
        <v>45182</v>
      </c>
      <c r="B987" s="2">
        <v>1135</v>
      </c>
      <c r="C987" s="2">
        <v>252</v>
      </c>
      <c r="D987" s="3">
        <v>3763.14</v>
      </c>
      <c r="E987" s="7" t="s">
        <v>12</v>
      </c>
    </row>
    <row r="988" spans="1:5" x14ac:dyDescent="0.2">
      <c r="A988" s="31">
        <v>45183</v>
      </c>
      <c r="B988" s="2">
        <v>1207</v>
      </c>
      <c r="C988" s="2">
        <v>293</v>
      </c>
      <c r="D988" s="3">
        <v>4649.26</v>
      </c>
      <c r="E988" s="7" t="s">
        <v>12</v>
      </c>
    </row>
    <row r="989" spans="1:5" x14ac:dyDescent="0.2">
      <c r="A989" s="31">
        <v>45184</v>
      </c>
      <c r="B989" s="2">
        <v>1134</v>
      </c>
      <c r="C989" s="2">
        <v>233</v>
      </c>
      <c r="D989" s="3">
        <v>4478.3999999999996</v>
      </c>
      <c r="E989" s="7" t="s">
        <v>12</v>
      </c>
    </row>
    <row r="990" spans="1:5" x14ac:dyDescent="0.2">
      <c r="A990" s="31">
        <v>45185</v>
      </c>
      <c r="B990" s="2">
        <v>1148</v>
      </c>
      <c r="C990" s="2">
        <v>293</v>
      </c>
      <c r="D990" s="3">
        <v>5516.67</v>
      </c>
      <c r="E990" s="7" t="s">
        <v>12</v>
      </c>
    </row>
    <row r="991" spans="1:5" x14ac:dyDescent="0.2">
      <c r="A991" s="31">
        <v>45186</v>
      </c>
      <c r="B991" s="2">
        <v>1136</v>
      </c>
      <c r="C991" s="2">
        <v>259</v>
      </c>
      <c r="D991" s="3">
        <v>3260.93</v>
      </c>
      <c r="E991" s="7" t="s">
        <v>12</v>
      </c>
    </row>
    <row r="992" spans="1:5" x14ac:dyDescent="0.2">
      <c r="A992" s="31">
        <v>45187</v>
      </c>
      <c r="B992" s="2">
        <v>1180</v>
      </c>
      <c r="C992" s="2">
        <v>272</v>
      </c>
      <c r="D992" s="3">
        <v>4641.8900000000003</v>
      </c>
      <c r="E992" s="7" t="s">
        <v>12</v>
      </c>
    </row>
    <row r="993" spans="1:5" x14ac:dyDescent="0.2">
      <c r="A993" s="31">
        <v>45188</v>
      </c>
      <c r="B993" s="2">
        <v>1057</v>
      </c>
      <c r="C993" s="2">
        <v>239</v>
      </c>
      <c r="D993" s="3">
        <v>3733.85</v>
      </c>
      <c r="E993" s="7" t="s">
        <v>12</v>
      </c>
    </row>
    <row r="994" spans="1:5" x14ac:dyDescent="0.2">
      <c r="A994" s="31">
        <v>45189</v>
      </c>
      <c r="B994" s="2">
        <v>1225</v>
      </c>
      <c r="C994" s="2">
        <v>263</v>
      </c>
      <c r="D994" s="3">
        <v>4218.28</v>
      </c>
      <c r="E994" s="7" t="s">
        <v>12</v>
      </c>
    </row>
    <row r="995" spans="1:5" x14ac:dyDescent="0.2">
      <c r="A995" s="31">
        <v>45190</v>
      </c>
      <c r="B995" s="2">
        <v>1147</v>
      </c>
      <c r="C995" s="2">
        <v>286</v>
      </c>
      <c r="D995" s="3">
        <v>3882.36</v>
      </c>
      <c r="E995" s="7" t="s">
        <v>12</v>
      </c>
    </row>
    <row r="996" spans="1:5" x14ac:dyDescent="0.2">
      <c r="A996" s="31">
        <v>45191</v>
      </c>
      <c r="B996" s="2">
        <v>1138</v>
      </c>
      <c r="C996" s="2">
        <v>274</v>
      </c>
      <c r="D996" s="3">
        <v>3840.88</v>
      </c>
      <c r="E996" s="7" t="s">
        <v>12</v>
      </c>
    </row>
    <row r="997" spans="1:5" x14ac:dyDescent="0.2">
      <c r="A997" s="31">
        <v>45192</v>
      </c>
      <c r="B997" s="2">
        <v>1124</v>
      </c>
      <c r="C997" s="2">
        <v>239</v>
      </c>
      <c r="D997" s="3">
        <v>3596.76</v>
      </c>
      <c r="E997" s="7" t="s">
        <v>12</v>
      </c>
    </row>
    <row r="998" spans="1:5" x14ac:dyDescent="0.2">
      <c r="A998" s="31">
        <v>45193</v>
      </c>
      <c r="B998" s="2">
        <v>1105</v>
      </c>
      <c r="C998" s="2">
        <v>238</v>
      </c>
      <c r="D998" s="3">
        <v>3443.16</v>
      </c>
      <c r="E998" s="7" t="s">
        <v>12</v>
      </c>
    </row>
    <row r="999" spans="1:5" x14ac:dyDescent="0.2">
      <c r="A999" s="31">
        <v>45194</v>
      </c>
      <c r="B999" s="2">
        <v>1172</v>
      </c>
      <c r="C999" s="2">
        <v>270</v>
      </c>
      <c r="D999" s="3">
        <v>5010.3500000000004</v>
      </c>
      <c r="E999" s="7" t="s">
        <v>12</v>
      </c>
    </row>
    <row r="1000" spans="1:5" x14ac:dyDescent="0.2">
      <c r="A1000" s="31">
        <v>45195</v>
      </c>
      <c r="B1000" s="2">
        <v>1153</v>
      </c>
      <c r="C1000" s="2">
        <v>254</v>
      </c>
      <c r="D1000" s="3">
        <v>3908.02</v>
      </c>
      <c r="E1000" s="7" t="s">
        <v>12</v>
      </c>
    </row>
    <row r="1001" spans="1:5" x14ac:dyDescent="0.2">
      <c r="A1001" s="31">
        <v>45196</v>
      </c>
      <c r="B1001" s="2">
        <v>1156</v>
      </c>
      <c r="C1001" s="2">
        <v>267</v>
      </c>
      <c r="D1001" s="3">
        <v>4451.6899999999996</v>
      </c>
      <c r="E1001" s="7" t="s">
        <v>12</v>
      </c>
    </row>
    <row r="1002" spans="1:5" x14ac:dyDescent="0.2">
      <c r="A1002" s="31">
        <v>45197</v>
      </c>
      <c r="B1002" s="2">
        <v>1105</v>
      </c>
      <c r="C1002" s="2">
        <v>251</v>
      </c>
      <c r="D1002" s="3">
        <v>3659.57</v>
      </c>
      <c r="E1002" s="7" t="s">
        <v>12</v>
      </c>
    </row>
    <row r="1003" spans="1:5" x14ac:dyDescent="0.2">
      <c r="A1003" s="31">
        <v>45198</v>
      </c>
      <c r="B1003" s="2">
        <v>1121</v>
      </c>
      <c r="C1003" s="2">
        <v>253</v>
      </c>
      <c r="D1003" s="3">
        <v>4004.37</v>
      </c>
      <c r="E1003" s="7" t="s">
        <v>12</v>
      </c>
    </row>
    <row r="1004" spans="1:5" x14ac:dyDescent="0.2">
      <c r="A1004" s="31">
        <v>45199</v>
      </c>
      <c r="B1004" s="2">
        <v>1123</v>
      </c>
      <c r="C1004" s="2">
        <v>276</v>
      </c>
      <c r="D1004" s="3">
        <v>4191.83</v>
      </c>
      <c r="E1004" s="7" t="s">
        <v>12</v>
      </c>
    </row>
    <row r="1005" spans="1:5" x14ac:dyDescent="0.2">
      <c r="A1005" s="31">
        <v>45200</v>
      </c>
      <c r="B1005" s="2">
        <v>1185</v>
      </c>
      <c r="C1005" s="2">
        <v>260</v>
      </c>
      <c r="D1005" s="3">
        <v>3998.95</v>
      </c>
      <c r="E1005" s="7" t="s">
        <v>12</v>
      </c>
    </row>
    <row r="1006" spans="1:5" x14ac:dyDescent="0.2">
      <c r="A1006" s="31">
        <v>45201</v>
      </c>
      <c r="B1006" s="2">
        <v>1153</v>
      </c>
      <c r="C1006" s="2">
        <v>268</v>
      </c>
      <c r="D1006" s="3">
        <v>4299.38</v>
      </c>
      <c r="E1006" s="7" t="s">
        <v>12</v>
      </c>
    </row>
    <row r="1007" spans="1:5" x14ac:dyDescent="0.2">
      <c r="A1007" s="31">
        <v>45202</v>
      </c>
      <c r="B1007" s="2">
        <v>1202</v>
      </c>
      <c r="C1007" s="2">
        <v>262</v>
      </c>
      <c r="D1007" s="3">
        <v>4584.88</v>
      </c>
      <c r="E1007" s="7" t="s">
        <v>12</v>
      </c>
    </row>
    <row r="1008" spans="1:5" x14ac:dyDescent="0.2">
      <c r="A1008" s="31">
        <v>45203</v>
      </c>
      <c r="B1008" s="2">
        <v>1181</v>
      </c>
      <c r="C1008" s="2">
        <v>295</v>
      </c>
      <c r="D1008" s="3">
        <v>5004.6899999999996</v>
      </c>
      <c r="E1008" s="7" t="s">
        <v>12</v>
      </c>
    </row>
    <row r="1009" spans="1:5" x14ac:dyDescent="0.2">
      <c r="A1009" s="31">
        <v>45204</v>
      </c>
      <c r="B1009" s="2">
        <v>1133</v>
      </c>
      <c r="C1009" s="2">
        <v>263</v>
      </c>
      <c r="D1009" s="3">
        <v>4951.6400000000003</v>
      </c>
      <c r="E1009" s="7" t="s">
        <v>12</v>
      </c>
    </row>
    <row r="1010" spans="1:5" x14ac:dyDescent="0.2">
      <c r="A1010" s="31">
        <v>45205</v>
      </c>
      <c r="B1010" s="2">
        <v>1123</v>
      </c>
      <c r="C1010" s="2">
        <v>271</v>
      </c>
      <c r="D1010" s="3">
        <v>4515.42</v>
      </c>
      <c r="E1010" s="7" t="s">
        <v>12</v>
      </c>
    </row>
    <row r="1011" spans="1:5" x14ac:dyDescent="0.2">
      <c r="A1011" s="31">
        <v>45206</v>
      </c>
      <c r="B1011" s="2">
        <v>1085</v>
      </c>
      <c r="C1011" s="2">
        <v>231</v>
      </c>
      <c r="D1011" s="3">
        <v>3231.54</v>
      </c>
      <c r="E1011" s="7" t="s">
        <v>12</v>
      </c>
    </row>
    <row r="1012" spans="1:5" x14ac:dyDescent="0.2">
      <c r="A1012" s="31">
        <v>45207</v>
      </c>
      <c r="B1012" s="2">
        <v>1118</v>
      </c>
      <c r="C1012" s="2">
        <v>244</v>
      </c>
      <c r="D1012" s="3">
        <v>4246.49</v>
      </c>
      <c r="E1012" s="7" t="s">
        <v>12</v>
      </c>
    </row>
    <row r="1013" spans="1:5" x14ac:dyDescent="0.2">
      <c r="A1013" s="31">
        <v>45208</v>
      </c>
      <c r="B1013" s="2">
        <v>1147</v>
      </c>
      <c r="C1013" s="2">
        <v>244</v>
      </c>
      <c r="D1013" s="3">
        <v>3712.04</v>
      </c>
      <c r="E1013" s="7" t="s">
        <v>12</v>
      </c>
    </row>
    <row r="1014" spans="1:5" x14ac:dyDescent="0.2">
      <c r="A1014" s="31">
        <v>45209</v>
      </c>
      <c r="B1014" s="2">
        <v>1096</v>
      </c>
      <c r="C1014" s="2">
        <v>252</v>
      </c>
      <c r="D1014" s="3">
        <v>4715.33</v>
      </c>
      <c r="E1014" s="7" t="s">
        <v>12</v>
      </c>
    </row>
    <row r="1015" spans="1:5" x14ac:dyDescent="0.2">
      <c r="A1015" s="31">
        <v>45210</v>
      </c>
      <c r="B1015" s="2">
        <v>1155</v>
      </c>
      <c r="C1015" s="2">
        <v>248</v>
      </c>
      <c r="D1015" s="3">
        <v>3525.18</v>
      </c>
      <c r="E1015" s="7" t="s">
        <v>12</v>
      </c>
    </row>
    <row r="1016" spans="1:5" x14ac:dyDescent="0.2">
      <c r="A1016" s="31">
        <v>45211</v>
      </c>
      <c r="B1016" s="2">
        <v>1155</v>
      </c>
      <c r="C1016" s="2">
        <v>283</v>
      </c>
      <c r="D1016" s="3">
        <v>4181.37</v>
      </c>
      <c r="E1016" s="7" t="s">
        <v>12</v>
      </c>
    </row>
    <row r="1017" spans="1:5" x14ac:dyDescent="0.2">
      <c r="A1017" s="31">
        <v>45212</v>
      </c>
      <c r="B1017" s="2">
        <v>1111</v>
      </c>
      <c r="C1017" s="2">
        <v>249</v>
      </c>
      <c r="D1017" s="3">
        <v>3276.9</v>
      </c>
      <c r="E1017" s="7" t="s">
        <v>12</v>
      </c>
    </row>
    <row r="1018" spans="1:5" x14ac:dyDescent="0.2">
      <c r="A1018" s="31">
        <v>45213</v>
      </c>
      <c r="B1018" s="2">
        <v>1139</v>
      </c>
      <c r="C1018" s="2">
        <v>269</v>
      </c>
      <c r="D1018" s="3">
        <v>4346.8100000000004</v>
      </c>
      <c r="E1018" s="7" t="s">
        <v>12</v>
      </c>
    </row>
    <row r="1019" spans="1:5" x14ac:dyDescent="0.2">
      <c r="A1019" s="31">
        <v>45214</v>
      </c>
      <c r="B1019" s="2">
        <v>1218</v>
      </c>
      <c r="C1019" s="2">
        <v>306</v>
      </c>
      <c r="D1019" s="3">
        <v>5348.96</v>
      </c>
      <c r="E1019" s="7" t="s">
        <v>12</v>
      </c>
    </row>
    <row r="1020" spans="1:5" x14ac:dyDescent="0.2">
      <c r="A1020" s="31">
        <v>45215</v>
      </c>
      <c r="B1020" s="2">
        <v>1145</v>
      </c>
      <c r="C1020" s="2">
        <v>255</v>
      </c>
      <c r="D1020" s="3">
        <v>3977.28</v>
      </c>
      <c r="E1020" s="7" t="s">
        <v>12</v>
      </c>
    </row>
    <row r="1021" spans="1:5" x14ac:dyDescent="0.2">
      <c r="A1021" s="31">
        <v>45216</v>
      </c>
      <c r="B1021" s="2">
        <v>1144</v>
      </c>
      <c r="C1021" s="2">
        <v>255</v>
      </c>
      <c r="D1021" s="3">
        <v>3131.57</v>
      </c>
      <c r="E1021" s="7" t="s">
        <v>12</v>
      </c>
    </row>
    <row r="1022" spans="1:5" x14ac:dyDescent="0.2">
      <c r="A1022" s="31">
        <v>45217</v>
      </c>
      <c r="B1022" s="2">
        <v>1195</v>
      </c>
      <c r="C1022" s="2">
        <v>261</v>
      </c>
      <c r="D1022" s="3">
        <v>5006.3999999999996</v>
      </c>
      <c r="E1022" s="7" t="s">
        <v>12</v>
      </c>
    </row>
    <row r="1023" spans="1:5" x14ac:dyDescent="0.2">
      <c r="A1023" s="31">
        <v>45218</v>
      </c>
      <c r="B1023" s="2">
        <v>1173</v>
      </c>
      <c r="C1023" s="2">
        <v>259</v>
      </c>
      <c r="D1023" s="3">
        <v>4763.1000000000004</v>
      </c>
      <c r="E1023" s="7" t="s">
        <v>12</v>
      </c>
    </row>
    <row r="1024" spans="1:5" x14ac:dyDescent="0.2">
      <c r="A1024" s="31">
        <v>45219</v>
      </c>
      <c r="B1024" s="2">
        <v>1176</v>
      </c>
      <c r="C1024" s="2">
        <v>273</v>
      </c>
      <c r="D1024" s="3">
        <v>4765.03</v>
      </c>
      <c r="E1024" s="7" t="s">
        <v>12</v>
      </c>
    </row>
    <row r="1025" spans="1:5" x14ac:dyDescent="0.2">
      <c r="A1025" s="31">
        <v>45220</v>
      </c>
      <c r="B1025" s="2">
        <v>1193</v>
      </c>
      <c r="C1025" s="2">
        <v>282</v>
      </c>
      <c r="D1025" s="3">
        <v>4922.12</v>
      </c>
      <c r="E1025" s="7" t="s">
        <v>12</v>
      </c>
    </row>
    <row r="1026" spans="1:5" x14ac:dyDescent="0.2">
      <c r="A1026" s="31">
        <v>45221</v>
      </c>
      <c r="B1026" s="2">
        <v>1075</v>
      </c>
      <c r="C1026" s="2">
        <v>242</v>
      </c>
      <c r="D1026" s="3">
        <v>4448.22</v>
      </c>
      <c r="E1026" s="7" t="s">
        <v>12</v>
      </c>
    </row>
    <row r="1027" spans="1:5" x14ac:dyDescent="0.2">
      <c r="A1027" s="31">
        <v>45222</v>
      </c>
      <c r="B1027" s="2">
        <v>1107</v>
      </c>
      <c r="C1027" s="2">
        <v>275</v>
      </c>
      <c r="D1027" s="3">
        <v>3949.34</v>
      </c>
      <c r="E1027" s="7" t="s">
        <v>12</v>
      </c>
    </row>
    <row r="1028" spans="1:5" x14ac:dyDescent="0.2">
      <c r="A1028" s="31">
        <v>45223</v>
      </c>
      <c r="B1028" s="2">
        <v>1177</v>
      </c>
      <c r="C1028" s="2">
        <v>283</v>
      </c>
      <c r="D1028" s="3">
        <v>4263.26</v>
      </c>
      <c r="E1028" s="7" t="s">
        <v>12</v>
      </c>
    </row>
    <row r="1029" spans="1:5" x14ac:dyDescent="0.2">
      <c r="A1029" s="31">
        <v>45224</v>
      </c>
      <c r="B1029" s="2">
        <v>1181</v>
      </c>
      <c r="C1029" s="2">
        <v>273</v>
      </c>
      <c r="D1029" s="3">
        <v>4299.34</v>
      </c>
      <c r="E1029" s="7" t="s">
        <v>12</v>
      </c>
    </row>
    <row r="1030" spans="1:5" x14ac:dyDescent="0.2">
      <c r="A1030" s="31">
        <v>45225</v>
      </c>
      <c r="B1030" s="2">
        <v>1161</v>
      </c>
      <c r="C1030" s="2">
        <v>275</v>
      </c>
      <c r="D1030" s="3">
        <v>5504.66</v>
      </c>
      <c r="E1030" s="7" t="s">
        <v>12</v>
      </c>
    </row>
    <row r="1031" spans="1:5" x14ac:dyDescent="0.2">
      <c r="A1031" s="31">
        <v>45226</v>
      </c>
      <c r="B1031" s="2">
        <v>1167</v>
      </c>
      <c r="C1031" s="2">
        <v>270</v>
      </c>
      <c r="D1031" s="3">
        <v>4375.83</v>
      </c>
      <c r="E1031" s="7" t="s">
        <v>12</v>
      </c>
    </row>
    <row r="1032" spans="1:5" x14ac:dyDescent="0.2">
      <c r="A1032" s="31">
        <v>45227</v>
      </c>
      <c r="B1032" s="2">
        <v>1108</v>
      </c>
      <c r="C1032" s="2">
        <v>272</v>
      </c>
      <c r="D1032" s="3">
        <v>2858.56</v>
      </c>
      <c r="E1032" s="7" t="s">
        <v>12</v>
      </c>
    </row>
    <row r="1033" spans="1:5" x14ac:dyDescent="0.2">
      <c r="A1033" s="31">
        <v>45228</v>
      </c>
      <c r="B1033" s="2">
        <v>1134</v>
      </c>
      <c r="C1033" s="2">
        <v>274</v>
      </c>
      <c r="D1033" s="3">
        <v>4531.58</v>
      </c>
      <c r="E1033" s="7" t="s">
        <v>12</v>
      </c>
    </row>
    <row r="1034" spans="1:5" x14ac:dyDescent="0.2">
      <c r="A1034" s="31">
        <v>45229</v>
      </c>
      <c r="B1034" s="2">
        <v>1148</v>
      </c>
      <c r="C1034" s="2">
        <v>251</v>
      </c>
      <c r="D1034" s="3">
        <v>4586.5</v>
      </c>
      <c r="E1034" s="7" t="s">
        <v>12</v>
      </c>
    </row>
    <row r="1035" spans="1:5" x14ac:dyDescent="0.2">
      <c r="A1035" s="31">
        <v>45230</v>
      </c>
      <c r="B1035" s="2">
        <v>1151</v>
      </c>
      <c r="C1035" s="2">
        <v>282</v>
      </c>
      <c r="D1035" s="3">
        <v>5371.9</v>
      </c>
      <c r="E1035" s="7" t="s">
        <v>12</v>
      </c>
    </row>
    <row r="1036" spans="1:5" x14ac:dyDescent="0.2">
      <c r="A1036" s="31">
        <v>45231</v>
      </c>
      <c r="B1036" s="2">
        <v>1129</v>
      </c>
      <c r="C1036" s="2">
        <v>250</v>
      </c>
      <c r="D1036" s="3">
        <v>4203.42</v>
      </c>
      <c r="E1036" s="7" t="s">
        <v>12</v>
      </c>
    </row>
    <row r="1037" spans="1:5" x14ac:dyDescent="0.2">
      <c r="A1037" s="31">
        <v>45232</v>
      </c>
      <c r="B1037" s="2">
        <v>1135</v>
      </c>
      <c r="C1037" s="2">
        <v>273</v>
      </c>
      <c r="D1037" s="3">
        <v>4854.97</v>
      </c>
      <c r="E1037" s="7" t="s">
        <v>12</v>
      </c>
    </row>
    <row r="1038" spans="1:5" x14ac:dyDescent="0.2">
      <c r="A1038" s="31">
        <v>45233</v>
      </c>
      <c r="B1038" s="2">
        <v>1089</v>
      </c>
      <c r="C1038" s="2">
        <v>245</v>
      </c>
      <c r="D1038" s="3">
        <v>3580.89</v>
      </c>
      <c r="E1038" s="7" t="s">
        <v>12</v>
      </c>
    </row>
    <row r="1039" spans="1:5" x14ac:dyDescent="0.2">
      <c r="A1039" s="31">
        <v>45234</v>
      </c>
      <c r="B1039" s="2">
        <v>1161</v>
      </c>
      <c r="C1039" s="2">
        <v>266</v>
      </c>
      <c r="D1039" s="3">
        <v>4455</v>
      </c>
      <c r="E1039" s="7" t="s">
        <v>12</v>
      </c>
    </row>
    <row r="1040" spans="1:5" x14ac:dyDescent="0.2">
      <c r="A1040" s="31">
        <v>45235</v>
      </c>
      <c r="B1040" s="2">
        <v>1179</v>
      </c>
      <c r="C1040" s="2">
        <v>269</v>
      </c>
      <c r="D1040" s="3">
        <v>4668.22</v>
      </c>
      <c r="E1040" s="7" t="s">
        <v>12</v>
      </c>
    </row>
    <row r="1041" spans="1:5" x14ac:dyDescent="0.2">
      <c r="A1041" s="31">
        <v>45236</v>
      </c>
      <c r="B1041" s="2">
        <v>1179</v>
      </c>
      <c r="C1041" s="2">
        <v>262</v>
      </c>
      <c r="D1041" s="3">
        <v>4310.96</v>
      </c>
      <c r="E1041" s="7" t="s">
        <v>12</v>
      </c>
    </row>
    <row r="1042" spans="1:5" x14ac:dyDescent="0.2">
      <c r="A1042" s="31">
        <v>45237</v>
      </c>
      <c r="B1042" s="2">
        <v>1133</v>
      </c>
      <c r="C1042" s="2">
        <v>250</v>
      </c>
      <c r="D1042" s="3">
        <v>4194.21</v>
      </c>
      <c r="E1042" s="7" t="s">
        <v>12</v>
      </c>
    </row>
    <row r="1043" spans="1:5" x14ac:dyDescent="0.2">
      <c r="A1043" s="31">
        <v>45238</v>
      </c>
      <c r="B1043" s="2">
        <v>1129</v>
      </c>
      <c r="C1043" s="2">
        <v>254</v>
      </c>
      <c r="D1043" s="3">
        <v>3360.66</v>
      </c>
      <c r="E1043" s="7" t="s">
        <v>12</v>
      </c>
    </row>
    <row r="1044" spans="1:5" x14ac:dyDescent="0.2">
      <c r="A1044" s="31">
        <v>45239</v>
      </c>
      <c r="B1044" s="2">
        <v>1125</v>
      </c>
      <c r="C1044" s="2">
        <v>262</v>
      </c>
      <c r="D1044" s="3">
        <v>4345.68</v>
      </c>
      <c r="E1044" s="7" t="s">
        <v>12</v>
      </c>
    </row>
    <row r="1045" spans="1:5" x14ac:dyDescent="0.2">
      <c r="A1045" s="31">
        <v>45240</v>
      </c>
      <c r="B1045" s="2">
        <v>1205</v>
      </c>
      <c r="C1045" s="2">
        <v>272</v>
      </c>
      <c r="D1045" s="3">
        <v>3541.83</v>
      </c>
      <c r="E1045" s="7" t="s">
        <v>12</v>
      </c>
    </row>
    <row r="1046" spans="1:5" x14ac:dyDescent="0.2">
      <c r="A1046" s="31">
        <v>45241</v>
      </c>
      <c r="B1046" s="2">
        <v>1168</v>
      </c>
      <c r="C1046" s="2">
        <v>281</v>
      </c>
      <c r="D1046" s="3">
        <v>3891.79</v>
      </c>
      <c r="E1046" s="7" t="s">
        <v>12</v>
      </c>
    </row>
    <row r="1047" spans="1:5" x14ac:dyDescent="0.2">
      <c r="A1047" s="31">
        <v>45242</v>
      </c>
      <c r="B1047" s="2">
        <v>1180</v>
      </c>
      <c r="C1047" s="2">
        <v>296</v>
      </c>
      <c r="D1047" s="3">
        <v>4372.9799999999996</v>
      </c>
      <c r="E1047" s="7" t="s">
        <v>12</v>
      </c>
    </row>
    <row r="1048" spans="1:5" x14ac:dyDescent="0.2">
      <c r="A1048" s="31">
        <v>45243</v>
      </c>
      <c r="B1048" s="2">
        <v>1181</v>
      </c>
      <c r="C1048" s="2">
        <v>243</v>
      </c>
      <c r="D1048" s="3">
        <v>3219.71</v>
      </c>
      <c r="E1048" s="7" t="s">
        <v>12</v>
      </c>
    </row>
    <row r="1049" spans="1:5" x14ac:dyDescent="0.2">
      <c r="A1049" s="31">
        <v>45244</v>
      </c>
      <c r="B1049" s="2">
        <v>1084</v>
      </c>
      <c r="C1049" s="2">
        <v>251</v>
      </c>
      <c r="D1049" s="3">
        <v>3766.68</v>
      </c>
      <c r="E1049" s="7" t="s">
        <v>12</v>
      </c>
    </row>
    <row r="1050" spans="1:5" x14ac:dyDescent="0.2">
      <c r="A1050" s="31">
        <v>45245</v>
      </c>
      <c r="B1050" s="2">
        <v>1163</v>
      </c>
      <c r="C1050" s="2">
        <v>288</v>
      </c>
      <c r="D1050" s="3">
        <v>5271.75</v>
      </c>
      <c r="E1050" s="7" t="s">
        <v>12</v>
      </c>
    </row>
    <row r="1051" spans="1:5" x14ac:dyDescent="0.2">
      <c r="A1051" s="31">
        <v>45246</v>
      </c>
      <c r="B1051" s="2">
        <v>1137</v>
      </c>
      <c r="C1051" s="2">
        <v>244</v>
      </c>
      <c r="D1051" s="3">
        <v>3635.06</v>
      </c>
      <c r="E1051" s="7" t="s">
        <v>12</v>
      </c>
    </row>
    <row r="1052" spans="1:5" x14ac:dyDescent="0.2">
      <c r="A1052" s="31">
        <v>45247</v>
      </c>
      <c r="B1052" s="2">
        <v>1146</v>
      </c>
      <c r="C1052" s="2">
        <v>256</v>
      </c>
      <c r="D1052" s="3">
        <v>4241.3</v>
      </c>
      <c r="E1052" s="7" t="s">
        <v>12</v>
      </c>
    </row>
    <row r="1053" spans="1:5" x14ac:dyDescent="0.2">
      <c r="A1053" s="31">
        <v>45248</v>
      </c>
      <c r="B1053" s="2">
        <v>1153</v>
      </c>
      <c r="C1053" s="2">
        <v>255</v>
      </c>
      <c r="D1053" s="3">
        <v>4244.8599999999997</v>
      </c>
      <c r="E1053" s="7" t="s">
        <v>12</v>
      </c>
    </row>
    <row r="1054" spans="1:5" x14ac:dyDescent="0.2">
      <c r="A1054" s="31">
        <v>45249</v>
      </c>
      <c r="B1054" s="2">
        <v>1108</v>
      </c>
      <c r="C1054" s="2">
        <v>244</v>
      </c>
      <c r="D1054" s="3">
        <v>4067.63</v>
      </c>
      <c r="E1054" s="7" t="s">
        <v>12</v>
      </c>
    </row>
    <row r="1055" spans="1:5" x14ac:dyDescent="0.2">
      <c r="A1055" s="31">
        <v>45250</v>
      </c>
      <c r="B1055" s="2">
        <v>1168</v>
      </c>
      <c r="C1055" s="2">
        <v>271</v>
      </c>
      <c r="D1055" s="3">
        <v>3694.77</v>
      </c>
      <c r="E1055" s="7" t="s">
        <v>12</v>
      </c>
    </row>
    <row r="1056" spans="1:5" x14ac:dyDescent="0.2">
      <c r="A1056" s="31">
        <v>45251</v>
      </c>
      <c r="B1056" s="2">
        <v>1115</v>
      </c>
      <c r="C1056" s="2">
        <v>264</v>
      </c>
      <c r="D1056" s="3">
        <v>4115.8</v>
      </c>
      <c r="E1056" s="7" t="s">
        <v>12</v>
      </c>
    </row>
    <row r="1057" spans="1:5" x14ac:dyDescent="0.2">
      <c r="A1057" s="31">
        <v>45252</v>
      </c>
      <c r="B1057" s="2">
        <v>1170</v>
      </c>
      <c r="C1057" s="2">
        <v>246</v>
      </c>
      <c r="D1057" s="3">
        <v>3936.89</v>
      </c>
      <c r="E1057" s="7" t="s">
        <v>12</v>
      </c>
    </row>
    <row r="1058" spans="1:5" x14ac:dyDescent="0.2">
      <c r="A1058" s="31">
        <v>45253</v>
      </c>
      <c r="B1058" s="2">
        <v>1114</v>
      </c>
      <c r="C1058" s="2">
        <v>285</v>
      </c>
      <c r="D1058" s="3">
        <v>4217.57</v>
      </c>
      <c r="E1058" s="7" t="s">
        <v>12</v>
      </c>
    </row>
    <row r="1059" spans="1:5" x14ac:dyDescent="0.2">
      <c r="A1059" s="31">
        <v>45254</v>
      </c>
      <c r="B1059" s="2">
        <v>1171</v>
      </c>
      <c r="C1059" s="2">
        <v>272</v>
      </c>
      <c r="D1059" s="3">
        <v>4925.71</v>
      </c>
      <c r="E1059" s="7" t="s">
        <v>12</v>
      </c>
    </row>
    <row r="1060" spans="1:5" x14ac:dyDescent="0.2">
      <c r="A1060" s="31">
        <v>45255</v>
      </c>
      <c r="B1060" s="2">
        <v>1187</v>
      </c>
      <c r="C1060" s="2">
        <v>281</v>
      </c>
      <c r="D1060" s="3">
        <v>4361.8999999999996</v>
      </c>
      <c r="E1060" s="7" t="s">
        <v>12</v>
      </c>
    </row>
    <row r="1061" spans="1:5" x14ac:dyDescent="0.2">
      <c r="A1061" s="31">
        <v>45256</v>
      </c>
      <c r="B1061" s="2">
        <v>1183</v>
      </c>
      <c r="C1061" s="2">
        <v>283</v>
      </c>
      <c r="D1061" s="3">
        <v>4164.7299999999996</v>
      </c>
      <c r="E1061" s="7" t="s">
        <v>12</v>
      </c>
    </row>
    <row r="1062" spans="1:5" x14ac:dyDescent="0.2">
      <c r="A1062" s="31">
        <v>45257</v>
      </c>
      <c r="B1062" s="2">
        <v>1138</v>
      </c>
      <c r="C1062" s="2">
        <v>246</v>
      </c>
      <c r="D1062" s="3">
        <v>3407.99</v>
      </c>
      <c r="E1062" s="7" t="s">
        <v>12</v>
      </c>
    </row>
    <row r="1063" spans="1:5" x14ac:dyDescent="0.2">
      <c r="A1063" s="31">
        <v>45258</v>
      </c>
      <c r="B1063" s="2">
        <v>1165</v>
      </c>
      <c r="C1063" s="2">
        <v>252</v>
      </c>
      <c r="D1063" s="3">
        <v>3346.14</v>
      </c>
      <c r="E1063" s="7" t="s">
        <v>12</v>
      </c>
    </row>
    <row r="1064" spans="1:5" x14ac:dyDescent="0.2">
      <c r="A1064" s="31">
        <v>45259</v>
      </c>
      <c r="B1064" s="2">
        <v>1110</v>
      </c>
      <c r="C1064" s="2">
        <v>263</v>
      </c>
      <c r="D1064" s="3">
        <v>4031.52</v>
      </c>
      <c r="E1064" s="7" t="s">
        <v>12</v>
      </c>
    </row>
    <row r="1065" spans="1:5" x14ac:dyDescent="0.2">
      <c r="A1065" s="31">
        <v>45260</v>
      </c>
      <c r="B1065" s="2">
        <v>1164</v>
      </c>
      <c r="C1065" s="2">
        <v>284</v>
      </c>
      <c r="D1065" s="3">
        <v>5081.68</v>
      </c>
      <c r="E1065" s="7" t="s">
        <v>12</v>
      </c>
    </row>
    <row r="1066" spans="1:5" x14ac:dyDescent="0.2">
      <c r="A1066" s="31">
        <v>45261</v>
      </c>
      <c r="B1066" s="2">
        <v>1196</v>
      </c>
      <c r="C1066" s="2">
        <v>272</v>
      </c>
      <c r="D1066" s="3">
        <v>5121.2299999999996</v>
      </c>
      <c r="E1066" s="7" t="s">
        <v>12</v>
      </c>
    </row>
    <row r="1067" spans="1:5" x14ac:dyDescent="0.2">
      <c r="A1067" s="31">
        <v>45262</v>
      </c>
      <c r="B1067" s="2">
        <v>1158</v>
      </c>
      <c r="C1067" s="2">
        <v>295</v>
      </c>
      <c r="D1067" s="3">
        <v>4776.32</v>
      </c>
      <c r="E1067" s="7" t="s">
        <v>12</v>
      </c>
    </row>
    <row r="1068" spans="1:5" x14ac:dyDescent="0.2">
      <c r="A1068" s="31">
        <v>45263</v>
      </c>
      <c r="B1068" s="2">
        <v>1139</v>
      </c>
      <c r="C1068" s="2">
        <v>264</v>
      </c>
      <c r="D1068" s="3">
        <v>3948.97</v>
      </c>
      <c r="E1068" s="7" t="s">
        <v>12</v>
      </c>
    </row>
    <row r="1069" spans="1:5" x14ac:dyDescent="0.2">
      <c r="A1069" s="31">
        <v>45264</v>
      </c>
      <c r="B1069" s="2">
        <v>1139</v>
      </c>
      <c r="C1069" s="2">
        <v>264</v>
      </c>
      <c r="D1069" s="3">
        <v>4677.17</v>
      </c>
      <c r="E1069" s="7" t="s">
        <v>12</v>
      </c>
    </row>
    <row r="1070" spans="1:5" x14ac:dyDescent="0.2">
      <c r="A1070" s="31">
        <v>45265</v>
      </c>
      <c r="B1070" s="2">
        <v>1147</v>
      </c>
      <c r="C1070" s="2">
        <v>270</v>
      </c>
      <c r="D1070" s="3">
        <v>3357.66</v>
      </c>
      <c r="E1070" s="7" t="s">
        <v>12</v>
      </c>
    </row>
    <row r="1071" spans="1:5" x14ac:dyDescent="0.2">
      <c r="A1071" s="31">
        <v>45266</v>
      </c>
      <c r="B1071" s="2">
        <v>1204</v>
      </c>
      <c r="C1071" s="2">
        <v>277</v>
      </c>
      <c r="D1071" s="3">
        <v>3899.73</v>
      </c>
      <c r="E1071" s="7" t="s">
        <v>12</v>
      </c>
    </row>
    <row r="1072" spans="1:5" x14ac:dyDescent="0.2">
      <c r="A1072" s="31">
        <v>45267</v>
      </c>
      <c r="B1072" s="2">
        <v>1157</v>
      </c>
      <c r="C1072" s="2">
        <v>286</v>
      </c>
      <c r="D1072" s="3">
        <v>4441.8599999999997</v>
      </c>
      <c r="E1072" s="7" t="s">
        <v>12</v>
      </c>
    </row>
    <row r="1073" spans="1:5" x14ac:dyDescent="0.2">
      <c r="A1073" s="31">
        <v>45268</v>
      </c>
      <c r="B1073" s="2">
        <v>1141</v>
      </c>
      <c r="C1073" s="2">
        <v>260</v>
      </c>
      <c r="D1073" s="3">
        <v>4473.97</v>
      </c>
      <c r="E1073" s="7" t="s">
        <v>12</v>
      </c>
    </row>
    <row r="1074" spans="1:5" x14ac:dyDescent="0.2">
      <c r="A1074" s="31">
        <v>45269</v>
      </c>
      <c r="B1074" s="2">
        <v>1140</v>
      </c>
      <c r="C1074" s="2">
        <v>261</v>
      </c>
      <c r="D1074" s="3">
        <v>4303.3100000000004</v>
      </c>
      <c r="E1074" s="7" t="s">
        <v>12</v>
      </c>
    </row>
    <row r="1075" spans="1:5" x14ac:dyDescent="0.2">
      <c r="A1075" s="31">
        <v>45270</v>
      </c>
      <c r="B1075" s="2">
        <v>1126</v>
      </c>
      <c r="C1075" s="2">
        <v>268</v>
      </c>
      <c r="D1075" s="3">
        <v>4390.62</v>
      </c>
      <c r="E1075" s="7" t="s">
        <v>12</v>
      </c>
    </row>
    <row r="1076" spans="1:5" x14ac:dyDescent="0.2">
      <c r="A1076" s="31">
        <v>45271</v>
      </c>
      <c r="B1076" s="2">
        <v>1134</v>
      </c>
      <c r="C1076" s="2">
        <v>252</v>
      </c>
      <c r="D1076" s="3">
        <v>4087.65</v>
      </c>
      <c r="E1076" s="7" t="s">
        <v>12</v>
      </c>
    </row>
    <row r="1077" spans="1:5" x14ac:dyDescent="0.2">
      <c r="A1077" s="31">
        <v>45272</v>
      </c>
      <c r="B1077" s="2">
        <v>1164</v>
      </c>
      <c r="C1077" s="2">
        <v>272</v>
      </c>
      <c r="D1077" s="3">
        <v>4374.6000000000004</v>
      </c>
      <c r="E1077" s="7" t="s">
        <v>12</v>
      </c>
    </row>
    <row r="1078" spans="1:5" x14ac:dyDescent="0.2">
      <c r="A1078" s="31">
        <v>45273</v>
      </c>
      <c r="B1078" s="2">
        <v>1176</v>
      </c>
      <c r="C1078" s="2">
        <v>251</v>
      </c>
      <c r="D1078" s="3">
        <v>3974.27</v>
      </c>
      <c r="E1078" s="7" t="s">
        <v>12</v>
      </c>
    </row>
    <row r="1079" spans="1:5" x14ac:dyDescent="0.2">
      <c r="A1079" s="31">
        <v>45274</v>
      </c>
      <c r="B1079" s="2">
        <v>1166</v>
      </c>
      <c r="C1079" s="2">
        <v>270</v>
      </c>
      <c r="D1079" s="3">
        <v>4151.0200000000004</v>
      </c>
      <c r="E1079" s="7" t="s">
        <v>12</v>
      </c>
    </row>
    <row r="1080" spans="1:5" x14ac:dyDescent="0.2">
      <c r="A1080" s="31">
        <v>45275</v>
      </c>
      <c r="B1080" s="2">
        <v>1203</v>
      </c>
      <c r="C1080" s="2">
        <v>292</v>
      </c>
      <c r="D1080" s="3">
        <v>4742.2</v>
      </c>
      <c r="E1080" s="7" t="s">
        <v>12</v>
      </c>
    </row>
    <row r="1081" spans="1:5" x14ac:dyDescent="0.2">
      <c r="A1081" s="31">
        <v>45276</v>
      </c>
      <c r="B1081" s="2">
        <v>1122</v>
      </c>
      <c r="C1081" s="2">
        <v>273</v>
      </c>
      <c r="D1081" s="3">
        <v>3449.65</v>
      </c>
      <c r="E1081" s="7" t="s">
        <v>12</v>
      </c>
    </row>
    <row r="1082" spans="1:5" x14ac:dyDescent="0.2">
      <c r="A1082" s="31">
        <v>45277</v>
      </c>
      <c r="B1082" s="2">
        <v>1114</v>
      </c>
      <c r="C1082" s="2">
        <v>248</v>
      </c>
      <c r="D1082" s="3">
        <v>3414.24</v>
      </c>
      <c r="E1082" s="7" t="s">
        <v>12</v>
      </c>
    </row>
    <row r="1083" spans="1:5" x14ac:dyDescent="0.2">
      <c r="A1083" s="31">
        <v>45278</v>
      </c>
      <c r="B1083" s="2">
        <v>1177</v>
      </c>
      <c r="C1083" s="2">
        <v>270</v>
      </c>
      <c r="D1083" s="3">
        <v>3613.87</v>
      </c>
      <c r="E1083" s="7" t="s">
        <v>12</v>
      </c>
    </row>
    <row r="1084" spans="1:5" x14ac:dyDescent="0.2">
      <c r="A1084" s="31">
        <v>45279</v>
      </c>
      <c r="B1084" s="2">
        <v>1147</v>
      </c>
      <c r="C1084" s="2">
        <v>246</v>
      </c>
      <c r="D1084" s="3">
        <v>3375.58</v>
      </c>
      <c r="E1084" s="7" t="s">
        <v>12</v>
      </c>
    </row>
    <row r="1085" spans="1:5" x14ac:dyDescent="0.2">
      <c r="A1085" s="31">
        <v>45280</v>
      </c>
      <c r="B1085" s="2">
        <v>1146</v>
      </c>
      <c r="C1085" s="2">
        <v>271</v>
      </c>
      <c r="D1085" s="3">
        <v>4444.8</v>
      </c>
      <c r="E1085" s="7" t="s">
        <v>12</v>
      </c>
    </row>
    <row r="1086" spans="1:5" x14ac:dyDescent="0.2">
      <c r="A1086" s="31">
        <v>45281</v>
      </c>
      <c r="B1086" s="2">
        <v>1156</v>
      </c>
      <c r="C1086" s="2">
        <v>247</v>
      </c>
      <c r="D1086" s="3">
        <v>4872.91</v>
      </c>
      <c r="E1086" s="7" t="s">
        <v>12</v>
      </c>
    </row>
    <row r="1087" spans="1:5" x14ac:dyDescent="0.2">
      <c r="A1087" s="31">
        <v>45282</v>
      </c>
      <c r="B1087" s="2">
        <v>1128</v>
      </c>
      <c r="C1087" s="2">
        <v>270</v>
      </c>
      <c r="D1087" s="3">
        <v>4058.65</v>
      </c>
      <c r="E1087" s="7" t="s">
        <v>12</v>
      </c>
    </row>
    <row r="1088" spans="1:5" x14ac:dyDescent="0.2">
      <c r="A1088" s="31">
        <v>45283</v>
      </c>
      <c r="B1088" s="2">
        <v>1215</v>
      </c>
      <c r="C1088" s="2">
        <v>273</v>
      </c>
      <c r="D1088" s="3">
        <v>3802.16</v>
      </c>
      <c r="E1088" s="7" t="s">
        <v>12</v>
      </c>
    </row>
    <row r="1089" spans="1:5" x14ac:dyDescent="0.2">
      <c r="A1089" s="31">
        <v>45284</v>
      </c>
      <c r="B1089" s="2">
        <v>1130</v>
      </c>
      <c r="C1089" s="2">
        <v>286</v>
      </c>
      <c r="D1089" s="3">
        <v>3527.43</v>
      </c>
      <c r="E1089" s="7" t="s">
        <v>12</v>
      </c>
    </row>
    <row r="1090" spans="1:5" x14ac:dyDescent="0.2">
      <c r="A1090" s="31">
        <v>45285</v>
      </c>
      <c r="B1090" s="2">
        <v>1145</v>
      </c>
      <c r="C1090" s="2">
        <v>235</v>
      </c>
      <c r="D1090" s="3">
        <v>3689.43</v>
      </c>
      <c r="E1090" s="7" t="s">
        <v>12</v>
      </c>
    </row>
    <row r="1091" spans="1:5" x14ac:dyDescent="0.2">
      <c r="A1091" s="31">
        <v>45286</v>
      </c>
      <c r="B1091" s="2">
        <v>1133</v>
      </c>
      <c r="C1091" s="2">
        <v>274</v>
      </c>
      <c r="D1091" s="3">
        <v>4962.5200000000004</v>
      </c>
      <c r="E1091" s="7" t="s">
        <v>12</v>
      </c>
    </row>
    <row r="1092" spans="1:5" x14ac:dyDescent="0.2">
      <c r="A1092" s="31">
        <v>45287</v>
      </c>
      <c r="B1092" s="2">
        <v>1134</v>
      </c>
      <c r="C1092" s="2">
        <v>267</v>
      </c>
      <c r="D1092" s="3">
        <v>4334.3</v>
      </c>
      <c r="E1092" s="7" t="s">
        <v>12</v>
      </c>
    </row>
    <row r="1093" spans="1:5" x14ac:dyDescent="0.2">
      <c r="A1093" s="31">
        <v>45288</v>
      </c>
      <c r="B1093" s="2">
        <v>1162</v>
      </c>
      <c r="C1093" s="2">
        <v>284</v>
      </c>
      <c r="D1093" s="3">
        <v>4856.16</v>
      </c>
      <c r="E1093" s="7" t="s">
        <v>12</v>
      </c>
    </row>
    <row r="1094" spans="1:5" x14ac:dyDescent="0.2">
      <c r="A1094" s="31">
        <v>45289</v>
      </c>
      <c r="B1094" s="2">
        <v>1166</v>
      </c>
      <c r="C1094" s="2">
        <v>247</v>
      </c>
      <c r="D1094" s="3">
        <v>3416.9</v>
      </c>
      <c r="E1094" s="7" t="s">
        <v>12</v>
      </c>
    </row>
    <row r="1095" spans="1:5" x14ac:dyDescent="0.2">
      <c r="A1095" s="31">
        <v>45290</v>
      </c>
      <c r="B1095" s="2">
        <v>1193</v>
      </c>
      <c r="C1095" s="2">
        <v>276</v>
      </c>
      <c r="D1095" s="3">
        <v>4728.2299999999996</v>
      </c>
      <c r="E1095" s="7" t="s">
        <v>12</v>
      </c>
    </row>
    <row r="1096" spans="1:5" x14ac:dyDescent="0.2">
      <c r="A1096" s="31">
        <v>45291</v>
      </c>
      <c r="B1096" s="2">
        <v>1139</v>
      </c>
      <c r="C1096" s="2">
        <v>250</v>
      </c>
      <c r="D1096" s="3">
        <v>4598.3100000000004</v>
      </c>
      <c r="E1096" s="7" t="s">
        <v>12</v>
      </c>
    </row>
    <row r="1097" spans="1:5" x14ac:dyDescent="0.2">
      <c r="A1097" s="31">
        <v>45292</v>
      </c>
      <c r="B1097" s="2">
        <v>1144</v>
      </c>
      <c r="C1097" s="2">
        <v>268</v>
      </c>
      <c r="D1097" s="3">
        <v>3770.74</v>
      </c>
      <c r="E1097" s="7" t="s">
        <v>12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8C5C9-45A4-ED43-BC77-F76549014601}">
  <dimension ref="A1:I37"/>
  <sheetViews>
    <sheetView workbookViewId="0">
      <selection activeCell="C2" sqref="C2"/>
    </sheetView>
  </sheetViews>
  <sheetFormatPr baseColWidth="10" defaultRowHeight="16" x14ac:dyDescent="0.2"/>
  <cols>
    <col min="1" max="1" width="10.1640625" style="31" customWidth="1"/>
    <col min="2" max="2" width="15" style="31" bestFit="1" customWidth="1"/>
    <col min="3" max="3" width="19.1640625" style="3" bestFit="1" customWidth="1"/>
    <col min="4" max="4" width="14.1640625" style="3" bestFit="1" customWidth="1"/>
    <col min="5" max="5" width="14" style="3" bestFit="1" customWidth="1"/>
    <col min="6" max="6" width="11" style="11" customWidth="1"/>
    <col min="7" max="7" width="15.33203125" style="11" bestFit="1" customWidth="1"/>
    <col min="8" max="8" width="14.6640625" style="11" bestFit="1" customWidth="1"/>
    <col min="9" max="9" width="21.6640625" bestFit="1" customWidth="1"/>
  </cols>
  <sheetData>
    <row r="1" spans="1:9" x14ac:dyDescent="0.2">
      <c r="A1" s="31" t="s">
        <v>0</v>
      </c>
      <c r="B1" s="31" t="s">
        <v>41</v>
      </c>
      <c r="C1" s="3" t="s">
        <v>42</v>
      </c>
      <c r="D1" s="3" t="s">
        <v>39</v>
      </c>
      <c r="E1" s="3" t="s">
        <v>40</v>
      </c>
      <c r="F1" s="11" t="s">
        <v>43</v>
      </c>
      <c r="G1" s="11" t="s">
        <v>46</v>
      </c>
      <c r="H1" s="11" t="s">
        <v>45</v>
      </c>
      <c r="I1" s="3" t="s">
        <v>47</v>
      </c>
    </row>
    <row r="2" spans="1:9" x14ac:dyDescent="0.2">
      <c r="A2" s="31">
        <v>45261</v>
      </c>
      <c r="B2" s="3">
        <v>5121.2299999999996</v>
      </c>
      <c r="C2" s="3">
        <f>_xlfn.FORECAST.ETS(forecastTable[[#This Row],[Date]], filteredDataPasted!$D$2:$D$1065, filteredDataPasted!$A$2:$A$1065, 1, 1)</f>
        <v>4614.2929700887125</v>
      </c>
      <c r="D2" s="3">
        <f>C2 - _xlfn.FORECAST.ETS.CONFINT(forecastTable[[#This Row],[Date]], filteredDataPasted!$D$2:$D$1065, filteredDataPasted!$A$2:$A$1065, 0.95, 1, 1)</f>
        <v>3325.1220539516016</v>
      </c>
      <c r="E2" s="3">
        <f>C2 + _xlfn.FORECAST.ETS.CONFINT(forecastTable[[#This Row],[Date]], filteredDataPasted!$D$2:$D$1065, filteredDataPasted!$A$2:$A$1065, 0.95, 1, 1)</f>
        <v>5903.4638862258234</v>
      </c>
      <c r="F2" s="11">
        <f>forecastTable[[#This Row],[Forecasted Values]]-forecastTable[[#This Row],[Actual Values]]</f>
        <v>-506.93702991128703</v>
      </c>
      <c r="G2" s="11">
        <f>ABS(forecastTable[[#This Row],[Error]])</f>
        <v>506.93702991128703</v>
      </c>
      <c r="H2" s="11">
        <f>forecastTable[[#This Row],[Error]]^2</f>
        <v>256985.1522952771</v>
      </c>
      <c r="I2" s="11">
        <f>IF(forecastTable[[#This Row],[Actual Values]]=0, "", ABS(forecastTable[[#This Row],[Error]] / forecastTable[[#This Row],[Actual Values]]))</f>
        <v>9.89873584883489E-2</v>
      </c>
    </row>
    <row r="3" spans="1:9" x14ac:dyDescent="0.2">
      <c r="A3" s="31">
        <v>45262</v>
      </c>
      <c r="B3" s="3">
        <v>4776.32</v>
      </c>
      <c r="C3" s="3">
        <f>_xlfn.FORECAST.ETS(forecastTable[[#This Row],[Date]], filteredDataPasted!$D$2:$D$1065, filteredDataPasted!$A$2:$A$1065, 1, 1)</f>
        <v>4509.2945386645297</v>
      </c>
      <c r="D3" s="3">
        <f>C3 - _xlfn.FORECAST.ETS.CONFINT(forecastTable[[#This Row],[Date]], filteredDataPasted!$D$2:$D$1065, filteredDataPasted!$A$2:$A$1065, 0.95, 1, 1)</f>
        <v>3220.1178212713494</v>
      </c>
      <c r="E3" s="3">
        <f>C3 + _xlfn.FORECAST.ETS.CONFINT(forecastTable[[#This Row],[Date]], filteredDataPasted!$D$2:$D$1065, filteredDataPasted!$A$2:$A$1065, 0.95, 1, 1)</f>
        <v>5798.47125605771</v>
      </c>
      <c r="F3" s="11">
        <f>forecastTable[[#This Row],[Forecasted Values]]-forecastTable[[#This Row],[Actual Values]]</f>
        <v>-267.02546133547003</v>
      </c>
      <c r="G3" s="11">
        <f>ABS(forecastTable[[#This Row],[Error]])</f>
        <v>267.02546133547003</v>
      </c>
      <c r="H3" s="11">
        <f>forecastTable[[#This Row],[Error]]^2</f>
        <v>71302.597001420596</v>
      </c>
      <c r="I3" s="11">
        <f>IF(forecastTable[[#This Row],[Actual Values]]=0, "", ABS(forecastTable[[#This Row],[Error]] / forecastTable[[#This Row],[Actual Values]]))</f>
        <v>5.5906107910581794E-2</v>
      </c>
    </row>
    <row r="4" spans="1:9" x14ac:dyDescent="0.2">
      <c r="A4" s="31">
        <v>45263</v>
      </c>
      <c r="B4" s="3">
        <v>3948.97</v>
      </c>
      <c r="C4" s="3">
        <f>_xlfn.FORECAST.ETS(forecastTable[[#This Row],[Date]], filteredDataPasted!$D$2:$D$1065, filteredDataPasted!$A$2:$A$1065, 1, 1)</f>
        <v>4495.4821574847447</v>
      </c>
      <c r="D4" s="3">
        <f>C4 - _xlfn.FORECAST.ETS.CONFINT(forecastTable[[#This Row],[Date]], filteredDataPasted!$D$2:$D$1065, filteredDataPasted!$A$2:$A$1065, 0.95, 1, 1)</f>
        <v>3206.2951268118977</v>
      </c>
      <c r="E4" s="3">
        <f>C4 + _xlfn.FORECAST.ETS.CONFINT(forecastTable[[#This Row],[Date]], filteredDataPasted!$D$2:$D$1065, filteredDataPasted!$A$2:$A$1065, 0.95, 1, 1)</f>
        <v>5784.6691881575916</v>
      </c>
      <c r="F4" s="11">
        <f>forecastTable[[#This Row],[Forecasted Values]]-forecastTable[[#This Row],[Actual Values]]</f>
        <v>546.51215748474488</v>
      </c>
      <c r="G4" s="11">
        <f>ABS(forecastTable[[#This Row],[Error]])</f>
        <v>546.51215748474488</v>
      </c>
      <c r="H4" s="11">
        <f>forecastTable[[#This Row],[Error]]^2</f>
        <v>298675.53827863059</v>
      </c>
      <c r="I4" s="11">
        <f>IF(forecastTable[[#This Row],[Actual Values]]=0, "", ABS(forecastTable[[#This Row],[Error]] / forecastTable[[#This Row],[Actual Values]]))</f>
        <v>0.1383935956679197</v>
      </c>
    </row>
    <row r="5" spans="1:9" x14ac:dyDescent="0.2">
      <c r="A5" s="31">
        <v>45264</v>
      </c>
      <c r="B5" s="3">
        <v>4677.17</v>
      </c>
      <c r="C5" s="3">
        <f>_xlfn.FORECAST.ETS(forecastTable[[#This Row],[Date]], filteredDataPasted!$D$2:$D$1065, filteredDataPasted!$A$2:$A$1065, 1, 1)</f>
        <v>4202.8326840334439</v>
      </c>
      <c r="D5" s="3">
        <f>C5 - _xlfn.FORECAST.ETS.CONFINT(forecastTable[[#This Row],[Date]], filteredDataPasted!$D$2:$D$1065, filteredDataPasted!$A$2:$A$1065, 0.95, 1, 1)</f>
        <v>2913.6295390262858</v>
      </c>
      <c r="E5" s="3">
        <f>C5 + _xlfn.FORECAST.ETS.CONFINT(forecastTable[[#This Row],[Date]], filteredDataPasted!$D$2:$D$1065, filteredDataPasted!$A$2:$A$1065, 0.95, 1, 1)</f>
        <v>5492.035829040602</v>
      </c>
      <c r="F5" s="11">
        <f>forecastTable[[#This Row],[Forecasted Values]]-forecastTable[[#This Row],[Actual Values]]</f>
        <v>-474.33731596655616</v>
      </c>
      <c r="G5" s="11">
        <f>ABS(forecastTable[[#This Row],[Error]])</f>
        <v>474.33731596655616</v>
      </c>
      <c r="H5" s="11">
        <f>forecastTable[[#This Row],[Error]]^2</f>
        <v>224995.88931835652</v>
      </c>
      <c r="I5" s="11">
        <f>IF(forecastTable[[#This Row],[Actual Values]]=0, "", ABS(forecastTable[[#This Row],[Error]] / forecastTable[[#This Row],[Actual Values]]))</f>
        <v>0.10141545335460464</v>
      </c>
    </row>
    <row r="6" spans="1:9" x14ac:dyDescent="0.2">
      <c r="A6" s="31">
        <v>45265</v>
      </c>
      <c r="B6" s="3">
        <v>3357.66</v>
      </c>
      <c r="C6" s="3">
        <f>_xlfn.FORECAST.ETS(forecastTable[[#This Row],[Date]], filteredDataPasted!$D$2:$D$1065, filteredDataPasted!$A$2:$A$1065, 1, 1)</f>
        <v>4668.1925864876439</v>
      </c>
      <c r="D6" s="3">
        <f>C6 - _xlfn.FORECAST.ETS.CONFINT(forecastTable[[#This Row],[Date]], filteredDataPasted!$D$2:$D$1065, filteredDataPasted!$A$2:$A$1065, 0.95, 1, 1)</f>
        <v>3378.9662371929267</v>
      </c>
      <c r="E6" s="3">
        <f>C6 + _xlfn.FORECAST.ETS.CONFINT(forecastTable[[#This Row],[Date]], filteredDataPasted!$D$2:$D$1065, filteredDataPasted!$A$2:$A$1065, 0.95, 1, 1)</f>
        <v>5957.4189357823616</v>
      </c>
      <c r="F6" s="11">
        <f>forecastTable[[#This Row],[Forecasted Values]]-forecastTable[[#This Row],[Actual Values]]</f>
        <v>1310.532586487644</v>
      </c>
      <c r="G6" s="11">
        <f>ABS(forecastTable[[#This Row],[Error]])</f>
        <v>1310.532586487644</v>
      </c>
      <c r="H6" s="11">
        <f>forecastTable[[#This Row],[Error]]^2</f>
        <v>1717495.6602459941</v>
      </c>
      <c r="I6" s="11">
        <f>IF(forecastTable[[#This Row],[Actual Values]]=0, "", ABS(forecastTable[[#This Row],[Error]] / forecastTable[[#This Row],[Actual Values]]))</f>
        <v>0.39031128419424366</v>
      </c>
    </row>
    <row r="7" spans="1:9" x14ac:dyDescent="0.2">
      <c r="A7" s="31">
        <v>45266</v>
      </c>
      <c r="B7" s="3">
        <v>3899.73</v>
      </c>
      <c r="C7" s="3">
        <f>_xlfn.FORECAST.ETS(forecastTable[[#This Row],[Date]], filteredDataPasted!$D$2:$D$1065, filteredDataPasted!$A$2:$A$1065, 1, 1)</f>
        <v>5082.097785300356</v>
      </c>
      <c r="D7" s="3">
        <f>C7 - _xlfn.FORECAST.ETS.CONFINT(forecastTable[[#This Row],[Date]], filteredDataPasted!$D$2:$D$1065, filteredDataPasted!$A$2:$A$1065, 0.95, 1, 1)</f>
        <v>3792.8398530631002</v>
      </c>
      <c r="E7" s="3">
        <f>C7 + _xlfn.FORECAST.ETS.CONFINT(forecastTable[[#This Row],[Date]], filteredDataPasted!$D$2:$D$1065, filteredDataPasted!$A$2:$A$1065, 0.95, 1, 1)</f>
        <v>6371.3557175376118</v>
      </c>
      <c r="F7" s="11">
        <f>forecastTable[[#This Row],[Forecasted Values]]-forecastTable[[#This Row],[Actual Values]]</f>
        <v>1182.367785300356</v>
      </c>
      <c r="G7" s="11">
        <f>ABS(forecastTable[[#This Row],[Error]])</f>
        <v>1182.367785300356</v>
      </c>
      <c r="H7" s="11">
        <f>forecastTable[[#This Row],[Error]]^2</f>
        <v>1397993.5797160687</v>
      </c>
      <c r="I7" s="11">
        <f>IF(forecastTable[[#This Row],[Actual Values]]=0, "", ABS(forecastTable[[#This Row],[Error]] / forecastTable[[#This Row],[Actual Values]]))</f>
        <v>0.30319221723051493</v>
      </c>
    </row>
    <row r="8" spans="1:9" x14ac:dyDescent="0.2">
      <c r="A8" s="31">
        <v>45267</v>
      </c>
      <c r="B8" s="3">
        <v>4441.8599999999997</v>
      </c>
      <c r="C8" s="3">
        <f>_xlfn.FORECAST.ETS(forecastTable[[#This Row],[Date]], filteredDataPasted!$D$2:$D$1065, filteredDataPasted!$A$2:$A$1065, 1, 1)</f>
        <v>4614.7107553890673</v>
      </c>
      <c r="D8" s="3">
        <f>C8 - _xlfn.FORECAST.ETS.CONFINT(forecastTable[[#This Row],[Date]], filteredDataPasted!$D$2:$D$1065, filteredDataPasted!$A$2:$A$1065, 0.95, 1, 1)</f>
        <v>3283.240578789243</v>
      </c>
      <c r="E8" s="3">
        <f>C8 + _xlfn.FORECAST.ETS.CONFINT(forecastTable[[#This Row],[Date]], filteredDataPasted!$D$2:$D$1065, filteredDataPasted!$A$2:$A$1065, 0.95, 1, 1)</f>
        <v>5946.1809319888916</v>
      </c>
      <c r="F8" s="11">
        <f>forecastTable[[#This Row],[Forecasted Values]]-forecastTable[[#This Row],[Actual Values]]</f>
        <v>172.85075538906767</v>
      </c>
      <c r="G8" s="11">
        <f>ABS(forecastTable[[#This Row],[Error]])</f>
        <v>172.85075538906767</v>
      </c>
      <c r="H8" s="11">
        <f>forecastTable[[#This Row],[Error]]^2</f>
        <v>29877.383638571308</v>
      </c>
      <c r="I8" s="11">
        <f>IF(forecastTable[[#This Row],[Actual Values]]=0, "", ABS(forecastTable[[#This Row],[Error]] / forecastTable[[#This Row],[Actual Values]]))</f>
        <v>3.8914048481732355E-2</v>
      </c>
    </row>
    <row r="9" spans="1:9" x14ac:dyDescent="0.2">
      <c r="A9" s="31">
        <v>45268</v>
      </c>
      <c r="B9" s="3">
        <v>4473.97</v>
      </c>
      <c r="C9" s="3">
        <f>_xlfn.FORECAST.ETS(forecastTable[[#This Row],[Date]], filteredDataPasted!$D$2:$D$1065, filteredDataPasted!$A$2:$A$1065, 1, 1)</f>
        <v>4509.7123239648845</v>
      </c>
      <c r="D9" s="3">
        <f>C9 - _xlfn.FORECAST.ETS.CONFINT(forecastTable[[#This Row],[Date]], filteredDataPasted!$D$2:$D$1065, filteredDataPasted!$A$2:$A$1065, 0.95, 1, 1)</f>
        <v>3178.1915955988188</v>
      </c>
      <c r="E9" s="3">
        <f>C9 + _xlfn.FORECAST.ETS.CONFINT(forecastTable[[#This Row],[Date]], filteredDataPasted!$D$2:$D$1065, filteredDataPasted!$A$2:$A$1065, 0.95, 1, 1)</f>
        <v>5841.2330523309502</v>
      </c>
      <c r="F9" s="11">
        <f>forecastTable[[#This Row],[Forecasted Values]]-forecastTable[[#This Row],[Actual Values]]</f>
        <v>35.742323964884235</v>
      </c>
      <c r="G9" s="11">
        <f>ABS(forecastTable[[#This Row],[Error]])</f>
        <v>35.742323964884235</v>
      </c>
      <c r="H9" s="11">
        <f>forecastTable[[#This Row],[Error]]^2</f>
        <v>1277.513722410738</v>
      </c>
      <c r="I9" s="11">
        <f>IF(forecastTable[[#This Row],[Actual Values]]=0, "", ABS(forecastTable[[#This Row],[Error]] / forecastTable[[#This Row],[Actual Values]]))</f>
        <v>7.9889502980315542E-3</v>
      </c>
    </row>
    <row r="10" spans="1:9" x14ac:dyDescent="0.2">
      <c r="A10" s="31">
        <v>45269</v>
      </c>
      <c r="B10" s="3">
        <v>4303.3100000000004</v>
      </c>
      <c r="C10" s="3">
        <f>_xlfn.FORECAST.ETS(forecastTable[[#This Row],[Date]], filteredDataPasted!$D$2:$D$1065, filteredDataPasted!$A$2:$A$1065, 1, 1)</f>
        <v>4495.8999427850995</v>
      </c>
      <c r="D10" s="3">
        <f>C10 - _xlfn.FORECAST.ETS.CONFINT(forecastTable[[#This Row],[Date]], filteredDataPasted!$D$2:$D$1065, filteredDataPasted!$A$2:$A$1065, 0.95, 1, 1)</f>
        <v>3164.316807478257</v>
      </c>
      <c r="E10" s="3">
        <f>C10 + _xlfn.FORECAST.ETS.CONFINT(forecastTable[[#This Row],[Date]], filteredDataPasted!$D$2:$D$1065, filteredDataPasted!$A$2:$A$1065, 0.95, 1, 1)</f>
        <v>5827.4830780919419</v>
      </c>
      <c r="F10" s="11">
        <f>forecastTable[[#This Row],[Forecasted Values]]-forecastTable[[#This Row],[Actual Values]]</f>
        <v>192.58994278509908</v>
      </c>
      <c r="G10" s="11">
        <f>ABS(forecastTable[[#This Row],[Error]])</f>
        <v>192.58994278509908</v>
      </c>
      <c r="H10" s="11">
        <f>forecastTable[[#This Row],[Error]]^2</f>
        <v>37090.886061967736</v>
      </c>
      <c r="I10" s="11">
        <f>IF(forecastTable[[#This Row],[Actual Values]]=0, "", ABS(forecastTable[[#This Row],[Error]] / forecastTable[[#This Row],[Actual Values]]))</f>
        <v>4.4753908685430298E-2</v>
      </c>
    </row>
    <row r="11" spans="1:9" x14ac:dyDescent="0.2">
      <c r="A11" s="31">
        <v>45270</v>
      </c>
      <c r="B11" s="3">
        <v>4390.62</v>
      </c>
      <c r="C11" s="3">
        <f>_xlfn.FORECAST.ETS(forecastTable[[#This Row],[Date]], filteredDataPasted!$D$2:$D$1065, filteredDataPasted!$A$2:$A$1065, 1, 1)</f>
        <v>4203.2504693337987</v>
      </c>
      <c r="D11" s="3">
        <f>C11 - _xlfn.FORECAST.ETS.CONFINT(forecastTable[[#This Row],[Date]], filteredDataPasted!$D$2:$D$1065, filteredDataPasted!$A$2:$A$1065, 0.95, 1, 1)</f>
        <v>2871.5918255390111</v>
      </c>
      <c r="E11" s="3">
        <f>C11 + _xlfn.FORECAST.ETS.CONFINT(forecastTable[[#This Row],[Date]], filteredDataPasted!$D$2:$D$1065, filteredDataPasted!$A$2:$A$1065, 0.95, 1, 1)</f>
        <v>5534.9091131285859</v>
      </c>
      <c r="F11" s="11">
        <f>forecastTable[[#This Row],[Forecasted Values]]-forecastTable[[#This Row],[Actual Values]]</f>
        <v>-187.36953066620117</v>
      </c>
      <c r="G11" s="11">
        <f>ABS(forecastTable[[#This Row],[Error]])</f>
        <v>187.36953066620117</v>
      </c>
      <c r="H11" s="11">
        <f>forecastTable[[#This Row],[Error]]^2</f>
        <v>35107.341022072498</v>
      </c>
      <c r="I11" s="11">
        <f>IF(forecastTable[[#This Row],[Actual Values]]=0, "", ABS(forecastTable[[#This Row],[Error]] / forecastTable[[#This Row],[Actual Values]]))</f>
        <v>4.2674959496882256E-2</v>
      </c>
    </row>
    <row r="12" spans="1:9" x14ac:dyDescent="0.2">
      <c r="A12" s="31">
        <v>45271</v>
      </c>
      <c r="B12" s="3">
        <v>4087.65</v>
      </c>
      <c r="C12" s="3">
        <f>_xlfn.FORECAST.ETS(forecastTable[[#This Row],[Date]], filteredDataPasted!$D$2:$D$1065, filteredDataPasted!$A$2:$A$1065, 1, 1)</f>
        <v>4668.6103717879987</v>
      </c>
      <c r="D12" s="3">
        <f>C12 - _xlfn.FORECAST.ETS.CONFINT(forecastTable[[#This Row],[Date]], filteredDataPasted!$D$2:$D$1065, filteredDataPasted!$A$2:$A$1065, 0.95, 1, 1)</f>
        <v>3336.86187223145</v>
      </c>
      <c r="E12" s="3">
        <f>C12 + _xlfn.FORECAST.ETS.CONFINT(forecastTable[[#This Row],[Date]], filteredDataPasted!$D$2:$D$1065, filteredDataPasted!$A$2:$A$1065, 0.95, 1, 1)</f>
        <v>6000.3588713445479</v>
      </c>
      <c r="F12" s="11">
        <f>forecastTable[[#This Row],[Forecasted Values]]-forecastTable[[#This Row],[Actual Values]]</f>
        <v>580.96037178799861</v>
      </c>
      <c r="G12" s="11">
        <f>ABS(forecastTable[[#This Row],[Error]])</f>
        <v>580.96037178799861</v>
      </c>
      <c r="H12" s="11">
        <f>forecastTable[[#This Row],[Error]]^2</f>
        <v>337514.95358804957</v>
      </c>
      <c r="I12" s="11">
        <f>IF(forecastTable[[#This Row],[Actual Values]]=0, "", ABS(forecastTable[[#This Row],[Error]] / forecastTable[[#This Row],[Actual Values]]))</f>
        <v>0.14212576218316114</v>
      </c>
    </row>
    <row r="13" spans="1:9" x14ac:dyDescent="0.2">
      <c r="A13" s="31">
        <v>45272</v>
      </c>
      <c r="B13" s="3">
        <v>4374.6000000000004</v>
      </c>
      <c r="C13" s="3">
        <f>_xlfn.FORECAST.ETS(forecastTable[[#This Row],[Date]], filteredDataPasted!$D$2:$D$1065, filteredDataPasted!$A$2:$A$1065, 1, 1)</f>
        <v>5082.5155706007108</v>
      </c>
      <c r="D13" s="3">
        <f>C13 - _xlfn.FORECAST.ETS.CONFINT(forecastTable[[#This Row],[Date]], filteredDataPasted!$D$2:$D$1065, filteredDataPasted!$A$2:$A$1065, 0.95, 1, 1)</f>
        <v>3750.6616230561085</v>
      </c>
      <c r="E13" s="3">
        <f>C13 + _xlfn.FORECAST.ETS.CONFINT(forecastTable[[#This Row],[Date]], filteredDataPasted!$D$2:$D$1065, filteredDataPasted!$A$2:$A$1065, 0.95, 1, 1)</f>
        <v>6414.3695181453131</v>
      </c>
      <c r="F13" s="11">
        <f>forecastTable[[#This Row],[Forecasted Values]]-forecastTable[[#This Row],[Actual Values]]</f>
        <v>707.91557060071045</v>
      </c>
      <c r="G13" s="11">
        <f>ABS(forecastTable[[#This Row],[Error]])</f>
        <v>707.91557060071045</v>
      </c>
      <c r="H13" s="11">
        <f>forecastTable[[#This Row],[Error]]^2</f>
        <v>501144.45509892947</v>
      </c>
      <c r="I13" s="11">
        <f>IF(forecastTable[[#This Row],[Actual Values]]=0, "", ABS(forecastTable[[#This Row],[Error]] / forecastTable[[#This Row],[Actual Values]]))</f>
        <v>0.1618240686235794</v>
      </c>
    </row>
    <row r="14" spans="1:9" x14ac:dyDescent="0.2">
      <c r="A14" s="31">
        <v>45273</v>
      </c>
      <c r="B14" s="3">
        <v>3974.27</v>
      </c>
      <c r="C14" s="3">
        <f>_xlfn.FORECAST.ETS(forecastTable[[#This Row],[Date]], filteredDataPasted!$D$2:$D$1065, filteredDataPasted!$A$2:$A$1065, 1, 1)</f>
        <v>4615.1285406894222</v>
      </c>
      <c r="D14" s="3">
        <f>C14 - _xlfn.FORECAST.ETS.CONFINT(forecastTable[[#This Row],[Date]], filteredDataPasted!$D$2:$D$1065, filteredDataPasted!$A$2:$A$1065, 0.95, 1, 1)</f>
        <v>3240.4769423492471</v>
      </c>
      <c r="E14" s="3">
        <f>C14 + _xlfn.FORECAST.ETS.CONFINT(forecastTable[[#This Row],[Date]], filteredDataPasted!$D$2:$D$1065, filteredDataPasted!$A$2:$A$1065, 0.95, 1, 1)</f>
        <v>5989.7801390295972</v>
      </c>
      <c r="F14" s="11">
        <f>forecastTable[[#This Row],[Forecasted Values]]-forecastTable[[#This Row],[Actual Values]]</f>
        <v>640.85854068942217</v>
      </c>
      <c r="G14" s="11">
        <f>ABS(forecastTable[[#This Row],[Error]])</f>
        <v>640.85854068942217</v>
      </c>
      <c r="H14" s="11">
        <f>forecastTable[[#This Row],[Error]]^2</f>
        <v>410699.66917457577</v>
      </c>
      <c r="I14" s="11">
        <f>IF(forecastTable[[#This Row],[Actual Values]]=0, "", ABS(forecastTable[[#This Row],[Error]] / forecastTable[[#This Row],[Actual Values]]))</f>
        <v>0.1612518879415395</v>
      </c>
    </row>
    <row r="15" spans="1:9" x14ac:dyDescent="0.2">
      <c r="A15" s="31">
        <v>45274</v>
      </c>
      <c r="B15" s="3">
        <v>4151.0200000000004</v>
      </c>
      <c r="C15" s="3">
        <f>_xlfn.FORECAST.ETS(forecastTable[[#This Row],[Date]], filteredDataPasted!$D$2:$D$1065, filteredDataPasted!$A$2:$A$1065, 1, 1)</f>
        <v>4510.1301092652393</v>
      </c>
      <c r="D15" s="3">
        <f>C15 - _xlfn.FORECAST.ETS.CONFINT(forecastTable[[#This Row],[Date]], filteredDataPasted!$D$2:$D$1065, filteredDataPasted!$A$2:$A$1065, 0.95, 1, 1)</f>
        <v>3135.3425045092627</v>
      </c>
      <c r="E15" s="3">
        <f>C15 + _xlfn.FORECAST.ETS.CONFINT(forecastTable[[#This Row],[Date]], filteredDataPasted!$D$2:$D$1065, filteredDataPasted!$A$2:$A$1065, 0.95, 1, 1)</f>
        <v>5884.9177140212159</v>
      </c>
      <c r="F15" s="11">
        <f>forecastTable[[#This Row],[Forecasted Values]]-forecastTable[[#This Row],[Actual Values]]</f>
        <v>359.11010926523886</v>
      </c>
      <c r="G15" s="11">
        <f>ABS(forecastTable[[#This Row],[Error]])</f>
        <v>359.11010926523886</v>
      </c>
      <c r="H15" s="11">
        <f>forecastTable[[#This Row],[Error]]^2</f>
        <v>128960.07057649179</v>
      </c>
      <c r="I15" s="11">
        <f>IF(forecastTable[[#This Row],[Actual Values]]=0, "", ABS(forecastTable[[#This Row],[Error]] / forecastTable[[#This Row],[Actual Values]]))</f>
        <v>8.6511293432756001E-2</v>
      </c>
    </row>
    <row r="16" spans="1:9" x14ac:dyDescent="0.2">
      <c r="A16" s="31">
        <v>45275</v>
      </c>
      <c r="B16" s="3">
        <v>4742.2</v>
      </c>
      <c r="C16" s="3">
        <f>_xlfn.FORECAST.ETS(forecastTable[[#This Row],[Date]], filteredDataPasted!$D$2:$D$1065, filteredDataPasted!$A$2:$A$1065, 1, 1)</f>
        <v>4496.3177280854543</v>
      </c>
      <c r="D16" s="3">
        <f>C16 - _xlfn.FORECAST.ETS.CONFINT(forecastTable[[#This Row],[Date]], filteredDataPasted!$D$2:$D$1065, filteredDataPasted!$A$2:$A$1065, 0.95, 1, 1)</f>
        <v>3121.3753946134884</v>
      </c>
      <c r="E16" s="3">
        <f>C16 + _xlfn.FORECAST.ETS.CONFINT(forecastTable[[#This Row],[Date]], filteredDataPasted!$D$2:$D$1065, filteredDataPasted!$A$2:$A$1065, 0.95, 1, 1)</f>
        <v>5871.2600615574202</v>
      </c>
      <c r="F16" s="11">
        <f>forecastTable[[#This Row],[Forecasted Values]]-forecastTable[[#This Row],[Actual Values]]</f>
        <v>-245.88227191454553</v>
      </c>
      <c r="G16" s="11">
        <f>ABS(forecastTable[[#This Row],[Error]])</f>
        <v>245.88227191454553</v>
      </c>
      <c r="H16" s="11">
        <f>forecastTable[[#This Row],[Error]]^2</f>
        <v>60458.091641858504</v>
      </c>
      <c r="I16" s="11">
        <f>IF(forecastTable[[#This Row],[Actual Values]]=0, "", ABS(forecastTable[[#This Row],[Error]] / forecastTable[[#This Row],[Actual Values]]))</f>
        <v>5.1849831705652556E-2</v>
      </c>
    </row>
    <row r="17" spans="1:9" x14ac:dyDescent="0.2">
      <c r="A17" s="31">
        <v>45276</v>
      </c>
      <c r="B17" s="3">
        <v>3449.65</v>
      </c>
      <c r="C17" s="3">
        <f>_xlfn.FORECAST.ETS(forecastTable[[#This Row],[Date]], filteredDataPasted!$D$2:$D$1065, filteredDataPasted!$A$2:$A$1065, 1, 1)</f>
        <v>4203.6682546341535</v>
      </c>
      <c r="D17" s="3">
        <f>C17 - _xlfn.FORECAST.ETS.CONFINT(forecastTable[[#This Row],[Date]], filteredDataPasted!$D$2:$D$1065, filteredDataPasted!$A$2:$A$1065, 0.95, 1, 1)</f>
        <v>2828.5512678688538</v>
      </c>
      <c r="E17" s="3">
        <f>C17 + _xlfn.FORECAST.ETS.CONFINT(forecastTable[[#This Row],[Date]], filteredDataPasted!$D$2:$D$1065, filteredDataPasted!$A$2:$A$1065, 0.95, 1, 1)</f>
        <v>5578.7852413994533</v>
      </c>
      <c r="F17" s="11">
        <f>forecastTable[[#This Row],[Forecasted Values]]-forecastTable[[#This Row],[Actual Values]]</f>
        <v>754.01825463415344</v>
      </c>
      <c r="G17" s="11">
        <f>ABS(forecastTable[[#This Row],[Error]])</f>
        <v>754.01825463415344</v>
      </c>
      <c r="H17" s="11">
        <f>forecastTable[[#This Row],[Error]]^2</f>
        <v>568543.52832153509</v>
      </c>
      <c r="I17" s="11">
        <f>IF(forecastTable[[#This Row],[Actual Values]]=0, "", ABS(forecastTable[[#This Row],[Error]] / forecastTable[[#This Row],[Actual Values]]))</f>
        <v>0.21857819043501614</v>
      </c>
    </row>
    <row r="18" spans="1:9" x14ac:dyDescent="0.2">
      <c r="A18" s="31">
        <v>45277</v>
      </c>
      <c r="B18" s="3">
        <v>3414.24</v>
      </c>
      <c r="C18" s="3">
        <f>_xlfn.FORECAST.ETS(forecastTable[[#This Row],[Date]], filteredDataPasted!$D$2:$D$1065, filteredDataPasted!$A$2:$A$1065, 1, 1)</f>
        <v>4669.0281570883535</v>
      </c>
      <c r="D18" s="3">
        <f>C18 - _xlfn.FORECAST.ETS.CONFINT(forecastTable[[#This Row],[Date]], filteredDataPasted!$D$2:$D$1065, filteredDataPasted!$A$2:$A$1065, 0.95, 1, 1)</f>
        <v>3293.7153916181105</v>
      </c>
      <c r="E18" s="3">
        <f>C18 + _xlfn.FORECAST.ETS.CONFINT(forecastTable[[#This Row],[Date]], filteredDataPasted!$D$2:$D$1065, filteredDataPasted!$A$2:$A$1065, 0.95, 1, 1)</f>
        <v>6044.3409225585965</v>
      </c>
      <c r="F18" s="11">
        <f>forecastTable[[#This Row],[Forecasted Values]]-forecastTable[[#This Row],[Actual Values]]</f>
        <v>1254.7881570883537</v>
      </c>
      <c r="G18" s="11">
        <f>ABS(forecastTable[[#This Row],[Error]])</f>
        <v>1254.7881570883537</v>
      </c>
      <c r="H18" s="11">
        <f>forecastTable[[#This Row],[Error]]^2</f>
        <v>1574493.319169187</v>
      </c>
      <c r="I18" s="11">
        <f>IF(forecastTable[[#This Row],[Actual Values]]=0, "", ABS(forecastTable[[#This Row],[Error]] / forecastTable[[#This Row],[Actual Values]]))</f>
        <v>0.3675160964338634</v>
      </c>
    </row>
    <row r="19" spans="1:9" x14ac:dyDescent="0.2">
      <c r="A19" s="31">
        <v>45278</v>
      </c>
      <c r="B19" s="3">
        <v>3613.87</v>
      </c>
      <c r="C19" s="3">
        <f>_xlfn.FORECAST.ETS(forecastTable[[#This Row],[Date]], filteredDataPasted!$D$2:$D$1065, filteredDataPasted!$A$2:$A$1065, 1, 1)</f>
        <v>5082.9333559010656</v>
      </c>
      <c r="D19" s="3">
        <f>C19 - _xlfn.FORECAST.ETS.CONFINT(forecastTable[[#This Row],[Date]], filteredDataPasted!$D$2:$D$1065, filteredDataPasted!$A$2:$A$1065, 0.95, 1, 1)</f>
        <v>3707.4024871011602</v>
      </c>
      <c r="E19" s="3">
        <f>C19 + _xlfn.FORECAST.ETS.CONFINT(forecastTable[[#This Row],[Date]], filteredDataPasted!$D$2:$D$1065, filteredDataPasted!$A$2:$A$1065, 0.95, 1, 1)</f>
        <v>6458.4642247009706</v>
      </c>
      <c r="F19" s="11">
        <f>forecastTable[[#This Row],[Forecasted Values]]-forecastTable[[#This Row],[Actual Values]]</f>
        <v>1469.0633559010657</v>
      </c>
      <c r="G19" s="11">
        <f>ABS(forecastTable[[#This Row],[Error]])</f>
        <v>1469.0633559010657</v>
      </c>
      <c r="H19" s="11">
        <f>forecastTable[[#This Row],[Error]]^2</f>
        <v>2158147.1436513015</v>
      </c>
      <c r="I19" s="11">
        <f>IF(forecastTable[[#This Row],[Actual Values]]=0, "", ABS(forecastTable[[#This Row],[Error]] / forecastTable[[#This Row],[Actual Values]]))</f>
        <v>0.40650697338339947</v>
      </c>
    </row>
    <row r="20" spans="1:9" x14ac:dyDescent="0.2">
      <c r="A20" s="31">
        <v>45279</v>
      </c>
      <c r="B20" s="3">
        <v>3375.58</v>
      </c>
      <c r="C20" s="3">
        <f>_xlfn.FORECAST.ETS(forecastTable[[#This Row],[Date]], filteredDataPasted!$D$2:$D$1065, filteredDataPasted!$A$2:$A$1065, 1, 1)</f>
        <v>4615.5463259897779</v>
      </c>
      <c r="D20" s="3">
        <f>C20 - _xlfn.FORECAST.ETS.CONFINT(forecastTable[[#This Row],[Date]], filteredDataPasted!$D$2:$D$1065, filteredDataPasted!$A$2:$A$1065, 0.95, 1, 1)</f>
        <v>3196.6586717407431</v>
      </c>
      <c r="E20" s="3">
        <f>C20 + _xlfn.FORECAST.ETS.CONFINT(forecastTable[[#This Row],[Date]], filteredDataPasted!$D$2:$D$1065, filteredDataPasted!$A$2:$A$1065, 0.95, 1, 1)</f>
        <v>6034.4339802388131</v>
      </c>
      <c r="F20" s="11">
        <f>forecastTable[[#This Row],[Forecasted Values]]-forecastTable[[#This Row],[Actual Values]]</f>
        <v>1239.9663259897779</v>
      </c>
      <c r="G20" s="11">
        <f>ABS(forecastTable[[#This Row],[Error]])</f>
        <v>1239.9663259897779</v>
      </c>
      <c r="H20" s="11">
        <f>forecastTable[[#This Row],[Error]]^2</f>
        <v>1537516.4895885882</v>
      </c>
      <c r="I20" s="11">
        <f>IF(forecastTable[[#This Row],[Actual Values]]=0, "", ABS(forecastTable[[#This Row],[Error]] / forecastTable[[#This Row],[Actual Values]]))</f>
        <v>0.36733430284270496</v>
      </c>
    </row>
    <row r="21" spans="1:9" x14ac:dyDescent="0.2">
      <c r="A21" s="31">
        <v>45280</v>
      </c>
      <c r="B21" s="3">
        <v>4444.8</v>
      </c>
      <c r="C21" s="3">
        <f>_xlfn.FORECAST.ETS(forecastTable[[#This Row],[Date]], filteredDataPasted!$D$2:$D$1065, filteredDataPasted!$A$2:$A$1065, 1, 1)</f>
        <v>4510.5478945655941</v>
      </c>
      <c r="D21" s="3">
        <f>C21 - _xlfn.FORECAST.ETS.CONFINT(forecastTable[[#This Row],[Date]], filteredDataPasted!$D$2:$D$1065, filteredDataPasted!$A$2:$A$1065, 0.95, 1, 1)</f>
        <v>3091.4019892872025</v>
      </c>
      <c r="E21" s="3">
        <f>C21 + _xlfn.FORECAST.ETS.CONFINT(forecastTable[[#This Row],[Date]], filteredDataPasted!$D$2:$D$1065, filteredDataPasted!$A$2:$A$1065, 0.95, 1, 1)</f>
        <v>5929.6937998439862</v>
      </c>
      <c r="F21" s="11">
        <f>forecastTable[[#This Row],[Forecasted Values]]-forecastTable[[#This Row],[Actual Values]]</f>
        <v>65.747894565593924</v>
      </c>
      <c r="G21" s="11">
        <f>ABS(forecastTable[[#This Row],[Error]])</f>
        <v>65.747894565593924</v>
      </c>
      <c r="H21" s="11">
        <f>forecastTable[[#This Row],[Error]]^2</f>
        <v>4322.785639808455</v>
      </c>
      <c r="I21" s="11">
        <f>IF(forecastTable[[#This Row],[Actual Values]]=0, "", ABS(forecastTable[[#This Row],[Error]] / forecastTable[[#This Row],[Actual Values]]))</f>
        <v>1.4792092909825846E-2</v>
      </c>
    </row>
    <row r="22" spans="1:9" x14ac:dyDescent="0.2">
      <c r="A22" s="31">
        <v>45281</v>
      </c>
      <c r="B22" s="3">
        <v>4872.91</v>
      </c>
      <c r="C22" s="3">
        <f>_xlfn.FORECAST.ETS(forecastTable[[#This Row],[Date]], filteredDataPasted!$D$2:$D$1065, filteredDataPasted!$A$2:$A$1065, 1, 1)</f>
        <v>4496.7355133858091</v>
      </c>
      <c r="D22" s="3">
        <f>C22 - _xlfn.FORECAST.ETS.CONFINT(forecastTable[[#This Row],[Date]], filteredDataPasted!$D$2:$D$1065, filteredDataPasted!$A$2:$A$1065, 0.95, 1, 1)</f>
        <v>3077.3062302203825</v>
      </c>
      <c r="E22" s="3">
        <f>C22 + _xlfn.FORECAST.ETS.CONFINT(forecastTable[[#This Row],[Date]], filteredDataPasted!$D$2:$D$1065, filteredDataPasted!$A$2:$A$1065, 0.95, 1, 1)</f>
        <v>5916.1647965512357</v>
      </c>
      <c r="F22" s="11">
        <f>forecastTable[[#This Row],[Forecasted Values]]-forecastTable[[#This Row],[Actual Values]]</f>
        <v>-376.17448661419076</v>
      </c>
      <c r="G22" s="11">
        <f>ABS(forecastTable[[#This Row],[Error]])</f>
        <v>376.17448661419076</v>
      </c>
      <c r="H22" s="11">
        <f>forecastTable[[#This Row],[Error]]^2</f>
        <v>141507.24437944998</v>
      </c>
      <c r="I22" s="11">
        <f>IF(forecastTable[[#This Row],[Actual Values]]=0, "", ABS(forecastTable[[#This Row],[Error]] / forecastTable[[#This Row],[Actual Values]]))</f>
        <v>7.7197093033565312E-2</v>
      </c>
    </row>
    <row r="23" spans="1:9" x14ac:dyDescent="0.2">
      <c r="A23" s="31">
        <v>45282</v>
      </c>
      <c r="B23" s="3">
        <v>4058.65</v>
      </c>
      <c r="C23" s="3">
        <f>_xlfn.FORECAST.ETS(forecastTable[[#This Row],[Date]], filteredDataPasted!$D$2:$D$1065, filteredDataPasted!$A$2:$A$1065, 1, 1)</f>
        <v>4204.0860399345092</v>
      </c>
      <c r="D23" s="3">
        <f>C23 - _xlfn.FORECAST.ETS.CONFINT(forecastTable[[#This Row],[Date]], filteredDataPasted!$D$2:$D$1065, filteredDataPasted!$A$2:$A$1065, 0.95, 1, 1)</f>
        <v>2784.3470964590188</v>
      </c>
      <c r="E23" s="3">
        <f>C23 + _xlfn.FORECAST.ETS.CONFINT(forecastTable[[#This Row],[Date]], filteredDataPasted!$D$2:$D$1065, filteredDataPasted!$A$2:$A$1065, 0.95, 1, 1)</f>
        <v>5623.8249834099997</v>
      </c>
      <c r="F23" s="11">
        <f>forecastTable[[#This Row],[Forecasted Values]]-forecastTable[[#This Row],[Actual Values]]</f>
        <v>145.43603993450915</v>
      </c>
      <c r="G23" s="11">
        <f>ABS(forecastTable[[#This Row],[Error]])</f>
        <v>145.43603993450915</v>
      </c>
      <c r="H23" s="11">
        <f>forecastTable[[#This Row],[Error]]^2</f>
        <v>21151.641711832141</v>
      </c>
      <c r="I23" s="11">
        <f>IF(forecastTable[[#This Row],[Actual Values]]=0, "", ABS(forecastTable[[#This Row],[Error]] / forecastTable[[#This Row],[Actual Values]]))</f>
        <v>3.5833599826175982E-2</v>
      </c>
    </row>
    <row r="24" spans="1:9" x14ac:dyDescent="0.2">
      <c r="A24" s="31">
        <v>45283</v>
      </c>
      <c r="B24" s="3">
        <v>3802.16</v>
      </c>
      <c r="C24" s="3">
        <f>_xlfn.FORECAST.ETS(forecastTable[[#This Row],[Date]], filteredDataPasted!$D$2:$D$1065, filteredDataPasted!$A$2:$A$1065, 1, 1)</f>
        <v>4669.4459423887083</v>
      </c>
      <c r="D24" s="3">
        <f>C24 - _xlfn.FORECAST.ETS.CONFINT(forecastTable[[#This Row],[Date]], filteredDataPasted!$D$2:$D$1065, filteredDataPasted!$A$2:$A$1065, 0.95, 1, 1)</f>
        <v>3249.3699030401503</v>
      </c>
      <c r="E24" s="3">
        <f>C24 + _xlfn.FORECAST.ETS.CONFINT(forecastTable[[#This Row],[Date]], filteredDataPasted!$D$2:$D$1065, filteredDataPasted!$A$2:$A$1065, 0.95, 1, 1)</f>
        <v>6089.5219817372663</v>
      </c>
      <c r="F24" s="11">
        <f>forecastTable[[#This Row],[Forecasted Values]]-forecastTable[[#This Row],[Actual Values]]</f>
        <v>867.28594238870846</v>
      </c>
      <c r="G24" s="11">
        <f>ABS(forecastTable[[#This Row],[Error]])</f>
        <v>867.28594238870846</v>
      </c>
      <c r="H24" s="11">
        <f>forecastTable[[#This Row],[Error]]^2</f>
        <v>752184.90586507018</v>
      </c>
      <c r="I24" s="11">
        <f>IF(forecastTable[[#This Row],[Actual Values]]=0, "", ABS(forecastTable[[#This Row],[Error]] / forecastTable[[#This Row],[Actual Values]]))</f>
        <v>0.22810348391143678</v>
      </c>
    </row>
    <row r="25" spans="1:9" x14ac:dyDescent="0.2">
      <c r="A25" s="31">
        <v>45284</v>
      </c>
      <c r="B25" s="3">
        <v>3527.43</v>
      </c>
      <c r="C25" s="3">
        <f>_xlfn.FORECAST.ETS(forecastTable[[#This Row],[Date]], filteredDataPasted!$D$2:$D$1065, filteredDataPasted!$A$2:$A$1065, 1, 1)</f>
        <v>5083.3511412014204</v>
      </c>
      <c r="D25" s="3">
        <f>C25 - _xlfn.FORECAST.ETS.CONFINT(forecastTable[[#This Row],[Date]], filteredDataPasted!$D$2:$D$1065, filteredDataPasted!$A$2:$A$1065, 0.95, 1, 1)</f>
        <v>3662.9094199175897</v>
      </c>
      <c r="E25" s="3">
        <f>C25 + _xlfn.FORECAST.ETS.CONFINT(forecastTable[[#This Row],[Date]], filteredDataPasted!$D$2:$D$1065, filteredDataPasted!$A$2:$A$1065, 0.95, 1, 1)</f>
        <v>6503.7928624852511</v>
      </c>
      <c r="F25" s="11">
        <f>forecastTable[[#This Row],[Forecasted Values]]-forecastTable[[#This Row],[Actual Values]]</f>
        <v>1555.9211412014206</v>
      </c>
      <c r="G25" s="11">
        <f>ABS(forecastTable[[#This Row],[Error]])</f>
        <v>1555.9211412014206</v>
      </c>
      <c r="H25" s="11">
        <f>forecastTable[[#This Row],[Error]]^2</f>
        <v>2420890.5976375309</v>
      </c>
      <c r="I25" s="11">
        <f>IF(forecastTable[[#This Row],[Actual Values]]=0, "", ABS(forecastTable[[#This Row],[Error]] / forecastTable[[#This Row],[Actual Values]]))</f>
        <v>0.44109199649643527</v>
      </c>
    </row>
    <row r="26" spans="1:9" x14ac:dyDescent="0.2">
      <c r="A26" s="31">
        <v>45285</v>
      </c>
      <c r="B26" s="3">
        <v>3689.43</v>
      </c>
      <c r="C26" s="3">
        <f>_xlfn.FORECAST.ETS(forecastTable[[#This Row],[Date]], filteredDataPasted!$D$2:$D$1065, filteredDataPasted!$A$2:$A$1065, 1, 1)</f>
        <v>4615.9641112901327</v>
      </c>
      <c r="D26" s="3">
        <f>C26 - _xlfn.FORECAST.ETS.CONFINT(forecastTable[[#This Row],[Date]], filteredDataPasted!$D$2:$D$1065, filteredDataPasted!$A$2:$A$1065, 0.95, 1, 1)</f>
        <v>3151.6361854854658</v>
      </c>
      <c r="E26" s="3">
        <f>C26 + _xlfn.FORECAST.ETS.CONFINT(forecastTable[[#This Row],[Date]], filteredDataPasted!$D$2:$D$1065, filteredDataPasted!$A$2:$A$1065, 0.95, 1, 1)</f>
        <v>6080.2920370947995</v>
      </c>
      <c r="F26" s="11">
        <f>forecastTable[[#This Row],[Forecasted Values]]-forecastTable[[#This Row],[Actual Values]]</f>
        <v>926.53411129013284</v>
      </c>
      <c r="G26" s="11">
        <f>ABS(forecastTable[[#This Row],[Error]])</f>
        <v>926.53411129013284</v>
      </c>
      <c r="H26" s="11">
        <f>forecastTable[[#This Row],[Error]]^2</f>
        <v>858465.45938419632</v>
      </c>
      <c r="I26" s="11">
        <f>IF(forecastTable[[#This Row],[Actual Values]]=0, "", ABS(forecastTable[[#This Row],[Error]] / forecastTable[[#This Row],[Actual Values]]))</f>
        <v>0.25113204784753551</v>
      </c>
    </row>
    <row r="27" spans="1:9" x14ac:dyDescent="0.2">
      <c r="A27" s="31">
        <v>45286</v>
      </c>
      <c r="B27" s="3">
        <v>4962.5200000000004</v>
      </c>
      <c r="C27" s="3">
        <f>_xlfn.FORECAST.ETS(forecastTable[[#This Row],[Date]], filteredDataPasted!$D$2:$D$1065, filteredDataPasted!$A$2:$A$1065, 1, 1)</f>
        <v>4510.9656798659489</v>
      </c>
      <c r="D27" s="3">
        <f>C27 - _xlfn.FORECAST.ETS.CONFINT(forecastTable[[#This Row],[Date]], filteredDataPasted!$D$2:$D$1065, filteredDataPasted!$A$2:$A$1065, 0.95, 1, 1)</f>
        <v>3046.2241175639206</v>
      </c>
      <c r="E27" s="3">
        <f>C27 + _xlfn.FORECAST.ETS.CONFINT(forecastTable[[#This Row],[Date]], filteredDataPasted!$D$2:$D$1065, filteredDataPasted!$A$2:$A$1065, 0.95, 1, 1)</f>
        <v>5975.7072421679768</v>
      </c>
      <c r="F27" s="11">
        <f>forecastTable[[#This Row],[Forecasted Values]]-forecastTable[[#This Row],[Actual Values]]</f>
        <v>-451.55432013405152</v>
      </c>
      <c r="G27" s="11">
        <f>ABS(forecastTable[[#This Row],[Error]])</f>
        <v>451.55432013405152</v>
      </c>
      <c r="H27" s="11">
        <f>forecastTable[[#This Row],[Error]]^2</f>
        <v>203901.30403172548</v>
      </c>
      <c r="I27" s="11">
        <f>IF(forecastTable[[#This Row],[Actual Values]]=0, "", ABS(forecastTable[[#This Row],[Error]] / forecastTable[[#This Row],[Actual Values]]))</f>
        <v>9.0992947158712006E-2</v>
      </c>
    </row>
    <row r="28" spans="1:9" x14ac:dyDescent="0.2">
      <c r="A28" s="31">
        <v>45287</v>
      </c>
      <c r="B28" s="3">
        <v>4334.3</v>
      </c>
      <c r="C28" s="3">
        <f>_xlfn.FORECAST.ETS(forecastTable[[#This Row],[Date]], filteredDataPasted!$D$2:$D$1065, filteredDataPasted!$A$2:$A$1065, 1, 1)</f>
        <v>4497.1532986861639</v>
      </c>
      <c r="D28" s="3">
        <f>C28 - _xlfn.FORECAST.ETS.CONFINT(forecastTable[[#This Row],[Date]], filteredDataPasted!$D$2:$D$1065, filteredDataPasted!$A$2:$A$1065, 0.95, 1, 1)</f>
        <v>3031.9670230647389</v>
      </c>
      <c r="E28" s="3">
        <f>C28 + _xlfn.FORECAST.ETS.CONFINT(forecastTable[[#This Row],[Date]], filteredDataPasted!$D$2:$D$1065, filteredDataPasted!$A$2:$A$1065, 0.95, 1, 1)</f>
        <v>5962.3395743075889</v>
      </c>
      <c r="F28" s="11">
        <f>forecastTable[[#This Row],[Forecasted Values]]-forecastTable[[#This Row],[Actual Values]]</f>
        <v>162.85329868616373</v>
      </c>
      <c r="G28" s="11">
        <f>ABS(forecastTable[[#This Row],[Error]])</f>
        <v>162.85329868616373</v>
      </c>
      <c r="H28" s="11">
        <f>forecastTable[[#This Row],[Error]]^2</f>
        <v>26521.196892964857</v>
      </c>
      <c r="I28" s="11">
        <f>IF(forecastTable[[#This Row],[Actual Values]]=0, "", ABS(forecastTable[[#This Row],[Error]] / forecastTable[[#This Row],[Actual Values]]))</f>
        <v>3.7573148763621278E-2</v>
      </c>
    </row>
    <row r="29" spans="1:9" x14ac:dyDescent="0.2">
      <c r="A29" s="31">
        <v>45288</v>
      </c>
      <c r="B29" s="3">
        <v>4856.16</v>
      </c>
      <c r="C29" s="3">
        <f>_xlfn.FORECAST.ETS(forecastTable[[#This Row],[Date]], filteredDataPasted!$D$2:$D$1065, filteredDataPasted!$A$2:$A$1065, 1, 1)</f>
        <v>4204.5038252348641</v>
      </c>
      <c r="D29" s="3">
        <f>C29 - _xlfn.FORECAST.ETS.CONFINT(forecastTable[[#This Row],[Date]], filteredDataPasted!$D$2:$D$1065, filteredDataPasted!$A$2:$A$1065, 0.95, 1, 1)</f>
        <v>2738.8406538281852</v>
      </c>
      <c r="E29" s="3">
        <f>C29 + _xlfn.FORECAST.ETS.CONFINT(forecastTable[[#This Row],[Date]], filteredDataPasted!$D$2:$D$1065, filteredDataPasted!$A$2:$A$1065, 0.95, 1, 1)</f>
        <v>5670.1669966415429</v>
      </c>
      <c r="F29" s="11">
        <f>forecastTable[[#This Row],[Forecasted Values]]-forecastTable[[#This Row],[Actual Values]]</f>
        <v>-651.6561747651358</v>
      </c>
      <c r="G29" s="11">
        <f>ABS(forecastTable[[#This Row],[Error]])</f>
        <v>651.6561747651358</v>
      </c>
      <c r="H29" s="11">
        <f>forecastTable[[#This Row],[Error]]^2</f>
        <v>424655.7701095292</v>
      </c>
      <c r="I29" s="11">
        <f>IF(forecastTable[[#This Row],[Actual Values]]=0, "", ABS(forecastTable[[#This Row],[Error]] / forecastTable[[#This Row],[Actual Values]]))</f>
        <v>0.13419166064650584</v>
      </c>
    </row>
    <row r="30" spans="1:9" x14ac:dyDescent="0.2">
      <c r="A30" s="31">
        <v>45289</v>
      </c>
      <c r="B30" s="3">
        <v>3416.9</v>
      </c>
      <c r="C30" s="3">
        <f>_xlfn.FORECAST.ETS(forecastTable[[#This Row],[Date]], filteredDataPasted!$D$2:$D$1065, filteredDataPasted!$A$2:$A$1065, 1, 1)</f>
        <v>4669.8637276890631</v>
      </c>
      <c r="D30" s="3">
        <f>C30 - _xlfn.FORECAST.ETS.CONFINT(forecastTable[[#This Row],[Date]], filteredDataPasted!$D$2:$D$1065, filteredDataPasted!$A$2:$A$1065, 0.95, 1, 1)</f>
        <v>3203.6903758974695</v>
      </c>
      <c r="E30" s="3">
        <f>C30 + _xlfn.FORECAST.ETS.CONFINT(forecastTable[[#This Row],[Date]], filteredDataPasted!$D$2:$D$1065, filteredDataPasted!$A$2:$A$1065, 0.95, 1, 1)</f>
        <v>6136.0370794806568</v>
      </c>
      <c r="F30" s="11">
        <f>forecastTable[[#This Row],[Forecasted Values]]-forecastTable[[#This Row],[Actual Values]]</f>
        <v>1252.963727689063</v>
      </c>
      <c r="G30" s="11">
        <f>ABS(forecastTable[[#This Row],[Error]])</f>
        <v>1252.963727689063</v>
      </c>
      <c r="H30" s="11">
        <f>forecastTable[[#This Row],[Error]]^2</f>
        <v>1569918.1029044725</v>
      </c>
      <c r="I30" s="11">
        <f>IF(forecastTable[[#This Row],[Actual Values]]=0, "", ABS(forecastTable[[#This Row],[Error]] / forecastTable[[#This Row],[Actual Values]]))</f>
        <v>0.36669604837398312</v>
      </c>
    </row>
    <row r="31" spans="1:9" x14ac:dyDescent="0.2">
      <c r="A31" s="31">
        <v>45290</v>
      </c>
      <c r="B31" s="3">
        <v>4728.2299999999996</v>
      </c>
      <c r="C31" s="3">
        <f>_xlfn.FORECAST.ETS(forecastTable[[#This Row],[Date]], filteredDataPasted!$D$2:$D$1065, filteredDataPasted!$A$2:$A$1065, 1, 1)</f>
        <v>5083.7689265017752</v>
      </c>
      <c r="D31" s="3">
        <f>C31 - _xlfn.FORECAST.ETS.CONFINT(forecastTable[[#This Row],[Date]], filteredDataPasted!$D$2:$D$1065, filteredDataPasted!$A$2:$A$1065, 0.95, 1, 1)</f>
        <v>3617.0510113420742</v>
      </c>
      <c r="E31" s="3">
        <f>C31 + _xlfn.FORECAST.ETS.CONFINT(forecastTable[[#This Row],[Date]], filteredDataPasted!$D$2:$D$1065, filteredDataPasted!$A$2:$A$1065, 0.95, 1, 1)</f>
        <v>6550.4868416614763</v>
      </c>
      <c r="F31" s="11">
        <f>forecastTable[[#This Row],[Forecasted Values]]-forecastTable[[#This Row],[Actual Values]]</f>
        <v>355.53892650177568</v>
      </c>
      <c r="G31" s="11">
        <f>ABS(forecastTable[[#This Row],[Error]])</f>
        <v>355.53892650177568</v>
      </c>
      <c r="H31" s="11">
        <f>forecastTable[[#This Row],[Error]]^2</f>
        <v>126407.92825803504</v>
      </c>
      <c r="I31" s="11">
        <f>IF(forecastTable[[#This Row],[Actual Values]]=0, "", ABS(forecastTable[[#This Row],[Error]] / forecastTable[[#This Row],[Actual Values]]))</f>
        <v>7.5194930555784245E-2</v>
      </c>
    </row>
    <row r="32" spans="1:9" x14ac:dyDescent="0.2">
      <c r="A32" s="31">
        <v>45291</v>
      </c>
      <c r="B32" s="3">
        <v>4598.3100000000004</v>
      </c>
      <c r="C32" s="3">
        <f>_xlfn.FORECAST.ETS(forecastTable[[#This Row],[Date]], filteredDataPasted!$D$2:$D$1065, filteredDataPasted!$A$2:$A$1065, 1, 1)</f>
        <v>4616.3818965904875</v>
      </c>
      <c r="D32" s="3">
        <f>C32 - _xlfn.FORECAST.ETS.CONFINT(forecastTable[[#This Row],[Date]], filteredDataPasted!$D$2:$D$1065, filteredDataPasted!$A$2:$A$1065, 0.95, 1, 1)</f>
        <v>3105.280549563875</v>
      </c>
      <c r="E32" s="3">
        <f>C32 + _xlfn.FORECAST.ETS.CONFINT(forecastTable[[#This Row],[Date]], filteredDataPasted!$D$2:$D$1065, filteredDataPasted!$A$2:$A$1065, 0.95, 1, 1)</f>
        <v>6127.4832436171</v>
      </c>
      <c r="F32" s="11">
        <f>forecastTable[[#This Row],[Forecasted Values]]-forecastTable[[#This Row],[Actual Values]]</f>
        <v>18.071896590487086</v>
      </c>
      <c r="G32" s="11">
        <f>ABS(forecastTable[[#This Row],[Error]])</f>
        <v>18.071896590487086</v>
      </c>
      <c r="H32" s="11">
        <f>forecastTable[[#This Row],[Error]]^2</f>
        <v>326.59344637725877</v>
      </c>
      <c r="I32" s="11">
        <f>IF(forecastTable[[#This Row],[Actual Values]]=0, "", ABS(forecastTable[[#This Row],[Error]] / forecastTable[[#This Row],[Actual Values]]))</f>
        <v>3.9301170626789153E-3</v>
      </c>
    </row>
    <row r="33" spans="1:9" x14ac:dyDescent="0.2">
      <c r="A33" s="31">
        <v>45292</v>
      </c>
      <c r="B33" s="3">
        <v>3770.74</v>
      </c>
      <c r="C33" s="3">
        <f>_xlfn.FORECAST.ETS(forecastTable[[#This Row],[Date]], filteredDataPasted!$D$2:$D$1065, filteredDataPasted!$A$2:$A$1065, 1, 1)</f>
        <v>4511.3834651663037</v>
      </c>
      <c r="D33" s="3">
        <f>C33 - _xlfn.FORECAST.ETS.CONFINT(forecastTable[[#This Row],[Date]], filteredDataPasted!$D$2:$D$1065, filteredDataPasted!$A$2:$A$1065, 0.95, 1, 1)</f>
        <v>2999.6833767811786</v>
      </c>
      <c r="E33" s="3">
        <f>C33 + _xlfn.FORECAST.ETS.CONFINT(forecastTable[[#This Row],[Date]], filteredDataPasted!$D$2:$D$1065, filteredDataPasted!$A$2:$A$1065, 0.95, 1, 1)</f>
        <v>6023.0835535514288</v>
      </c>
      <c r="F33" s="11">
        <f>forecastTable[[#This Row],[Forecasted Values]]-forecastTable[[#This Row],[Actual Values]]</f>
        <v>740.64346516630394</v>
      </c>
      <c r="G33" s="11">
        <f>ABS(forecastTable[[#This Row],[Error]])</f>
        <v>740.64346516630394</v>
      </c>
      <c r="H33" s="11">
        <f>forecastTable[[#This Row],[Error]]^2</f>
        <v>548552.74249355006</v>
      </c>
      <c r="I33" s="11">
        <f>IF(forecastTable[[#This Row],[Actual Values]]=0, "", ABS(forecastTable[[#This Row],[Error]] / forecastTable[[#This Row],[Actual Values]]))</f>
        <v>0.19641859825029145</v>
      </c>
    </row>
    <row r="35" spans="1:9" x14ac:dyDescent="0.2">
      <c r="A35" s="34"/>
      <c r="B35" s="11"/>
    </row>
    <row r="36" spans="1:9" x14ac:dyDescent="0.2">
      <c r="A36" s="34"/>
      <c r="B36" s="11"/>
    </row>
    <row r="37" spans="1:9" x14ac:dyDescent="0.2">
      <c r="A37" s="33"/>
      <c r="B37" s="11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FF270-392C-3C43-B0D9-ECA83A49D711}">
  <dimension ref="A1:B5"/>
  <sheetViews>
    <sheetView workbookViewId="0">
      <selection activeCell="K26" sqref="K26"/>
    </sheetView>
  </sheetViews>
  <sheetFormatPr baseColWidth="10" defaultRowHeight="16" x14ac:dyDescent="0.2"/>
  <cols>
    <col min="1" max="1" width="27.33203125" bestFit="1" customWidth="1"/>
    <col min="2" max="2" width="10.83203125" style="11"/>
  </cols>
  <sheetData>
    <row r="1" spans="1:2" x14ac:dyDescent="0.2">
      <c r="A1" s="14" t="s">
        <v>49</v>
      </c>
      <c r="B1" s="11" t="s">
        <v>52</v>
      </c>
    </row>
    <row r="2" spans="1:2" x14ac:dyDescent="0.2">
      <c r="A2" s="35" t="s">
        <v>44</v>
      </c>
      <c r="B2" s="11">
        <f>AVERAGE(forecastTable[Squared Error])</f>
        <v>576471.42296455719</v>
      </c>
    </row>
    <row r="3" spans="1:2" x14ac:dyDescent="0.2">
      <c r="A3" s="35" t="s">
        <v>51</v>
      </c>
      <c r="B3" s="11">
        <f>SQRT(B2)</f>
        <v>759.25715206677978</v>
      </c>
    </row>
    <row r="4" spans="1:2" x14ac:dyDescent="0.2">
      <c r="A4" s="35" t="s">
        <v>48</v>
      </c>
      <c r="B4" s="11">
        <f>AVERAGE(forecastTable[Absolute Error])</f>
        <v>615.60028977156628</v>
      </c>
    </row>
    <row r="5" spans="1:2" x14ac:dyDescent="0.2">
      <c r="A5" s="35" t="s">
        <v>50</v>
      </c>
      <c r="B5" s="11">
        <f>AVERAGE(forecastTable[Abs. Percentage Error])</f>
        <v>0.16059950173832857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F381F-4FF6-BC4F-B853-3EBFFEDA543F}">
  <dimension ref="A1:D31"/>
  <sheetViews>
    <sheetView workbookViewId="0">
      <selection activeCell="M29" sqref="M29"/>
    </sheetView>
  </sheetViews>
  <sheetFormatPr baseColWidth="10" defaultRowHeight="16" x14ac:dyDescent="0.2"/>
  <cols>
    <col min="1" max="1" width="9" style="31" customWidth="1"/>
    <col min="2" max="2" width="18.83203125" customWidth="1"/>
    <col min="3" max="3" width="14" customWidth="1"/>
    <col min="4" max="4" width="13.83203125" customWidth="1"/>
  </cols>
  <sheetData>
    <row r="1" spans="1:4" x14ac:dyDescent="0.2">
      <c r="A1" s="31" t="s">
        <v>0</v>
      </c>
      <c r="B1" t="s">
        <v>42</v>
      </c>
      <c r="C1" t="s">
        <v>39</v>
      </c>
      <c r="D1" t="s">
        <v>40</v>
      </c>
    </row>
    <row r="2" spans="1:4" x14ac:dyDescent="0.2">
      <c r="A2" s="31">
        <v>45293</v>
      </c>
      <c r="B2" s="3">
        <f>_xlfn.FORECAST.ETS(A2, filteredDataPasted!$D$2:$D$1097, filteredDataPasted!$A$2:$A$1097, 1, 1)</f>
        <v>3770.79407004628</v>
      </c>
      <c r="C2" s="3">
        <f>B2 - _xlfn.FORECAST.ETS.CONFINT(A2, filteredDataPasted!$D$2:$D$1097, filteredDataPasted!$A$2:$A$1097, 0.95, 1, 1)</f>
        <v>2549.8257780932972</v>
      </c>
      <c r="D2" s="3">
        <f>B2 + _xlfn.FORECAST.ETS.CONFINT(A2, filteredDataPasted!$D$2:$D$1097, filteredDataPasted!$A$2:$A$1097, 0.95, 1, 1)</f>
        <v>4991.7623619992628</v>
      </c>
    </row>
    <row r="3" spans="1:4" x14ac:dyDescent="0.2">
      <c r="A3" s="31">
        <v>45294</v>
      </c>
      <c r="B3" s="3">
        <f>_xlfn.FORECAST.ETS(A3, filteredDataPasted!$D$2:$D$1097, filteredDataPasted!$A$2:$A$1097, 1, 1)</f>
        <v>3770.8481400925543</v>
      </c>
      <c r="C3" s="3">
        <f>B3 - _xlfn.FORECAST.ETS.CONFINT(A3, filteredDataPasted!$D$2:$D$1097, filteredDataPasted!$A$2:$A$1097, 0.95, 1, 1)</f>
        <v>2540.0727358963286</v>
      </c>
      <c r="D3" s="3">
        <f>B3 + _xlfn.FORECAST.ETS.CONFINT(A3, filteredDataPasted!$D$2:$D$1097, filteredDataPasted!$A$2:$A$1097, 0.95, 1, 1)</f>
        <v>5001.6235442887801</v>
      </c>
    </row>
    <row r="4" spans="1:4" x14ac:dyDescent="0.2">
      <c r="A4" s="31">
        <v>45295</v>
      </c>
      <c r="B4" s="3">
        <f>_xlfn.FORECAST.ETS(A4, filteredDataPasted!$D$2:$D$1097, filteredDataPasted!$A$2:$A$1097, 1, 1)</f>
        <v>3770.9022101388341</v>
      </c>
      <c r="C4" s="3">
        <f>B4 - _xlfn.FORECAST.ETS.CONFINT(A4, filteredDataPasted!$D$2:$D$1097, filteredDataPasted!$A$2:$A$1097, 0.95, 1, 1)</f>
        <v>2530.2440114779301</v>
      </c>
      <c r="D4" s="3">
        <f>B4 + _xlfn.FORECAST.ETS.CONFINT(A4, filteredDataPasted!$D$2:$D$1097, filteredDataPasted!$A$2:$A$1097, 0.95, 1, 1)</f>
        <v>5011.5604087997381</v>
      </c>
    </row>
    <row r="5" spans="1:4" x14ac:dyDescent="0.2">
      <c r="A5" s="31">
        <v>45296</v>
      </c>
      <c r="B5" s="3">
        <f>_xlfn.FORECAST.ETS(A5, filteredDataPasted!$D$2:$D$1097, filteredDataPasted!$A$2:$A$1097, 1, 1)</f>
        <v>3770.9562801851084</v>
      </c>
      <c r="C5" s="3">
        <f>B5 - _xlfn.FORECAST.ETS.CONFINT(A5, filteredDataPasted!$D$2:$D$1097, filteredDataPasted!$A$2:$A$1097, 0.95, 1, 1)</f>
        <v>2520.3402070147158</v>
      </c>
      <c r="D5" s="3">
        <f>B5 + _xlfn.FORECAST.ETS.CONFINT(A5, filteredDataPasted!$D$2:$D$1097, filteredDataPasted!$A$2:$A$1097, 0.95, 1, 1)</f>
        <v>5021.572353355501</v>
      </c>
    </row>
    <row r="6" spans="1:4" x14ac:dyDescent="0.2">
      <c r="A6" s="31">
        <v>45297</v>
      </c>
      <c r="B6" s="3">
        <f>_xlfn.FORECAST.ETS(A6, filteredDataPasted!$D$2:$D$1097, filteredDataPasted!$A$2:$A$1097, 1, 1)</f>
        <v>3771.0103502313877</v>
      </c>
      <c r="C6" s="3">
        <f>B6 - _xlfn.FORECAST.ETS.CONFINT(A6, filteredDataPasted!$D$2:$D$1097, filteredDataPasted!$A$2:$A$1097, 0.95, 1, 1)</f>
        <v>2510.361919143495</v>
      </c>
      <c r="D6" s="3">
        <f>B6 + _xlfn.FORECAST.ETS.CONFINT(A6, filteredDataPasted!$D$2:$D$1097, filteredDataPasted!$A$2:$A$1097, 0.95, 1, 1)</f>
        <v>5031.65878131928</v>
      </c>
    </row>
    <row r="7" spans="1:4" x14ac:dyDescent="0.2">
      <c r="A7" s="31">
        <v>45298</v>
      </c>
      <c r="B7" s="3">
        <f>_xlfn.FORECAST.ETS(A7, filteredDataPasted!$D$2:$D$1097, filteredDataPasted!$A$2:$A$1097, 1, 1)</f>
        <v>3771.0644202776621</v>
      </c>
      <c r="C7" s="3">
        <f>B7 - _xlfn.FORECAST.ETS.CONFINT(A7, filteredDataPasted!$D$2:$D$1097, filteredDataPasted!$A$2:$A$1097, 0.95, 1, 1)</f>
        <v>2500.3097388271644</v>
      </c>
      <c r="D7" s="3">
        <f>B7 + _xlfn.FORECAST.ETS.CONFINT(A7, filteredDataPasted!$D$2:$D$1097, filteredDataPasted!$A$2:$A$1097, 0.95, 1, 1)</f>
        <v>5041.8191017281597</v>
      </c>
    </row>
    <row r="8" spans="1:4" x14ac:dyDescent="0.2">
      <c r="A8" s="31">
        <v>45299</v>
      </c>
      <c r="B8" s="3">
        <f>_xlfn.FORECAST.ETS(A8, filteredDataPasted!$D$2:$D$1097, filteredDataPasted!$A$2:$A$1097, 1, 1)</f>
        <v>3771.1184903239418</v>
      </c>
      <c r="C8" s="3">
        <f>B8 - _xlfn.FORECAST.ETS.CONFINT(A8, filteredDataPasted!$D$2:$D$1097, filteredDataPasted!$A$2:$A$1097, 0.95, 1, 1)</f>
        <v>2490.1842512346575</v>
      </c>
      <c r="D8" s="3">
        <f>B8 + _xlfn.FORECAST.ETS.CONFINT(A8, filteredDataPasted!$D$2:$D$1097, filteredDataPasted!$A$2:$A$1097, 0.95, 1, 1)</f>
        <v>5052.0527294132262</v>
      </c>
    </row>
    <row r="9" spans="1:4" x14ac:dyDescent="0.2">
      <c r="A9" s="31">
        <v>45300</v>
      </c>
      <c r="B9" s="3">
        <f>_xlfn.FORECAST.ETS(A9, filteredDataPasted!$D$2:$D$1097, filteredDataPasted!$A$2:$A$1097, 1, 1)</f>
        <v>3771.1725603702162</v>
      </c>
      <c r="C9" s="3">
        <f>B9 - _xlfn.FORECAST.ETS.CONFINT(A9, filteredDataPasted!$D$2:$D$1097, filteredDataPasted!$A$2:$A$1097, 0.95, 1, 1)</f>
        <v>2479.9860356340837</v>
      </c>
      <c r="D9" s="3">
        <f>B9 + _xlfn.FORECAST.ETS.CONFINT(A9, filteredDataPasted!$D$2:$D$1097, filteredDataPasted!$A$2:$A$1097, 0.95, 1, 1)</f>
        <v>5062.3590851063491</v>
      </c>
    </row>
    <row r="10" spans="1:4" x14ac:dyDescent="0.2">
      <c r="A10" s="31">
        <v>45301</v>
      </c>
      <c r="B10" s="3">
        <f>_xlfn.FORECAST.ETS(A10, filteredDataPasted!$D$2:$D$1097, filteredDataPasted!$A$2:$A$1097, 1, 1)</f>
        <v>3771.2266304164959</v>
      </c>
      <c r="C10" s="3">
        <f>B10 - _xlfn.FORECAST.ETS.CONFINT(A10, filteredDataPasted!$D$2:$D$1097, filteredDataPasted!$A$2:$A$1097, 0.95, 1, 1)</f>
        <v>2469.7156652985391</v>
      </c>
      <c r="D10" s="3">
        <f>B10 + _xlfn.FORECAST.ETS.CONFINT(A10, filteredDataPasted!$D$2:$D$1097, filteredDataPasted!$A$2:$A$1097, 0.95, 1, 1)</f>
        <v>5072.7375955344523</v>
      </c>
    </row>
    <row r="11" spans="1:4" x14ac:dyDescent="0.2">
      <c r="A11" s="31">
        <v>45302</v>
      </c>
      <c r="B11" s="3">
        <f>_xlfn.FORECAST.ETS(A11, filteredDataPasted!$D$2:$D$1097, filteredDataPasted!$A$2:$A$1097, 1, 1)</f>
        <v>3771.2807004627703</v>
      </c>
      <c r="C11" s="3">
        <f>B11 - _xlfn.FORECAST.ETS.CONFINT(A11, filteredDataPasted!$D$2:$D$1097, filteredDataPasted!$A$2:$A$1097, 0.95, 1, 1)</f>
        <v>2459.3737074237447</v>
      </c>
      <c r="D11" s="3">
        <f>B11 + _xlfn.FORECAST.ETS.CONFINT(A11, filteredDataPasted!$D$2:$D$1097, filteredDataPasted!$A$2:$A$1097, 0.95, 1, 1)</f>
        <v>5083.1876935017954</v>
      </c>
    </row>
    <row r="12" spans="1:4" x14ac:dyDescent="0.2">
      <c r="A12" s="31">
        <v>45303</v>
      </c>
      <c r="B12" s="3">
        <f>_xlfn.FORECAST.ETS(A12, filteredDataPasted!$D$2:$D$1097, filteredDataPasted!$A$2:$A$1097, 1, 1)</f>
        <v>3771.33477050905</v>
      </c>
      <c r="C12" s="3">
        <f>B12 - _xlfn.FORECAST.ETS.CONFINT(A12, filteredDataPasted!$D$2:$D$1097, filteredDataPasted!$A$2:$A$1097, 0.95, 1, 1)</f>
        <v>2448.9607230570527</v>
      </c>
      <c r="D12" s="3">
        <f>B12 + _xlfn.FORECAST.ETS.CONFINT(A12, filteredDataPasted!$D$2:$D$1097, filteredDataPasted!$A$2:$A$1097, 0.95, 1, 1)</f>
        <v>5093.7088179610473</v>
      </c>
    </row>
    <row r="13" spans="1:4" x14ac:dyDescent="0.2">
      <c r="A13" s="31">
        <v>45304</v>
      </c>
      <c r="B13" s="3">
        <f>_xlfn.FORECAST.ETS(A13, filteredDataPasted!$D$2:$D$1097, filteredDataPasted!$A$2:$A$1097, 1, 1)</f>
        <v>3771.3888405553244</v>
      </c>
      <c r="C13" s="3">
        <f>B13 - _xlfn.FORECAST.ETS.CONFINT(A13, filteredDataPasted!$D$2:$D$1097, filteredDataPasted!$A$2:$A$1097, 0.95, 1, 1)</f>
        <v>2438.4772670370148</v>
      </c>
      <c r="D13" s="3">
        <f>B13 + _xlfn.FORECAST.ETS.CONFINT(A13, filteredDataPasted!$D$2:$D$1097, filteredDataPasted!$A$2:$A$1097, 0.95, 1, 1)</f>
        <v>5104.3004140736339</v>
      </c>
    </row>
    <row r="14" spans="1:4" x14ac:dyDescent="0.2">
      <c r="A14" s="31">
        <v>45305</v>
      </c>
      <c r="B14" s="3">
        <f>_xlfn.FORECAST.ETS(A14, filteredDataPasted!$D$2:$D$1097, filteredDataPasted!$A$2:$A$1097, 1, 1)</f>
        <v>3771.4429106016041</v>
      </c>
      <c r="C14" s="3">
        <f>B14 - _xlfn.FORECAST.ETS.CONFINT(A14, filteredDataPasted!$D$2:$D$1097, filteredDataPasted!$A$2:$A$1097, 0.95, 1, 1)</f>
        <v>2427.9238879430968</v>
      </c>
      <c r="D14" s="3">
        <f>B14 + _xlfn.FORECAST.ETS.CONFINT(A14, filteredDataPasted!$D$2:$D$1097, filteredDataPasted!$A$2:$A$1097, 0.95, 1, 1)</f>
        <v>5114.9619332601114</v>
      </c>
    </row>
    <row r="15" spans="1:4" x14ac:dyDescent="0.2">
      <c r="A15" s="31">
        <v>45306</v>
      </c>
      <c r="B15" s="3">
        <f>_xlfn.FORECAST.ETS(A15, filteredDataPasted!$D$2:$D$1097, filteredDataPasted!$A$2:$A$1097, 1, 1)</f>
        <v>3771.496980647878</v>
      </c>
      <c r="C15" s="3">
        <f>B15 - _xlfn.FORECAST.ETS.CONFINT(A15, filteredDataPasted!$D$2:$D$1097, filteredDataPasted!$A$2:$A$1097, 0.95, 1, 1)</f>
        <v>2417.3011280547744</v>
      </c>
      <c r="D15" s="3">
        <f>B15 + _xlfn.FORECAST.ETS.CONFINT(A15, filteredDataPasted!$D$2:$D$1097, filteredDataPasted!$A$2:$A$1097, 0.95, 1, 1)</f>
        <v>5125.6928332409816</v>
      </c>
    </row>
    <row r="16" spans="1:4" x14ac:dyDescent="0.2">
      <c r="A16" s="31">
        <v>45307</v>
      </c>
      <c r="B16" s="3">
        <f>_xlfn.FORECAST.ETS(A16, filteredDataPasted!$D$2:$D$1097, filteredDataPasted!$A$2:$A$1097, 1, 1)</f>
        <v>3771.5510506941578</v>
      </c>
      <c r="C16" s="3">
        <f>B16 - _xlfn.FORECAST.ETS.CONFINT(A16, filteredDataPasted!$D$2:$D$1097, filteredDataPasted!$A$2:$A$1097, 0.95, 1, 1)</f>
        <v>2406.6095233196429</v>
      </c>
      <c r="D16" s="3">
        <f>B16 + _xlfn.FORECAST.ETS.CONFINT(A16, filteredDataPasted!$D$2:$D$1097, filteredDataPasted!$A$2:$A$1097, 0.95, 1, 1)</f>
        <v>5136.4925780686726</v>
      </c>
    </row>
    <row r="17" spans="1:4" x14ac:dyDescent="0.2">
      <c r="A17" s="31">
        <v>45308</v>
      </c>
      <c r="B17" s="3">
        <f>_xlfn.FORECAST.ETS(A17, filteredDataPasted!$D$2:$D$1097, filteredDataPasted!$A$2:$A$1097, 1, 1)</f>
        <v>3771.6051207404321</v>
      </c>
      <c r="C17" s="3">
        <f>B17 - _xlfn.FORECAST.ETS.CONFINT(A17, filteredDataPasted!$D$2:$D$1097, filteredDataPasted!$A$2:$A$1097, 0.95, 1, 1)</f>
        <v>2395.8496033298202</v>
      </c>
      <c r="D17" s="3">
        <f>B17 + _xlfn.FORECAST.ETS.CONFINT(A17, filteredDataPasted!$D$2:$D$1097, filteredDataPasted!$A$2:$A$1097, 0.95, 1, 1)</f>
        <v>5147.3606381510435</v>
      </c>
    </row>
    <row r="18" spans="1:4" x14ac:dyDescent="0.2">
      <c r="A18" s="31">
        <v>45309</v>
      </c>
      <c r="B18" s="3">
        <f>_xlfn.FORECAST.ETS(A18, filteredDataPasted!$D$2:$D$1097, filteredDataPasted!$A$2:$A$1097, 1, 1)</f>
        <v>3771.6591907867119</v>
      </c>
      <c r="C18" s="3">
        <f>B18 - _xlfn.FORECAST.ETS.CONFINT(A18, filteredDataPasted!$D$2:$D$1097, filteredDataPasted!$A$2:$A$1097, 0.95, 1, 1)</f>
        <v>2385.021891306309</v>
      </c>
      <c r="D18" s="3">
        <f>B18 + _xlfn.FORECAST.ETS.CONFINT(A18, filteredDataPasted!$D$2:$D$1097, filteredDataPasted!$A$2:$A$1097, 0.95, 1, 1)</f>
        <v>5158.2964902671147</v>
      </c>
    </row>
    <row r="19" spans="1:4" x14ac:dyDescent="0.2">
      <c r="A19" s="31">
        <v>45310</v>
      </c>
      <c r="B19" s="3">
        <f>_xlfn.FORECAST.ETS(A19, filteredDataPasted!$D$2:$D$1097, filteredDataPasted!$A$2:$A$1097, 1, 1)</f>
        <v>3771.7132608329862</v>
      </c>
      <c r="C19" s="3">
        <f>B19 - _xlfn.FORECAST.ETS.CONFINT(A19, filteredDataPasted!$D$2:$D$1097, filteredDataPasted!$A$2:$A$1097, 0.95, 1, 1)</f>
        <v>2374.1269040906536</v>
      </c>
      <c r="D19" s="3">
        <f>B19 + _xlfn.FORECAST.ETS.CONFINT(A19, filteredDataPasted!$D$2:$D$1097, filteredDataPasted!$A$2:$A$1097, 0.95, 1, 1)</f>
        <v>5169.2996175753187</v>
      </c>
    </row>
    <row r="20" spans="1:4" x14ac:dyDescent="0.2">
      <c r="A20" s="31">
        <v>45311</v>
      </c>
      <c r="B20" s="3">
        <f>_xlfn.FORECAST.ETS(A20, filteredDataPasted!$D$2:$D$1097, filteredDataPasted!$A$2:$A$1097, 1, 1)</f>
        <v>3771.767330879266</v>
      </c>
      <c r="C20" s="3">
        <f>B20 - _xlfn.FORECAST.ETS.CONFINT(A20, filteredDataPasted!$D$2:$D$1097, filteredDataPasted!$A$2:$A$1097, 0.95, 1, 1)</f>
        <v>2363.1651521435933</v>
      </c>
      <c r="D20" s="3">
        <f>B20 + _xlfn.FORECAST.ETS.CONFINT(A20, filteredDataPasted!$D$2:$D$1097, filteredDataPasted!$A$2:$A$1097, 0.95, 1, 1)</f>
        <v>5180.3695096149386</v>
      </c>
    </row>
    <row r="21" spans="1:4" x14ac:dyDescent="0.2">
      <c r="A21" s="31">
        <v>45312</v>
      </c>
      <c r="B21" s="3">
        <f>_xlfn.FORECAST.ETS(A21, filteredDataPasted!$D$2:$D$1097, filteredDataPasted!$A$2:$A$1097, 1, 1)</f>
        <v>3771.8214009255403</v>
      </c>
      <c r="C21" s="3">
        <f>B21 - _xlfn.FORECAST.ETS.CONFINT(A21, filteredDataPasted!$D$2:$D$1097, filteredDataPasted!$A$2:$A$1097, 0.95, 1, 1)</f>
        <v>2352.1371395500823</v>
      </c>
      <c r="D21" s="3">
        <f>B21 + _xlfn.FORECAST.ETS.CONFINT(A21, filteredDataPasted!$D$2:$D$1097, filteredDataPasted!$A$2:$A$1097, 0.95, 1, 1)</f>
        <v>5191.5056623009987</v>
      </c>
    </row>
    <row r="22" spans="1:4" x14ac:dyDescent="0.2">
      <c r="A22" s="31">
        <v>45313</v>
      </c>
      <c r="B22" s="3">
        <f>_xlfn.FORECAST.ETS(A22, filteredDataPasted!$D$2:$D$1097, filteredDataPasted!$A$2:$A$1097, 1, 1)</f>
        <v>3771.8754709718201</v>
      </c>
      <c r="C22" s="3">
        <f>B22 - _xlfn.FORECAST.ETS.CONFINT(A22, filteredDataPasted!$D$2:$D$1097, filteredDataPasted!$A$2:$A$1097, 0.95, 1, 1)</f>
        <v>2341.0433640304318</v>
      </c>
      <c r="D22" s="3">
        <f>B22 + _xlfn.FORECAST.ETS.CONFINT(A22, filteredDataPasted!$D$2:$D$1097, filteredDataPasted!$A$2:$A$1097, 0.95, 1, 1)</f>
        <v>5202.7075779132083</v>
      </c>
    </row>
    <row r="23" spans="1:4" x14ac:dyDescent="0.2">
      <c r="A23" s="31">
        <v>45314</v>
      </c>
      <c r="B23" s="3">
        <f>_xlfn.FORECAST.ETS(A23, filteredDataPasted!$D$2:$D$1097, filteredDataPasted!$A$2:$A$1097, 1, 1)</f>
        <v>3771.9295410180944</v>
      </c>
      <c r="C23" s="3">
        <f>B23 - _xlfn.FORECAST.ETS.CONFINT(A23, filteredDataPasted!$D$2:$D$1097, filteredDataPasted!$A$2:$A$1097, 0.95, 1, 1)</f>
        <v>2329.8843169569764</v>
      </c>
      <c r="D23" s="3">
        <f>B23 + _xlfn.FORECAST.ETS.CONFINT(A23, filteredDataPasted!$D$2:$D$1097, filteredDataPasted!$A$2:$A$1097, 0.95, 1, 1)</f>
        <v>5213.9747650792124</v>
      </c>
    </row>
    <row r="24" spans="1:4" x14ac:dyDescent="0.2">
      <c r="A24" s="31">
        <v>45315</v>
      </c>
      <c r="B24" s="3">
        <f>_xlfn.FORECAST.ETS(A24, filteredDataPasted!$D$2:$D$1097, filteredDataPasted!$A$2:$A$1097, 1, 1)</f>
        <v>3771.9836110643737</v>
      </c>
      <c r="C24" s="3">
        <f>B24 - _xlfn.FORECAST.ETS.CONFINT(A24, filteredDataPasted!$D$2:$D$1097, filteredDataPasted!$A$2:$A$1097, 0.95, 1, 1)</f>
        <v>2318.6604833760521</v>
      </c>
      <c r="D24" s="3">
        <f>B24 + _xlfn.FORECAST.ETS.CONFINT(A24, filteredDataPasted!$D$2:$D$1097, filteredDataPasted!$A$2:$A$1097, 0.95, 1, 1)</f>
        <v>5225.3067387526953</v>
      </c>
    </row>
    <row r="25" spans="1:4" x14ac:dyDescent="0.2">
      <c r="A25" s="31">
        <v>45316</v>
      </c>
      <c r="B25" s="3">
        <f>_xlfn.FORECAST.ETS(A25, filteredDataPasted!$D$2:$D$1097, filteredDataPasted!$A$2:$A$1097, 1, 1)</f>
        <v>3772.037681110648</v>
      </c>
      <c r="C25" s="3">
        <f>B25 - _xlfn.FORECAST.ETS.CONFINT(A25, filteredDataPasted!$D$2:$D$1097, filteredDataPasted!$A$2:$A$1097, 0.95, 1, 1)</f>
        <v>2307.372342034746</v>
      </c>
      <c r="D25" s="3">
        <f>B25 + _xlfn.FORECAST.ETS.CONFINT(A25, filteredDataPasted!$D$2:$D$1097, filteredDataPasted!$A$2:$A$1097, 0.95, 1, 1)</f>
        <v>5236.70302018655</v>
      </c>
    </row>
    <row r="26" spans="1:4" x14ac:dyDescent="0.2">
      <c r="A26" s="31">
        <v>45317</v>
      </c>
      <c r="B26" s="3">
        <f>_xlfn.FORECAST.ETS(A26, filteredDataPasted!$D$2:$D$1097, filteredDataPasted!$A$2:$A$1097, 1, 1)</f>
        <v>3772.0917511569278</v>
      </c>
      <c r="C26" s="3">
        <f>B26 - _xlfn.FORECAST.ETS.CONFINT(A26, filteredDataPasted!$D$2:$D$1097, filteredDataPasted!$A$2:$A$1097, 0.95, 1, 1)</f>
        <v>2296.0203654122188</v>
      </c>
      <c r="D26" s="3">
        <f>B26 + _xlfn.FORECAST.ETS.CONFINT(A26, filteredDataPasted!$D$2:$D$1097, filteredDataPasted!$A$2:$A$1097, 0.95, 1, 1)</f>
        <v>5248.1631369016368</v>
      </c>
    </row>
    <row r="27" spans="1:4" x14ac:dyDescent="0.2">
      <c r="A27" s="31">
        <v>45318</v>
      </c>
      <c r="B27" s="3">
        <f>_xlfn.FORECAST.ETS(A27, filteredDataPasted!$D$2:$D$1097, filteredDataPasted!$A$2:$A$1097, 1, 1)</f>
        <v>3772.1458212032021</v>
      </c>
      <c r="C27" s="3">
        <f>B27 - _xlfn.FORECAST.ETS.CONFINT(A27, filteredDataPasted!$D$2:$D$1097, filteredDataPasted!$A$2:$A$1097, 0.95, 1, 1)</f>
        <v>2284.6050197551076</v>
      </c>
      <c r="D27" s="3">
        <f>B27 + _xlfn.FORECAST.ETS.CONFINT(A27, filteredDataPasted!$D$2:$D$1097, filteredDataPasted!$A$2:$A$1097, 0.95, 1, 1)</f>
        <v>5259.6866226512966</v>
      </c>
    </row>
    <row r="28" spans="1:4" x14ac:dyDescent="0.2">
      <c r="A28" s="31">
        <v>45319</v>
      </c>
      <c r="B28" s="3">
        <f>_xlfn.FORECAST.ETS(A28, filteredDataPasted!$D$2:$D$1097, filteredDataPasted!$A$2:$A$1097, 1, 1)</f>
        <v>3772.1998912494819</v>
      </c>
      <c r="C28" s="3">
        <f>B28 - _xlfn.FORECAST.ETS.CONFINT(A28, filteredDataPasted!$D$2:$D$1097, filteredDataPasted!$A$2:$A$1097, 0.95, 1, 1)</f>
        <v>2273.1267651168469</v>
      </c>
      <c r="D28" s="3">
        <f>B28 + _xlfn.FORECAST.ETS.CONFINT(A28, filteredDataPasted!$D$2:$D$1097, filteredDataPasted!$A$2:$A$1097, 0.95, 1, 1)</f>
        <v>5271.2730173821164</v>
      </c>
    </row>
    <row r="29" spans="1:4" x14ac:dyDescent="0.2">
      <c r="A29" s="31">
        <v>45320</v>
      </c>
      <c r="B29" s="3">
        <f>_xlfn.FORECAST.ETS(A29, filteredDataPasted!$D$2:$D$1097, filteredDataPasted!$A$2:$A$1097, 1, 1)</f>
        <v>3772.2539612957562</v>
      </c>
      <c r="C29" s="3">
        <f>B29 - _xlfn.FORECAST.ETS.CONFINT(A29, filteredDataPasted!$D$2:$D$1097, filteredDataPasted!$A$2:$A$1097, 0.95, 1, 1)</f>
        <v>2261.5860554004407</v>
      </c>
      <c r="D29" s="3">
        <f>B29 + _xlfn.FORECAST.ETS.CONFINT(A29, filteredDataPasted!$D$2:$D$1097, filteredDataPasted!$A$2:$A$1097, 0.95, 1, 1)</f>
        <v>5282.9218671910712</v>
      </c>
    </row>
    <row r="30" spans="1:4" x14ac:dyDescent="0.2">
      <c r="A30" s="31">
        <v>45321</v>
      </c>
      <c r="B30" s="3">
        <f>_xlfn.FORECAST.ETS(A30, filteredDataPasted!$D$2:$D$1097, filteredDataPasted!$A$2:$A$1097, 1, 1)</f>
        <v>3772.308031342036</v>
      </c>
      <c r="C30" s="3">
        <f>B30 - _xlfn.FORECAST.ETS.CONFINT(A30, filteredDataPasted!$D$2:$D$1097, filteredDataPasted!$A$2:$A$1097, 0.95, 1, 1)</f>
        <v>2249.9833384045596</v>
      </c>
      <c r="D30" s="3">
        <f>B30 + _xlfn.FORECAST.ETS.CONFINT(A30, filteredDataPasted!$D$2:$D$1097, filteredDataPasted!$A$2:$A$1097, 0.95, 1, 1)</f>
        <v>5294.6327242795123</v>
      </c>
    </row>
    <row r="31" spans="1:4" x14ac:dyDescent="0.2">
      <c r="A31" s="31">
        <v>45322</v>
      </c>
      <c r="B31" s="3">
        <f>_xlfn.FORECAST.ETS(A31, filteredDataPasted!$D$2:$D$1097, filteredDataPasted!$A$2:$A$1097, 1, 1)</f>
        <v>3772.3621013883103</v>
      </c>
      <c r="C31" s="3">
        <f>B31 - _xlfn.FORECAST.ETS.CONFINT(A31, filteredDataPasted!$D$2:$D$1097, filteredDataPasted!$A$2:$A$1097, 0.95, 1, 1)</f>
        <v>2238.3190558725269</v>
      </c>
      <c r="D31" s="3">
        <f>B31 + _xlfn.FORECAST.ETS.CONFINT(A31, filteredDataPasted!$D$2:$D$1097, filteredDataPasted!$A$2:$A$1097, 0.95, 1, 1)</f>
        <v>5306.4051469040933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campaignData</vt:lpstr>
      <vt:lpstr>pivotTables</vt:lpstr>
      <vt:lpstr>pivotTables2</vt:lpstr>
      <vt:lpstr>summaryTable</vt:lpstr>
      <vt:lpstr>chiSquareTest</vt:lpstr>
      <vt:lpstr>powerAnalysis</vt:lpstr>
      <vt:lpstr>campaignBData</vt:lpstr>
      <vt:lpstr>filteredDataRaw</vt:lpstr>
      <vt:lpstr>filteredDataPasted</vt:lpstr>
      <vt:lpstr>forecastRevenue</vt:lpstr>
      <vt:lpstr>forecastMetrics</vt:lpstr>
      <vt:lpstr>forecastFutureRevenue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Owens</dc:creator>
  <cp:lastModifiedBy>Will Owens</cp:lastModifiedBy>
  <dcterms:created xsi:type="dcterms:W3CDTF">2024-11-07T02:34:43Z</dcterms:created>
  <dcterms:modified xsi:type="dcterms:W3CDTF">2024-11-07T15:35:22Z</dcterms:modified>
</cp:coreProperties>
</file>